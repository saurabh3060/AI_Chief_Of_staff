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Gross_Advances" sheetId="2" state="visible" r:id="rId4"/>
    <sheet name="B1_Metrics" sheetId="3" state="visible" r:id="rId5"/>
    <sheet name="B2_Liability_MEB" sheetId="4" state="visible" r:id="rId6"/>
    <sheet name="B2_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<sst xmlns="http://schemas.openxmlformats.org/spreadsheetml/2006/main" count="573" uniqueCount="383">
  <si>
    <t xml:space="preserve">RBL Bank — Overview of Advances: Overall (gross) Advances and Liability MEB — page-wise metric extraction</t>
  </si>
  <si>
    <t xml:space="preserve">Source: 11_Overall_Advances.pdf (1 page, 2 clipped tables; balance dates 26-Aug-26, 31-Jul-26, 30-Jun-26, 31-May-26) | ₹ Cr, accounts, customers</t>
  </si>
  <si>
    <t xml:space="preserve">⚠ DRAFT ONLY — Requires review and approval by a qualified Alvarez and Marsal professional before use.</t>
  </si>
  <si>
    <t xml:space="preserve">Sheet map</t>
  </si>
  <si>
    <t xml:space="preserve">B1_Gross_Advances</t>
  </si>
  <si>
    <t xml:space="preserve">Block 1 — Gross advances by category / sub-category at four balance dates with accounts and customers (May accounts clipped), ATS, accounts-per-customer, growth, mix and roll-up checks</t>
  </si>
  <si>
    <t xml:space="preserve">B1_Metrics</t>
  </si>
  <si>
    <t xml:space="preserve">Notation + metrics for Block 1</t>
  </si>
  <si>
    <t xml:space="preserve">B2_Liability_MEB</t>
  </si>
  <si>
    <t xml:space="preserve">Block 2 — Liability MEB by product at three dates with accounts and customers (Jun customers clipped)</t>
  </si>
  <si>
    <t xml:space="preserve">B2_Metrics</t>
  </si>
  <si>
    <t xml:space="preserve">Notation + metrics for Block 2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</si>
  <si>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</si>
  <si>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</si>
  <si>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</si>
  <si>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</si>
  <si>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</si>
  <si>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</si>
  <si>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</si>
  <si>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</si>
  <si>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</si>
  <si>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</si>
  <si>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</si>
  <si>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</si>
  <si>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</si>
  <si>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Both tables were exported clipped. Gross Advances: 31-May-26 shows only the Gross Advances column; the Retail Lending rows shown do not add to the Retail Sub Total (more rows below the visible area) — the unseen remainder is computed. Liability MEB: 30-Jun-26 shows MEB and accounts only.</t>
  </si>
  <si>
    <t xml:space="preserve">2</t>
  </si>
  <si>
    <t xml:space="preserve">Wholesale rows add exactly to the Wholesale Sub Total at every date (C&amp;IB Agri and 'Retail - Others' are blank). Overall − Wholesale − Retail Lending = the un-shown retail products (cards, micro banking, wheels, agri, etc.).</t>
  </si>
  <si>
    <t xml:space="preserve">3</t>
  </si>
  <si>
    <t xml:space="preserve">ATS = Gross ÷ accounts (₹ lakh); accounts per customer = accounts ÷ customers.</t>
  </si>
  <si>
    <t xml:space="preserve">4</t>
  </si>
  <si>
    <t xml:space="preserve">Cross-page: 31-Jul-26 Overall (119,273.32) and Wholesale (52,230.94) equal the Credit Portfolio Overview Jul-26 totals; these are gross figures — the Net Advances page shows Jul-26 net funded 117,027. Liability MEB total (106,752) is the end-of-day balance on 26-Aug-26, while the MAB page reports 115,449 monthly-average.</t>
  </si>
  <si>
    <t xml:space="preserve">Confidentiality</t>
  </si>
  <si>
    <t xml:space="preserve">Client-confidential RBL Bank data.</t>
  </si>
  <si>
    <t xml:space="preserve">Block 1 — Gross advances by sub-category at four balance dates</t>
  </si>
  <si>
    <t xml:space="preserve">Source: Overall Advances.pdf | Gross ₹ Cr, # accounts, # customers | 31-May-26 gross only (clipped)</t>
  </si>
  <si>
    <t xml:space="preserve">A. Source data (blue) with live calculations</t>
  </si>
  <si>
    <t xml:space="preserve">#</t>
  </si>
  <si>
    <t xml:space="preserve">Category</t>
  </si>
  <si>
    <t xml:space="preserve">Sub category</t>
  </si>
  <si>
    <t xml:space="preserve">Gross 26-Aug</t>
  </si>
  <si>
    <t xml:space="preserve"># Acc 26-Aug</t>
  </si>
  <si>
    <t xml:space="preserve"># Cust 26-Aug</t>
  </si>
  <si>
    <t xml:space="preserve">Gross 31-Jul</t>
  </si>
  <si>
    <t xml:space="preserve"># Acc 31-Jul</t>
  </si>
  <si>
    <t xml:space="preserve"># Cust 31-Jul</t>
  </si>
  <si>
    <t xml:space="preserve">Gross 30-Jun</t>
  </si>
  <si>
    <t xml:space="preserve"># Acc 30-Jun</t>
  </si>
  <si>
    <t xml:space="preserve"># Cust 30-Jun</t>
  </si>
  <si>
    <t xml:space="preserve">Gross 31-May</t>
  </si>
  <si>
    <t xml:space="preserve">MoM Aug vs Jul</t>
  </si>
  <si>
    <t xml:space="preserve">MoM Jul vs Jun</t>
  </si>
  <si>
    <t xml:space="preserve">MoM Jun vs May</t>
  </si>
  <si>
    <t xml:space="preserve">3M Aug vs May</t>
  </si>
  <si>
    <t xml:space="preserve">ATS Aug (₹ lakh)</t>
  </si>
  <si>
    <t xml:space="preserve">ATS Jul (₹ lakh)</t>
  </si>
  <si>
    <t xml:space="preserve">Acc per customer Aug</t>
  </si>
  <si>
    <t xml:space="preserve">Δ accounts Aug − Jul</t>
  </si>
  <si>
    <t xml:space="preserve">Δ customers Aug − Jul</t>
  </si>
  <si>
    <t xml:space="preserve">Share of Overall Aug</t>
  </si>
  <si>
    <t xml:space="preserve">Share of sub-total Aug</t>
  </si>
  <si>
    <t xml:space="preserve">Share of Overall May</t>
  </si>
  <si>
    <t xml:space="preserve">Share shift (pp) May → Aug</t>
  </si>
  <si>
    <t xml:space="preserve">Contribution to 3M Overall growth</t>
  </si>
  <si>
    <t xml:space="preserve">Overall</t>
  </si>
  <si>
    <t xml:space="preserve">Overall Advances</t>
  </si>
  <si>
    <t xml:space="preserve">Wholesale</t>
  </si>
  <si>
    <t xml:space="preserve">Sub Total</t>
  </si>
  <si>
    <t xml:space="preserve">C&amp;IB Agri</t>
  </si>
  <si>
    <t xml:space="preserve">CB (incl Agri &amp; NE)</t>
  </si>
  <si>
    <t xml:space="preserve">CB- BBG</t>
  </si>
  <si>
    <t xml:space="preserve">Corporate Banking (incl G&amp;J)</t>
  </si>
  <si>
    <t xml:space="preserve">FI</t>
  </si>
  <si>
    <t xml:space="preserve">FIGU- BBB</t>
  </si>
  <si>
    <t xml:space="preserve">Govt. Banking</t>
  </si>
  <si>
    <t xml:space="preserve">IFI</t>
  </si>
  <si>
    <t xml:space="preserve">MNC</t>
  </si>
  <si>
    <t xml:space="preserve">Supply Chain</t>
  </si>
  <si>
    <t xml:space="preserve">Retail - Others</t>
  </si>
  <si>
    <t xml:space="preserve">Retail Lending</t>
  </si>
  <si>
    <t xml:space="preserve">Affordable Housing</t>
  </si>
  <si>
    <t xml:space="preserve">Prime Housing</t>
  </si>
  <si>
    <t xml:space="preserve">Housing Loan CL</t>
  </si>
  <si>
    <t xml:space="preserve">Housing Loan DA</t>
  </si>
  <si>
    <t xml:space="preserve">Small LAP</t>
  </si>
  <si>
    <t xml:space="preserve">Prime LAP</t>
  </si>
  <si>
    <t xml:space="preserve">LAP - CL</t>
  </si>
  <si>
    <t xml:space="preserve">LAP - DA</t>
  </si>
  <si>
    <t xml:space="preserve">BIL/SBL</t>
  </si>
  <si>
    <t xml:space="preserve">Gold Loan - BBB</t>
  </si>
  <si>
    <t xml:space="preserve">Gold Loan DA/CL</t>
  </si>
  <si>
    <t xml:space="preserve">B. Roll-up checks and the unseen remainder</t>
  </si>
  <si>
    <t xml:space="preserve">Check</t>
  </si>
  <si>
    <t xml:space="preserve">26-Aug</t>
  </si>
  <si>
    <t xml:space="preserve">31-Jul</t>
  </si>
  <si>
    <t xml:space="preserve">30-Jun</t>
  </si>
  <si>
    <t xml:space="preserve">31-May</t>
  </si>
  <si>
    <t xml:space="preserve">Σ Wholesale rows − Wholesale Sub Total (gross)</t>
  </si>
  <si>
    <t xml:space="preserve">Σ Wholesale rows − Sub Total (accounts)</t>
  </si>
  <si>
    <t xml:space="preserve">Σ visible Retail Lending rows (gross)</t>
  </si>
  <si>
    <t xml:space="preserve">Retail Lending Sub Total − Σ visible rows (clipped rows, gross)</t>
  </si>
  <si>
    <t xml:space="preserve">Overall − Wholesale − Retail Lending = other retail (cards, micro, wheels, agri …)</t>
  </si>
  <si>
    <t xml:space="preserve">Other retail share of Overall</t>
  </si>
  <si>
    <t xml:space="preserve">Overall − Wholesale − Retail Lending (accounts)</t>
  </si>
  <si>
    <t xml:space="preserve">Wholesale share of Overall (gross)</t>
  </si>
  <si>
    <t xml:space="preserve">Overall ATS (₹ lakh)</t>
  </si>
  <si>
    <t xml:space="preserve">Wholesale ATS (₹ lakh)</t>
  </si>
  <si>
    <t xml:space="preserve">Retail Lending ATS (₹ lakh)</t>
  </si>
  <si>
    <t xml:space="preserve">Cross-page: Credit Portfolio Overview Jul-26 total (119,273.32) − Overall 31-Jul</t>
  </si>
  <si>
    <t xml:space="preserve">Cross-page: Net Advances Jul-26 net funded (117,027) − Overall 31-Jul (gross − net)</t>
  </si>
  <si>
    <t xml:space="preserve">Cross-page: Net Advances Jun-26 wholesale (51,044) vs Wholesale Sub Total 30-Jun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</si>
  <si>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</si>
  <si>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</si>
  <si>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</si>
  <si>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</si>
  <si>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</si>
  <si>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Retail Lending rows are clipped: visible rows add to only part of the Sub Total — unseen rows at 26-Aug (₹ Cr):</t>
  </si>
  <si>
    <t xml:space="preserve">₹ Cr</t>
  </si>
  <si>
    <t xml:space="preserve">Do not treat the visible retail rows as the full Retail Lending book.</t>
  </si>
  <si>
    <t xml:space="preserve">Wholesale rows add exactly to the Sub Total at all four dates (max |gap|):</t>
  </si>
  <si>
    <t xml:space="preserve">Wholesale block is complete.</t>
  </si>
  <si>
    <t xml:space="preserve">Gross advances grew ₹11.7k Cr (+10.2%) in three months; wholesale +₹7.4k Cr (+15.9%) is 63% of it.</t>
  </si>
  <si>
    <t xml:space="preserve">%</t>
  </si>
  <si>
    <t xml:space="preserve">Wholesale-led growth, consistent with the Net Advances page.</t>
  </si>
  <si>
    <t xml:space="preserve">Other retail (not shown: cards, micro banking, wheels, agri …) is ₹44.6k Cr, 35% of Overall, and grew +₹5.5k Cr in August alone (+₹4.2k Cr over three months).</t>
  </si>
  <si>
    <t xml:space="preserve">Matches the Aug-26 retail jump seen on the Net Advances monthly chart.</t>
  </si>
  <si>
    <t xml:space="preserve">Govt. Banking: 1 account / ₹369 Cr at 31-Jul → 7 accounts / ₹190 Cr at 26-Aug; blank at 30-Jun.</t>
  </si>
  <si>
    <t xml:space="preserve">Lumpy, few-account exposure.</t>
  </si>
  <si>
    <t xml:space="preserve">31-Jul-26 Overall and Wholesale tie exactly to the Credit Portfolio Overview page:</t>
  </si>
  <si>
    <t xml:space="preserve">Same gross basis across the two pages; gross − net at Jul-26 ≈ ₹2.2k Cr.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</si>
  <si>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</si>
  <si>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</si>
  <si>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</si>
  <si>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</si>
  <si>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</si>
  <si>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</si>
  <si>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</si>
  <si>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</si>
  <si>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Overall gross advances at 26-Aug-26?</t>
  </si>
  <si>
    <t xml:space="preserve">Lookup</t>
  </si>
  <si>
    <t xml:space="preserve">How many wholesale customers are there at 26-Aug?</t>
  </si>
  <si>
    <t xml:space="preserve">count</t>
  </si>
  <si>
    <t xml:space="preserve">What was Prime LAP gross at 31-May-26?</t>
  </si>
  <si>
    <t xml:space="preserve">Medium</t>
  </si>
  <si>
    <t xml:space="preserve">What is the MoM growth of Overall gross advances, Aug vs Jul?</t>
  </si>
  <si>
    <t xml:space="preserve">Aug ÷ Jul − 1</t>
  </si>
  <si>
    <t xml:space="preserve">What is the Corporate Banking ATS at 26-Aug (₹ lakh)?</t>
  </si>
  <si>
    <t xml:space="preserve">Gross × 100 ÷ accounts</t>
  </si>
  <si>
    <t xml:space="preserve">₹ lakh</t>
  </si>
  <si>
    <t xml:space="preserve">What share of Overall is wholesale at 26-Aug, and how did it move since May (pp)?</t>
  </si>
  <si>
    <t xml:space="preserve">Share Aug − share May</t>
  </si>
  <si>
    <t xml:space="preserve">pp</t>
  </si>
  <si>
    <t xml:space="preserve">How many accounts per customer does Gold Loan DA/CL carry?</t>
  </si>
  <si>
    <t xml:space="preserve">Accounts ÷ customers</t>
  </si>
  <si>
    <t xml:space="preserve">x</t>
  </si>
  <si>
    <t xml:space="preserve">High</t>
  </si>
  <si>
    <t xml:space="preserve">How much of the 3-month Overall growth came from Wholesale vs Retail Lending vs the unseen other retail?</t>
  </si>
  <si>
    <t xml:space="preserve">ΔW ÷ ΔOverall</t>
  </si>
  <si>
    <t xml:space="preserve">Wholesale ~63%; Retail Lending &lt;1%; other retail ~36%.</t>
  </si>
  <si>
    <t xml:space="preserve">Reconcile: does Overall − Wholesale − Retail Lending at 31-Jul equal the Credit Portfolio page's retail total less the Retail Lending products (67,042.37 − 27,885.39 = 39,156.98)?</t>
  </si>
  <si>
    <t xml:space="preserve">Other retail at 31-Jul</t>
  </si>
  <si>
    <t xml:space="preserve">Ties to the rupee — the two pages share one gross book.</t>
  </si>
  <si>
    <t xml:space="preserve">FI gross fell ₹496 Cr in Aug after rising ₹551 Cr in Jul — what is the net 3-month move?</t>
  </si>
  <si>
    <t xml:space="preserve">Aug − May</t>
  </si>
  <si>
    <t xml:space="preserve">Short-tenor FI lending swings month to month; read quarterly.</t>
  </si>
  <si>
    <t xml:space="preserve">What this page cannot support (feeds the data request)</t>
  </si>
  <si>
    <t xml:space="preserve">Not derivable: the clipped Retail Lending rows and the 31-May accounts / customers; net advances and provisions; SMA / NPA by row (see Credit Portfolio Overview); sanctions and disbursements behind the moves; non-fund exposure; daily series between the four dates.</t>
  </si>
  <si>
    <t xml:space="preserve">Gross advances by sub-category: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</si>
  <si>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</si>
  <si>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</si>
  <si>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</si>
  <si>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</si>
  <si>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G(x,d)</t>
  </si>
  <si>
    <t xml:space="preserve">Gross advances ₹ Cr of row x at balance date d</t>
  </si>
  <si>
    <t xml:space="preserve">N(x,d) / C(x,d)</t>
  </si>
  <si>
    <t xml:space="preserve">Accounts / customers</t>
  </si>
  <si>
    <t xml:space="preserve">d</t>
  </si>
  <si>
    <t xml:space="preserve">26-Aug-26, 31-Jul-26, 30-Jun-26, 31-May-26 (May: gross only)</t>
  </si>
  <si>
    <t xml:space="preserve">OV / W / RL</t>
  </si>
  <si>
    <t xml:space="preserve">Overall Advances / Wholesale Sub Total / Retail Lending Sub Total</t>
  </si>
  <si>
    <t xml:space="preserve">OR</t>
  </si>
  <si>
    <t xml:space="preserve">Other retail = OV − W − RL (rows not shown on the page)</t>
  </si>
  <si>
    <t xml:space="preserve">ATS</t>
  </si>
  <si>
    <t xml:space="preserve">G × 100 ÷ N, ₹ lakh</t>
  </si>
  <si>
    <t xml:space="preserve">APC</t>
  </si>
  <si>
    <t xml:space="preserve">Accounts per customer = N ÷ C</t>
  </si>
  <si>
    <t xml:space="preserve">g</t>
  </si>
  <si>
    <t xml:space="preserve">G(d) ÷ G(d−1) − 1; 3M = Aug ÷ May − 1</t>
  </si>
  <si>
    <t xml:space="preserve">sh</t>
  </si>
  <si>
    <t xml:space="preserve">G(x) ÷ OV</t>
  </si>
  <si>
    <t xml:space="preserve">Δ3M</t>
  </si>
  <si>
    <t xml:space="preserve">G(Aug) − G(May)</t>
  </si>
  <si>
    <t xml:space="preserve">Gross advances ₹ Cr; accounts and customers as counts; ATS ₹ lakh; growth in %.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</si>
  <si>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</si>
  <si>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</si>
  <si>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</si>
  <si>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</si>
  <si>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</si>
  <si>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</si>
  <si>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</si>
  <si>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Row gross advances</t>
  </si>
  <si>
    <t xml:space="preserve">25 rows × 4 dates</t>
  </si>
  <si>
    <t xml:space="preserve">Accounts and customers</t>
  </si>
  <si>
    <t xml:space="preserve">N(x,d), C(x,d)</t>
  </si>
  <si>
    <t xml:space="preserve">25 × 3</t>
  </si>
  <si>
    <t xml:space="preserve">Roll-up check</t>
  </si>
  <si>
    <t xml:space="preserve">Wholesale rows to Sub Total</t>
  </si>
  <si>
    <t xml:space="preserve">Σ rows − W</t>
  </si>
  <si>
    <t xml:space="preserve">4 dates (gross), 3 (accounts)</t>
  </si>
  <si>
    <t xml:space="preserve">Retail Lending visible rows</t>
  </si>
  <si>
    <t xml:space="preserve">Σ visible; RL − Σ visible (clipped)</t>
  </si>
  <si>
    <t xml:space="preserve">4 dates</t>
  </si>
  <si>
    <t xml:space="preserve">Volume aggregates</t>
  </si>
  <si>
    <t xml:space="preserve">Other retail (not shown)</t>
  </si>
  <si>
    <t xml:space="preserve">OR = OV − W − RL</t>
  </si>
  <si>
    <t xml:space="preserve">Overall / W / RL by date</t>
  </si>
  <si>
    <t xml:space="preserve">G(OV), G(W), G(RL)</t>
  </si>
  <si>
    <t xml:space="preserve">Growth &amp; momentum</t>
  </si>
  <si>
    <t xml:space="preserve">MoM growth</t>
  </si>
  <si>
    <t xml:space="preserve">g by row</t>
  </si>
  <si>
    <t xml:space="preserve">25 rows × 3</t>
  </si>
  <si>
    <t xml:space="preserve">3-month growth</t>
  </si>
  <si>
    <t xml:space="preserve">Aug ÷ May − 1</t>
  </si>
  <si>
    <t xml:space="preserve">23 rows</t>
  </si>
  <si>
    <t xml:space="preserve">3-month absolute change</t>
  </si>
  <si>
    <t xml:space="preserve">Sub-category 3M growth (retail)</t>
  </si>
  <si>
    <t xml:space="preserve">11 retail rows</t>
  </si>
  <si>
    <t xml:space="preserve">Account growth MoM</t>
  </si>
  <si>
    <t xml:space="preserve">N(Aug) − N(Jul)</t>
  </si>
  <si>
    <t xml:space="preserve">25 rows</t>
  </si>
  <si>
    <t xml:space="preserve">Attribution</t>
  </si>
  <si>
    <t xml:space="preserve">Δ3M(x) ÷ Δ3M(OV)</t>
  </si>
  <si>
    <t xml:space="preserve">23 rows + OR</t>
  </si>
  <si>
    <t xml:space="preserve">Mix &amp; share</t>
  </si>
  <si>
    <t xml:space="preserve">Share of Overall</t>
  </si>
  <si>
    <t xml:space="preserve">sh(x, Aug)</t>
  </si>
  <si>
    <t xml:space="preserve">Share of sub-total</t>
  </si>
  <si>
    <t xml:space="preserve">G(x) ÷ G(W or RL)</t>
  </si>
  <si>
    <t xml:space="preserve">20 rows</t>
  </si>
  <si>
    <t xml:space="preserve">Share shift May → Aug</t>
  </si>
  <si>
    <t xml:space="preserve">(sh Aug − sh May) × 100</t>
  </si>
  <si>
    <t xml:space="preserve">Ticket size</t>
  </si>
  <si>
    <t xml:space="preserve">ATS by row</t>
  </si>
  <si>
    <t xml:space="preserve">ATS(x, Aug)</t>
  </si>
  <si>
    <t xml:space="preserve">ATS by block</t>
  </si>
  <si>
    <t xml:space="preserve">3 dates</t>
  </si>
  <si>
    <t xml:space="preserve">Accounts per customer</t>
  </si>
  <si>
    <t xml:space="preserve">APC(x, Aug)</t>
  </si>
  <si>
    <t xml:space="preserve">Concentration</t>
  </si>
  <si>
    <t xml:space="preserve">Top-2 wholesale rows share of W</t>
  </si>
  <si>
    <t xml:space="preserve">(Corp + CB) ÷ W</t>
  </si>
  <si>
    <t xml:space="preserve">Aug</t>
  </si>
  <si>
    <t xml:space="preserve">Wholesale customers</t>
  </si>
  <si>
    <t xml:space="preserve">C(W)</t>
  </si>
  <si>
    <t xml:space="preserve">Cross-page</t>
  </si>
  <si>
    <t xml:space="preserve">Credit Portfolio Overview tie (Jul-26)</t>
  </si>
  <si>
    <t xml:space="preserve">CPO total − OV(31-Jul)</t>
  </si>
  <si>
    <t xml:space="preserve">1 date</t>
  </si>
  <si>
    <t xml:space="preserve">Gross vs net (Jul-26)</t>
  </si>
  <si>
    <t xml:space="preserve">OV(31-Jul) − net funded 117,027</t>
  </si>
  <si>
    <t xml:space="preserve">Wholesale Jun-26 vs Net Advances</t>
  </si>
  <si>
    <t xml:space="preserve">W(30-Jun) − 51,044</t>
  </si>
  <si>
    <t xml:space="preserve">Data integrity</t>
  </si>
  <si>
    <t xml:space="preserve">Clipped columns</t>
  </si>
  <si>
    <t xml:space="preserve">31-May accounts / customers; retail rows</t>
  </si>
  <si>
    <t xml:space="preserve">Page</t>
  </si>
  <si>
    <t xml:space="preserve">31-May shows gross only; Retail Lending rows incomplete (scrollbar visible)</t>
  </si>
  <si>
    <t xml:space="preserve">Blank rows</t>
  </si>
  <si>
    <t xml:space="preserve">C&amp;IB Agri, Retail - Others (wholesale)</t>
  </si>
  <si>
    <t xml:space="preserve">2 rows</t>
  </si>
  <si>
    <t xml:space="preserve">No values on this page; the CPO page shows C&amp;IB Agri 1 account, Retail - Others 5 accounts / ₹0.00</t>
  </si>
  <si>
    <t xml:space="preserve">Govt. Banking volatility</t>
  </si>
  <si>
    <t xml:space="preserve">N: 1 → 7; G: 369 → 190</t>
  </si>
  <si>
    <t xml:space="preserve">1 row</t>
  </si>
  <si>
    <t xml:space="preserve">Block 2 — Liability MEB by product at three dates</t>
  </si>
  <si>
    <t xml:space="preserve">Source: Overall Advances.pdf, 'Liability MEB' table | MEB ₹ Cr, # accounts, # customers | 30-Jun-26 customers clipped</t>
  </si>
  <si>
    <t xml:space="preserve">Product</t>
  </si>
  <si>
    <t xml:space="preserve">MEB 26-Aug</t>
  </si>
  <si>
    <t xml:space="preserve">MEB 31-Jul</t>
  </si>
  <si>
    <t xml:space="preserve">MEB 30-Jun</t>
  </si>
  <si>
    <t xml:space="preserve">2M Aug vs Jun</t>
  </si>
  <si>
    <t xml:space="preserve">Avg balance per account Aug (₹ lakh)</t>
  </si>
  <si>
    <t xml:space="preserve">Avg balance per account Jun (₹ lakh)</t>
  </si>
  <si>
    <t xml:space="preserve">Share of MEB Aug</t>
  </si>
  <si>
    <t xml:space="preserve">Share of MEB Jun</t>
  </si>
  <si>
    <t xml:space="preserve">Share shift (pp) Jun → Aug</t>
  </si>
  <si>
    <t xml:space="preserve">Contribution to 2M growth</t>
  </si>
  <si>
    <t xml:space="preserve">CA</t>
  </si>
  <si>
    <t xml:space="preserve">DEPOSITS</t>
  </si>
  <si>
    <t xml:space="preserve">NR</t>
  </si>
  <si>
    <t xml:space="preserve">SA</t>
  </si>
  <si>
    <t xml:space="preserve">SA DIGITAL</t>
  </si>
  <si>
    <t xml:space="preserve">SALARY</t>
  </si>
  <si>
    <t xml:space="preserve">Grand Total</t>
  </si>
  <si>
    <t xml:space="preserve">Σ products − Grand Total (MEB / accounts Aug / Jul / Jun)</t>
  </si>
  <si>
    <t xml:space="preserve">CASA (CA + SA + SA Digital + Salary) MEB</t>
  </si>
  <si>
    <t xml:space="preserve">CASA ratio = CASA ÷ Grand Total</t>
  </si>
  <si>
    <t xml:space="preserve">TD (Deposits + NR) MEB</t>
  </si>
  <si>
    <t xml:space="preserve">Cross-page: MAB page CM MAB grand total (115,448.64) − MEB 26-Aug</t>
  </si>
  <si>
    <t xml:space="preserve">Cross-page: Book Growth CM MEB grand total (113,109.81) − MEB 26-Aug</t>
  </si>
  <si>
    <t xml:space="preserve">Deposits (TD) MEB rose ₹16.0k Cr (+24.5%) in August on top of +₹7.7k Cr in July — the same NR / bulk inflow seen on the MAB page; the CASA ratio fell from 28% to 21% in two months.</t>
  </si>
  <si>
    <t xml:space="preserve">Funding mix is shifting sharply to term deposits.</t>
  </si>
  <si>
    <t xml:space="preserve">CA MEB fell 12.5% over two months while CA accounts were flat — balance per CA account dropping.</t>
  </si>
  <si>
    <t xml:space="preserve">Check large-CA attrition (nodal / corporate).</t>
  </si>
  <si>
    <t xml:space="preserve">Deposits accounts per customer is 3.1x (661k accounts, 216k customers): multiple TDs per depositor.</t>
  </si>
  <si>
    <t xml:space="preserve">Customer-level concentration is higher than account counts suggest.</t>
  </si>
  <si>
    <t xml:space="preserve">Products add to the Grand Total at every date (max |gap|):</t>
  </si>
  <si>
    <t xml:space="preserve">Table is complete.</t>
  </si>
  <si>
    <t xml:space="preserve">26-Aug MEB (106,752) sits below the MAB page's CM MAB (115,449) and the Book Growth CM MEB (113,110): different dates (26-Aug vs 29-Aug) and definitions.</t>
  </si>
  <si>
    <t xml:space="preserve">State basis and date on every liability total.</t>
  </si>
  <si>
    <t xml:space="preserve">Notation and exhaustive metrics table for this block: see sheet B2_Metrics</t>
  </si>
  <si>
    <t xml:space="preserve">What is total liability MEB at 26-Aug-26?</t>
  </si>
  <si>
    <t xml:space="preserve">How many SA accounts are there at 26-Aug?</t>
  </si>
  <si>
    <t xml:space="preserve">What was NR MEB at 30-Jun?</t>
  </si>
  <si>
    <t xml:space="preserve">What is the CASA ratio at 26-Aug vs 30-Jun?</t>
  </si>
  <si>
    <t xml:space="preserve">(CA + SA + SA Digital + Salary) ÷ GT</t>
  </si>
  <si>
    <t xml:space="preserve">What is the average balance per SA account (₹ lakh)?</t>
  </si>
  <si>
    <t xml:space="preserve">MEB × 100 ÷ accounts</t>
  </si>
  <si>
    <t xml:space="preserve">What is the 2-month growth of Deposits MEB?</t>
  </si>
  <si>
    <t xml:space="preserve">Aug ÷ Jun − 1</t>
  </si>
  <si>
    <t xml:space="preserve">How did the Deposits share of MEB move Jun → Aug (pp)?</t>
  </si>
  <si>
    <t xml:space="preserve">Share Aug − share Jun</t>
  </si>
  <si>
    <t xml:space="preserve">What share of the 2-month growth in total MEB came from Deposits?</t>
  </si>
  <si>
    <t xml:space="preserve">ΔDeposits ÷ ΔGT</t>
  </si>
  <si>
    <t xml:space="preserve">Over 100% — every other product net declined.</t>
  </si>
  <si>
    <t xml:space="preserve">Salary accounts grew (+3.8k) while Salary MEB fell 12% MoM — what is the change in balance per account?</t>
  </si>
  <si>
    <t xml:space="preserve">Aug ÷ Jul balance per account − 1</t>
  </si>
  <si>
    <t xml:space="preserve">Salary balances are being swept out faster than accounts are added.</t>
  </si>
  <si>
    <t xml:space="preserve">Is the 26-Aug MEB consistent with the MAB page (115,449 CM MAB)?</t>
  </si>
  <si>
    <t xml:space="preserve">MAB − MEB</t>
  </si>
  <si>
    <t xml:space="preserve">₹8.7k Cr gap is date (26 vs 29 Aug) and average-vs-end-of-day; the NR TD inflow landed late in the month.</t>
  </si>
  <si>
    <t xml:space="preserve">Not derivable: 30-Jun customers (clipped), cost of deposits, tenor of the TD inflow, segment (INSIGNIA / MASS …) split, daily balances, and the mapping of NR to the NR BAU identifier on the MAB page.</t>
  </si>
  <si>
    <t xml:space="preserve">Liability MEB: notation and metrics</t>
  </si>
  <si>
    <t xml:space="preserve">M(p,d)</t>
  </si>
  <si>
    <t xml:space="preserve">Liability MEB ₹ Cr of product p at date d (26-Aug, 31-Jul, 30-Jun)</t>
  </si>
  <si>
    <t xml:space="preserve">N(p,d) / C(p,d)</t>
  </si>
  <si>
    <t xml:space="preserve">Accounts / customers (Jun customers clipped)</t>
  </si>
  <si>
    <t xml:space="preserve">GT</t>
  </si>
  <si>
    <t xml:space="preserve">Grand Total MEB</t>
  </si>
  <si>
    <t xml:space="preserve">CASA</t>
  </si>
  <si>
    <t xml:space="preserve">CA + SA + SA Digital + Salary</t>
  </si>
  <si>
    <t xml:space="preserve">TD</t>
  </si>
  <si>
    <t xml:space="preserve">Deposits + NR</t>
  </si>
  <si>
    <t xml:space="preserve">BPA</t>
  </si>
  <si>
    <t xml:space="preserve">Balance per account = M × 100 ÷ N, ₹ lakh</t>
  </si>
  <si>
    <t xml:space="preserve">N ÷ C</t>
  </si>
  <si>
    <t xml:space="preserve">M(d) ÷ M(d−1) − 1; 2M = Aug ÷ Jun − 1</t>
  </si>
  <si>
    <t xml:space="preserve">M(p) ÷ GT</t>
  </si>
  <si>
    <t xml:space="preserve">MEB ₹ Cr; accounts and customers as counts; balance per account ₹ lakh; growth in %.</t>
  </si>
  <si>
    <t xml:space="preserve">Product MEB</t>
  </si>
  <si>
    <t xml:space="preserve">6 products × 3 dates</t>
  </si>
  <si>
    <t xml:space="preserve">N, C</t>
  </si>
  <si>
    <t xml:space="preserve">6 × 3 / 6 × 2</t>
  </si>
  <si>
    <t xml:space="preserve">Products to Grand Total</t>
  </si>
  <si>
    <t xml:space="preserve">GT − Σ M(p)</t>
  </si>
  <si>
    <t xml:space="preserve">CASA and TD</t>
  </si>
  <si>
    <t xml:space="preserve">CASA, TD, CASA ratio</t>
  </si>
  <si>
    <t xml:space="preserve">Product share of MEB</t>
  </si>
  <si>
    <t xml:space="preserve">sh(p, Aug) / sh(p, Jun)</t>
  </si>
  <si>
    <t xml:space="preserve">6 products</t>
  </si>
  <si>
    <t xml:space="preserve">Share shift Jun → Aug</t>
  </si>
  <si>
    <t xml:space="preserve">(sh Aug − sh Jun) × 100</t>
  </si>
  <si>
    <t xml:space="preserve">g(Aug/Jul), g(Jul/Jun)</t>
  </si>
  <si>
    <t xml:space="preserve">7 rows</t>
  </si>
  <si>
    <t xml:space="preserve">Two-month growth</t>
  </si>
  <si>
    <t xml:space="preserve">Account growth</t>
  </si>
  <si>
    <t xml:space="preserve">Contribution to 2M MEB growth</t>
  </si>
  <si>
    <t xml:space="preserve">ΔM(p) ÷ ΔGT</t>
  </si>
  <si>
    <t xml:space="preserve">Balance per account</t>
  </si>
  <si>
    <t xml:space="preserve">BPA(p, Aug) / BPA(p, Jun)</t>
  </si>
  <si>
    <t xml:space="preserve">APC(p, Aug)</t>
  </si>
  <si>
    <t xml:space="preserve">Balance per customer (Deposits)</t>
  </si>
  <si>
    <t xml:space="preserve">M × 100 ÷ C</t>
  </si>
  <si>
    <t xml:space="preserve">Aug / Jul</t>
  </si>
  <si>
    <t xml:space="preserve">MAB page vs MEB</t>
  </si>
  <si>
    <t xml:space="preserve">CM MAB 115,448.64 − MEB(26-Aug)</t>
  </si>
  <si>
    <t xml:space="preserve">Book Growth MEB vs this MEB</t>
  </si>
  <si>
    <t xml:space="preserve">113,109.81 − MEB(26-Aug)</t>
  </si>
  <si>
    <t xml:space="preserve">Clipped column</t>
  </si>
  <si>
    <t xml:space="preserve">30-Jun customers</t>
  </si>
  <si>
    <t xml:space="preserve">Not visible; APC computed for Aug and Jul only</t>
  </si>
  <si>
    <t xml:space="preserve">SA Digital balance</t>
  </si>
  <si>
    <t xml:space="preserve">BPA(SA Digital)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</si>
</sst>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#,##0"/>
    <numFmt numFmtId="167" formatCode="0.0%;\-0.0%;0.0%"/>
    <numFmt numFmtId="168" formatCode="#,##0.00"/>
    <numFmt numFmtId="169" formatCode="0.00\x"/>
    <numFmt numFmtId="170" formatCode="\+0.0&quot; pp&quot;;\-0.0&quot; pp&quot;;0.0&quot; pp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23.85" hidden="false" customHeight="false" outlineLevel="0" collapsed="false">
      <c r="A6" s="7" t="s">
        <v>4</v>
      </c>
      <c r="B6" s="8" t="s">
        <v>5</v>
      </c>
    </row>
    <row r="7" customFormat="false" ht="15" hidden="false" customHeight="false" outlineLevel="0" collapsed="false">
      <c r="A7" s="7" t="s">
        <v>6</v>
      </c>
      <c r="B7" s="8" t="s">
        <v>7</v>
      </c>
    </row>
    <row r="8" customFormat="false" ht="15" hidden="false" customHeight="false" outlineLevel="0" collapsed="false">
      <c r="A8" s="7" t="s">
        <v>8</v>
      </c>
      <c r="B8" s="8" t="s">
        <v>9</v>
      </c>
    </row>
    <row r="9" customFormat="false" ht="15" hidden="false" customHeight="false" outlineLevel="0" collapsed="false">
      <c r="A9" s="7" t="s">
        <v>10</v>
      </c>
      <c r="B9" s="8" t="s">
        <v>11</v>
      </c>
    </row>
    <row r="10" customFormat="false" ht="15" hidden="false" customHeight="false" outlineLevel="0" collapsed="false">
      <c r="A10" s="7"/>
      <c r="B10" s="8"/>
    </row>
    <row r="11" customFormat="false" ht="15" hidden="false" customHeight="false" outlineLevel="0" collapsed="false">
      <c r="A11" s="5" t="s">
        <v>12</v>
      </c>
      <c r="B11" s="6"/>
    </row>
    <row r="12" customFormat="false" ht="15" hidden="false" customHeight="false" outlineLevel="0" collapsed="false">
      <c r="A12" s="7" t="s">
        <v>13</v>
      </c>
      <c r="B12" s="8" t="s">
        <v>14</v>
      </c>
    </row>
    <row r="13" customFormat="false" ht="15" hidden="false" customHeight="false" outlineLevel="0" collapsed="false">
      <c r="A13" s="7" t="s">
        <v>15</v>
      </c>
      <c r="B13" s="8" t="s">
        <v>16</v>
      </c>
    </row>
    <row r="14" customFormat="false" ht="15" hidden="false" customHeight="false" outlineLevel="0" collapsed="false">
      <c r="A14" s="7" t="s">
        <v>17</v>
      </c>
      <c r="B14" s="8" t="s">
        <v>18</v>
      </c>
    </row>
    <row r="15" customFormat="false" ht="15" hidden="false" customHeight="false" outlineLevel="0" collapsed="false">
      <c r="A15" s="7" t="s">
        <v>19</v>
      </c>
      <c r="B15" s="8" t="s">
        <v>20</v>
      </c>
    </row>
    <row r="16" customFormat="false" ht="15" hidden="false" customHeight="false" outlineLevel="0" collapsed="false">
      <c r="A16" s="7" t="s">
        <v>21</v>
      </c>
      <c r="B16" s="8" t="s">
        <v>22</v>
      </c>
    </row>
    <row r="17" customFormat="false" ht="15" hidden="false" customHeight="false" outlineLevel="0" collapsed="false">
      <c r="A17" s="7"/>
      <c r="B17" s="8"/>
    </row>
    <row r="18" customFormat="false" ht="15" hidden="false" customHeight="false" outlineLevel="0" collapsed="false">
      <c r="A18" s="5" t="s">
        <v>23</v>
      </c>
      <c r="B18" s="6"/>
    </row>
    <row r="19" customFormat="false" ht="35.05" hidden="false" customHeight="false" outlineLevel="0" collapsed="false">
      <c r="A19" s="7" t="s">
        <v>24</v>
      </c>
      <c r="B19" s="8" t="s">
        <v>25</v>
      </c>
    </row>
    <row r="20" customFormat="false" ht="23.85" hidden="false" customHeight="false" outlineLevel="0" collapsed="false">
      <c r="A20" s="7" t="s">
        <v>26</v>
      </c>
      <c r="B20" s="8" t="s">
        <v>27</v>
      </c>
    </row>
    <row r="21" customFormat="false" ht="15" hidden="false" customHeight="false" outlineLevel="0" collapsed="false">
      <c r="A21" s="7" t="s">
        <v>28</v>
      </c>
      <c r="B21" s="8" t="s">
        <v>29</v>
      </c>
    </row>
    <row r="22" customFormat="false" ht="35.05" hidden="false" customHeight="false" outlineLevel="0" collapsed="false">
      <c r="A22" s="7" t="s">
        <v>30</v>
      </c>
      <c r="B22" s="8" t="s">
        <v>31</v>
      </c>
    </row>
    <row r="23" customFormat="false" ht="15" hidden="false" customHeight="false" outlineLevel="0" collapsed="false">
      <c r="A23" s="7" t="s">
        <v>32</v>
      </c>
      <c r="B23" s="8" t="s">
        <v>33</v>
      </c>
    </row>
    <row r="25" customFormat="false" ht="15" hidden="false" customHeight="false" outlineLevel="0" collapsed="false">
      <c r="A25" s="4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27" min="4" style="1" width="11"/>
  </cols>
  <sheetData>
    <row r="1" customFormat="false" ht="17.35" hidden="false" customHeight="false" outlineLevel="0" collapsed="false">
      <c r="A1" s="2" t="s">
        <v>34</v>
      </c>
    </row>
    <row r="2" customFormat="false" ht="15" hidden="false" customHeight="false" outlineLevel="0" collapsed="false">
      <c r="A2" s="3" t="s">
        <v>35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customFormat="false" ht="46.25" hidden="false" customHeight="false" outlineLevel="0" collapsed="false">
      <c r="A6" s="9" t="s">
        <v>37</v>
      </c>
      <c r="B6" s="9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9" t="s">
        <v>47</v>
      </c>
      <c r="L6" s="9" t="s">
        <v>48</v>
      </c>
      <c r="M6" s="9" t="s">
        <v>49</v>
      </c>
      <c r="N6" s="9" t="s">
        <v>50</v>
      </c>
      <c r="O6" s="9" t="s">
        <v>51</v>
      </c>
      <c r="P6" s="9" t="s">
        <v>52</v>
      </c>
      <c r="Q6" s="9" t="s">
        <v>53</v>
      </c>
      <c r="R6" s="9" t="s">
        <v>54</v>
      </c>
      <c r="S6" s="9" t="s">
        <v>55</v>
      </c>
      <c r="T6" s="9" t="s">
        <v>56</v>
      </c>
      <c r="U6" s="9" t="s">
        <v>57</v>
      </c>
      <c r="V6" s="9" t="s">
        <v>58</v>
      </c>
      <c r="W6" s="9" t="s">
        <v>59</v>
      </c>
      <c r="X6" s="9" t="s">
        <v>60</v>
      </c>
      <c r="Y6" s="9" t="s">
        <v>61</v>
      </c>
      <c r="Z6" s="9" t="s">
        <v>62</v>
      </c>
      <c r="AA6" s="9" t="s">
        <v>63</v>
      </c>
    </row>
    <row r="7" customFormat="false" ht="15" hidden="false" customHeight="false" outlineLevel="0" collapsed="false">
      <c r="A7" s="10" t="n">
        <v>1</v>
      </c>
      <c r="B7" s="10" t="s">
        <v>64</v>
      </c>
      <c r="C7" s="11" t="s">
        <v>65</v>
      </c>
      <c r="D7" s="12" t="n">
        <v>126108.71</v>
      </c>
      <c r="E7" s="13" t="n">
        <v>6003330</v>
      </c>
      <c r="F7" s="13" t="n">
        <v>5757648</v>
      </c>
      <c r="G7" s="12" t="n">
        <v>119273.32</v>
      </c>
      <c r="H7" s="13" t="n">
        <v>5904324</v>
      </c>
      <c r="I7" s="13" t="n">
        <v>5676691</v>
      </c>
      <c r="J7" s="12" t="n">
        <v>117318.52</v>
      </c>
      <c r="K7" s="13" t="n">
        <v>5926228</v>
      </c>
      <c r="L7" s="13" t="n">
        <v>5700683</v>
      </c>
      <c r="M7" s="12" t="n">
        <v>114456.96</v>
      </c>
      <c r="N7" s="14" t="n">
        <f aca="false">IF(OR(D7="",G7="",G7=0),"n/a",D7/G7-1)</f>
        <v>0.0573086252650634</v>
      </c>
      <c r="O7" s="14" t="n">
        <f aca="false">IF(OR(G7="",J7="",J7=0),"n/a",G7/J7-1)</f>
        <v>0.0166623308920024</v>
      </c>
      <c r="P7" s="14" t="n">
        <f aca="false">IF(OR(J7="",M7="",M7=0),"n/a",J7/M7-1)</f>
        <v>0.0250011882195718</v>
      </c>
      <c r="Q7" s="14" t="n">
        <f aca="false">IF(OR(D7="",M7="",M7=0),"n/a",D7/M7-1)</f>
        <v>0.101800274967988</v>
      </c>
      <c r="R7" s="15" t="n">
        <f aca="false">IF(OR(E7="",E7=0),"",D7*100/E7)</f>
        <v>2.10064597481731</v>
      </c>
      <c r="S7" s="15" t="n">
        <f aca="false">IF(OR(H7="",H7=0),"",G7*100/H7)</f>
        <v>2.02010120040838</v>
      </c>
      <c r="T7" s="16" t="n">
        <f aca="false">IF(OR(F7="",F7=0),"",E7/F7)</f>
        <v>1.04267054880743</v>
      </c>
      <c r="U7" s="17" t="n">
        <f aca="false">IF(OR(E7="",H7=""),"",E7-H7)</f>
        <v>99006</v>
      </c>
      <c r="V7" s="17" t="n">
        <f aca="false">IF(OR(F7="",I7=""),"",F7-I7)</f>
        <v>80957</v>
      </c>
      <c r="W7" s="14" t="n">
        <f aca="false">IF(D7="","",D7/$D$7)</f>
        <v>1</v>
      </c>
      <c r="X7" s="14"/>
      <c r="Y7" s="14" t="n">
        <f aca="false">IF(M7="","",M7/$M$7)</f>
        <v>1</v>
      </c>
      <c r="Z7" s="18" t="n">
        <f aca="false">IF(OR(D7="",M7=""),"",(W7-Y7)*100)</f>
        <v>0</v>
      </c>
      <c r="AA7" s="14" t="n">
        <f aca="false">IF(OR(D7="",M7=""),"",(D7-M7)/($D$7-$M$7))</f>
        <v>1</v>
      </c>
    </row>
    <row r="8" customFormat="false" ht="15" hidden="false" customHeight="false" outlineLevel="0" collapsed="false">
      <c r="A8" s="10" t="n">
        <v>2</v>
      </c>
      <c r="B8" s="10" t="s">
        <v>66</v>
      </c>
      <c r="C8" s="11" t="s">
        <v>67</v>
      </c>
      <c r="D8" s="12" t="n">
        <v>53873.7</v>
      </c>
      <c r="E8" s="13" t="n">
        <v>3135</v>
      </c>
      <c r="F8" s="13" t="n">
        <v>1219</v>
      </c>
      <c r="G8" s="12" t="n">
        <v>52230.94</v>
      </c>
      <c r="H8" s="13" t="n">
        <v>3110</v>
      </c>
      <c r="I8" s="13" t="n">
        <v>1204</v>
      </c>
      <c r="J8" s="12" t="n">
        <v>51322.63</v>
      </c>
      <c r="K8" s="13" t="n">
        <v>3024</v>
      </c>
      <c r="L8" s="13" t="n">
        <v>1206</v>
      </c>
      <c r="M8" s="12" t="n">
        <v>46483.02</v>
      </c>
      <c r="N8" s="14" t="n">
        <f aca="false">IF(OR(D8="",G8="",G8=0),"n/a",D8/G8-1)</f>
        <v>0.0314518559306034</v>
      </c>
      <c r="O8" s="14" t="n">
        <f aca="false">IF(OR(G8="",J8="",J8=0),"n/a",G8/J8-1)</f>
        <v>0.0176980408057812</v>
      </c>
      <c r="P8" s="14" t="n">
        <f aca="false">IF(OR(J8="",M8="",M8=0),"n/a",J8/M8-1)</f>
        <v>0.104115653414946</v>
      </c>
      <c r="Q8" s="14" t="n">
        <f aca="false">IF(OR(D8="",M8="",M8=0),"n/a",D8/M8-1)</f>
        <v>0.158997414539761</v>
      </c>
      <c r="R8" s="15" t="n">
        <f aca="false">IF(OR(E8="",E8=0),"",D8*100/E8)</f>
        <v>1718.45933014354</v>
      </c>
      <c r="S8" s="15" t="n">
        <f aca="false">IF(OR(H8="",H8=0),"",G8*100/H8)</f>
        <v>1679.45144694534</v>
      </c>
      <c r="T8" s="16" t="n">
        <f aca="false">IF(OR(F8="",F8=0),"",E8/F8)</f>
        <v>2.57178014766202</v>
      </c>
      <c r="U8" s="17" t="n">
        <f aca="false">IF(OR(E8="",H8=""),"",E8-H8)</f>
        <v>25</v>
      </c>
      <c r="V8" s="17" t="n">
        <f aca="false">IF(OR(F8="",I8=""),"",F8-I8)</f>
        <v>15</v>
      </c>
      <c r="W8" s="14" t="n">
        <f aca="false">IF(D8="","",D8/$D$7)</f>
        <v>0.427200468548128</v>
      </c>
      <c r="X8" s="14" t="n">
        <f aca="false">IF(D8="","",D8/$D$8)</f>
        <v>1</v>
      </c>
      <c r="Y8" s="14" t="n">
        <f aca="false">IF(M8="","",M8/$M$7)</f>
        <v>0.406117897941724</v>
      </c>
      <c r="Z8" s="18" t="n">
        <f aca="false">IF(OR(D8="",M8=""),"",(W8-Y8)*100)</f>
        <v>2.10825706064039</v>
      </c>
      <c r="AA8" s="14" t="n">
        <f aca="false">IF(OR(D8="",M8=""),"",(D8-M8)/($D$7-$M$7))</f>
        <v>0.634297852253953</v>
      </c>
    </row>
    <row r="9" customFormat="false" ht="15" hidden="false" customHeight="false" outlineLevel="0" collapsed="false">
      <c r="A9" s="10" t="n">
        <v>3</v>
      </c>
      <c r="B9" s="10" t="s">
        <v>66</v>
      </c>
      <c r="C9" s="10" t="s">
        <v>68</v>
      </c>
      <c r="D9" s="12"/>
      <c r="E9" s="13"/>
      <c r="F9" s="13"/>
      <c r="G9" s="12"/>
      <c r="H9" s="13"/>
      <c r="I9" s="13"/>
      <c r="J9" s="12"/>
      <c r="K9" s="13"/>
      <c r="L9" s="13"/>
      <c r="M9" s="12"/>
      <c r="N9" s="14" t="str">
        <f aca="false">IF(OR(D9="",G9="",G9=0),"n/a",D9/G9-1)</f>
        <v>n/a</v>
      </c>
      <c r="O9" s="14" t="str">
        <f aca="false">IF(OR(G9="",J9="",J9=0),"n/a",G9/J9-1)</f>
        <v>n/a</v>
      </c>
      <c r="P9" s="14" t="str">
        <f aca="false">IF(OR(J9="",M9="",M9=0),"n/a",J9/M9-1)</f>
        <v>n/a</v>
      </c>
      <c r="Q9" s="14" t="str">
        <f aca="false">IF(OR(D9="",M9="",M9=0),"n/a",D9/M9-1)</f>
        <v>n/a</v>
      </c>
      <c r="R9" s="15" t="str">
        <f aca="false">IF(OR(E9="",E9=0),"",D9*100/E9)</f>
        <v/>
      </c>
      <c r="S9" s="15" t="str">
        <f aca="false">IF(OR(H9="",H9=0),"",G9*100/H9)</f>
        <v/>
      </c>
      <c r="T9" s="16" t="str">
        <f aca="false">IF(OR(F9="",F9=0),"",E9/F9)</f>
        <v/>
      </c>
      <c r="U9" s="17" t="str">
        <f aca="false">IF(OR(E9="",H9=""),"",E9-H9)</f>
        <v/>
      </c>
      <c r="V9" s="17" t="str">
        <f aca="false">IF(OR(F9="",I9=""),"",F9-I9)</f>
        <v/>
      </c>
      <c r="W9" s="14" t="str">
        <f aca="false">IF(D9="","",D9/$D$7)</f>
        <v/>
      </c>
      <c r="X9" s="14" t="str">
        <f aca="false">IF(D9="","",D9/$D$8)</f>
        <v/>
      </c>
      <c r="Y9" s="14" t="str">
        <f aca="false">IF(M9="","",M9/$M$7)</f>
        <v/>
      </c>
      <c r="Z9" s="18" t="str">
        <f aca="false">IF(OR(D9="",M9=""),"",(W9-Y9)*100)</f>
        <v/>
      </c>
      <c r="AA9" s="14" t="str">
        <f aca="false">IF(OR(D9="",M9=""),"",(D9-M9)/($D$7-$M$7))</f>
        <v/>
      </c>
    </row>
    <row r="10" customFormat="false" ht="15" hidden="false" customHeight="false" outlineLevel="0" collapsed="false">
      <c r="A10" s="10" t="n">
        <v>4</v>
      </c>
      <c r="B10" s="10" t="s">
        <v>66</v>
      </c>
      <c r="C10" s="10" t="s">
        <v>69</v>
      </c>
      <c r="D10" s="12" t="n">
        <v>15715.13</v>
      </c>
      <c r="E10" s="13" t="n">
        <v>1507</v>
      </c>
      <c r="F10" s="13" t="n">
        <v>469</v>
      </c>
      <c r="G10" s="12" t="n">
        <v>14955.87</v>
      </c>
      <c r="H10" s="13" t="n">
        <v>1515</v>
      </c>
      <c r="I10" s="13" t="n">
        <v>472</v>
      </c>
      <c r="J10" s="12" t="n">
        <v>15090.59</v>
      </c>
      <c r="K10" s="13" t="n">
        <v>1497</v>
      </c>
      <c r="L10" s="13" t="n">
        <v>480</v>
      </c>
      <c r="M10" s="12" t="n">
        <v>13723.25</v>
      </c>
      <c r="N10" s="14" t="n">
        <f aca="false">IF(OR(D10="",G10="",G10=0),"n/a",D10/G10-1)</f>
        <v>0.0507666889321716</v>
      </c>
      <c r="O10" s="14" t="n">
        <f aca="false">IF(OR(G10="",J10="",J10=0),"n/a",G10/J10-1)</f>
        <v>-0.00892741768214489</v>
      </c>
      <c r="P10" s="14" t="n">
        <f aca="false">IF(OR(J10="",M10="",M10=0),"n/a",J10/M10-1)</f>
        <v>0.0996367478549178</v>
      </c>
      <c r="Q10" s="14" t="n">
        <f aca="false">IF(OR(D10="",M10="",M10=0),"n/a",D10/M10-1)</f>
        <v>0.145146375676316</v>
      </c>
      <c r="R10" s="15" t="n">
        <f aca="false">IF(OR(E10="",E10=0),"",D10*100/E10)</f>
        <v>1042.80889183809</v>
      </c>
      <c r="S10" s="15" t="n">
        <f aca="false">IF(OR(H10="",H10=0),"",G10*100/H10)</f>
        <v>987.186138613861</v>
      </c>
      <c r="T10" s="16" t="n">
        <f aca="false">IF(OR(F10="",F10=0),"",E10/F10)</f>
        <v>3.21321961620469</v>
      </c>
      <c r="U10" s="17" t="n">
        <f aca="false">IF(OR(E10="",H10=""),"",E10-H10)</f>
        <v>-8</v>
      </c>
      <c r="V10" s="17" t="n">
        <f aca="false">IF(OR(F10="",I10=""),"",F10-I10)</f>
        <v>-3</v>
      </c>
      <c r="W10" s="14" t="n">
        <f aca="false">IF(D10="","",D10/$D$7)</f>
        <v>0.124615738278506</v>
      </c>
      <c r="X10" s="14" t="n">
        <f aca="false">IF(D10="","",D10/$D$8)</f>
        <v>0.291703187269484</v>
      </c>
      <c r="Y10" s="14" t="n">
        <f aca="false">IF(M10="","",M10/$M$7)</f>
        <v>0.1198987811663</v>
      </c>
      <c r="Z10" s="18" t="n">
        <f aca="false">IF(OR(D10="",M10=""),"",(W10-Y10)*100)</f>
        <v>0.471695711220548</v>
      </c>
      <c r="AA10" s="14" t="n">
        <f aca="false">IF(OR(D10="",M10=""),"",(D10-M10)/($D$7-$M$7))</f>
        <v>0.170951144677838</v>
      </c>
    </row>
    <row r="11" customFormat="false" ht="15" hidden="false" customHeight="false" outlineLevel="0" collapsed="false">
      <c r="A11" s="10" t="n">
        <v>5</v>
      </c>
      <c r="B11" s="10" t="s">
        <v>66</v>
      </c>
      <c r="C11" s="10" t="s">
        <v>70</v>
      </c>
      <c r="D11" s="12" t="n">
        <v>147.84</v>
      </c>
      <c r="E11" s="13" t="n">
        <v>36</v>
      </c>
      <c r="F11" s="13" t="n">
        <v>6</v>
      </c>
      <c r="G11" s="12" t="n">
        <v>137.84</v>
      </c>
      <c r="H11" s="13" t="n">
        <v>25</v>
      </c>
      <c r="I11" s="13" t="n">
        <v>4</v>
      </c>
      <c r="J11" s="12" t="n">
        <v>149.81</v>
      </c>
      <c r="K11" s="13" t="n">
        <v>24</v>
      </c>
      <c r="L11" s="13" t="n">
        <v>4</v>
      </c>
      <c r="M11" s="12" t="n">
        <v>140.64</v>
      </c>
      <c r="N11" s="14" t="n">
        <f aca="false">IF(OR(D11="",G11="",G11=0),"n/a",D11/G11-1)</f>
        <v>0.0725478816018572</v>
      </c>
      <c r="O11" s="14" t="n">
        <f aca="false">IF(OR(G11="",J11="",J11=0),"n/a",G11/J11-1)</f>
        <v>-0.0799012081970496</v>
      </c>
      <c r="P11" s="14" t="n">
        <f aca="false">IF(OR(J11="",M11="",M11=0),"n/a",J11/M11-1)</f>
        <v>0.0652019340159273</v>
      </c>
      <c r="Q11" s="14" t="n">
        <f aca="false">IF(OR(D11="",M11="",M11=0),"n/a",D11/M11-1)</f>
        <v>0.0511945392491469</v>
      </c>
      <c r="R11" s="15" t="n">
        <f aca="false">IF(OR(E11="",E11=0),"",D11*100/E11)</f>
        <v>410.666666666667</v>
      </c>
      <c r="S11" s="15" t="n">
        <f aca="false">IF(OR(H11="",H11=0),"",G11*100/H11)</f>
        <v>551.36</v>
      </c>
      <c r="T11" s="16" t="n">
        <f aca="false">IF(OR(F11="",F11=0),"",E11/F11)</f>
        <v>6</v>
      </c>
      <c r="U11" s="17" t="n">
        <f aca="false">IF(OR(E11="",H11=""),"",E11-H11)</f>
        <v>11</v>
      </c>
      <c r="V11" s="17" t="n">
        <f aca="false">IF(OR(F11="",I11=""),"",F11-I11)</f>
        <v>2</v>
      </c>
      <c r="W11" s="14" t="n">
        <f aca="false">IF(D11="","",D11/$D$7)</f>
        <v>0.00117232188006681</v>
      </c>
      <c r="X11" s="14" t="n">
        <f aca="false">IF(D11="","",D11/$D$8)</f>
        <v>0.00274419614765646</v>
      </c>
      <c r="Y11" s="14" t="n">
        <f aca="false">IF(M11="","",M11/$M$7)</f>
        <v>0.00122875882777247</v>
      </c>
      <c r="Z11" s="18" t="n">
        <f aca="false">IF(OR(D11="",M11=""),"",(W11-Y11)*100)</f>
        <v>-0.00564369477056566</v>
      </c>
      <c r="AA11" s="14" t="n">
        <f aca="false">IF(OR(D11="",M11=""),"",(D11-M11)/($D$7-$M$7))</f>
        <v>0.000617932928530051</v>
      </c>
    </row>
    <row r="12" customFormat="false" ht="15" hidden="false" customHeight="false" outlineLevel="0" collapsed="false">
      <c r="A12" s="10" t="n">
        <v>6</v>
      </c>
      <c r="B12" s="10" t="s">
        <v>66</v>
      </c>
      <c r="C12" s="10" t="s">
        <v>71</v>
      </c>
      <c r="D12" s="12" t="n">
        <v>23736.16</v>
      </c>
      <c r="E12" s="13" t="n">
        <v>853</v>
      </c>
      <c r="F12" s="13" t="n">
        <v>303</v>
      </c>
      <c r="G12" s="12" t="n">
        <v>22103.54</v>
      </c>
      <c r="H12" s="13" t="n">
        <v>867</v>
      </c>
      <c r="I12" s="13" t="n">
        <v>294</v>
      </c>
      <c r="J12" s="12" t="n">
        <v>22066.31</v>
      </c>
      <c r="K12" s="13" t="n">
        <v>841</v>
      </c>
      <c r="L12" s="13" t="n">
        <v>296</v>
      </c>
      <c r="M12" s="12" t="n">
        <v>20247.46</v>
      </c>
      <c r="N12" s="14" t="n">
        <f aca="false">IF(OR(D12="",G12="",G12=0),"n/a",D12/G12-1)</f>
        <v>0.0738623767957531</v>
      </c>
      <c r="O12" s="14" t="n">
        <f aca="false">IF(OR(G12="",J12="",J12=0),"n/a",G12/J12-1)</f>
        <v>0.0016871873910953</v>
      </c>
      <c r="P12" s="14" t="n">
        <f aca="false">IF(OR(J12="",M12="",M12=0),"n/a",J12/M12-1)</f>
        <v>0.0898310207798905</v>
      </c>
      <c r="Q12" s="14" t="n">
        <f aca="false">IF(OR(D12="",M12="",M12=0),"n/a",D12/M12-1)</f>
        <v>0.172303093820163</v>
      </c>
      <c r="R12" s="15" t="n">
        <f aca="false">IF(OR(E12="",E12=0),"",D12*100/E12)</f>
        <v>2782.66822977726</v>
      </c>
      <c r="S12" s="15" t="n">
        <f aca="false">IF(OR(H12="",H12=0),"",G12*100/H12)</f>
        <v>2549.42791234141</v>
      </c>
      <c r="T12" s="16" t="n">
        <f aca="false">IF(OR(F12="",F12=0),"",E12/F12)</f>
        <v>2.81518151815182</v>
      </c>
      <c r="U12" s="17" t="n">
        <f aca="false">IF(OR(E12="",H12=""),"",E12-H12)</f>
        <v>-14</v>
      </c>
      <c r="V12" s="17" t="n">
        <f aca="false">IF(OR(F12="",I12=""),"",F12-I12)</f>
        <v>9</v>
      </c>
      <c r="W12" s="14" t="n">
        <f aca="false">IF(D12="","",D12/$D$7)</f>
        <v>0.188219830335272</v>
      </c>
      <c r="X12" s="14" t="n">
        <f aca="false">IF(D12="","",D12/$D$8)</f>
        <v>0.440589007252147</v>
      </c>
      <c r="Y12" s="14" t="n">
        <f aca="false">IF(M12="","",M12/$M$7)</f>
        <v>0.176900207728739</v>
      </c>
      <c r="Z12" s="18" t="n">
        <f aca="false">IF(OR(D12="",M12=""),"",(W12-Y12)*100)</f>
        <v>1.13196226065326</v>
      </c>
      <c r="AA12" s="14" t="n">
        <f aca="false">IF(OR(D12="",M12=""),"",(D12-M12)/($D$7-$M$7))</f>
        <v>0.299414251078164</v>
      </c>
    </row>
    <row r="13" customFormat="false" ht="15" hidden="false" customHeight="false" outlineLevel="0" collapsed="false">
      <c r="A13" s="10" t="n">
        <v>7</v>
      </c>
      <c r="B13" s="10" t="s">
        <v>66</v>
      </c>
      <c r="C13" s="10" t="s">
        <v>72</v>
      </c>
      <c r="D13" s="12" t="n">
        <v>8259.59</v>
      </c>
      <c r="E13" s="13" t="n">
        <v>132</v>
      </c>
      <c r="F13" s="13" t="n">
        <v>49</v>
      </c>
      <c r="G13" s="12" t="n">
        <v>8755.24</v>
      </c>
      <c r="H13" s="13" t="n">
        <v>127</v>
      </c>
      <c r="I13" s="13" t="n">
        <v>48</v>
      </c>
      <c r="J13" s="12" t="n">
        <v>8204.68</v>
      </c>
      <c r="K13" s="13" t="n">
        <v>117</v>
      </c>
      <c r="L13" s="13" t="n">
        <v>43</v>
      </c>
      <c r="M13" s="12" t="n">
        <v>7053.03</v>
      </c>
      <c r="N13" s="14" t="n">
        <f aca="false">IF(OR(D13="",G13="",G13=0),"n/a",D13/G13-1)</f>
        <v>-0.0566118118977892</v>
      </c>
      <c r="O13" s="14" t="n">
        <f aca="false">IF(OR(G13="",J13="",J13=0),"n/a",G13/J13-1)</f>
        <v>0.067103165510416</v>
      </c>
      <c r="P13" s="14" t="n">
        <f aca="false">IF(OR(J13="",M13="",M13=0),"n/a",J13/M13-1)</f>
        <v>0.16328443236453</v>
      </c>
      <c r="Q13" s="14" t="n">
        <f aca="false">IF(OR(D13="",M13="",M13=0),"n/a",D13/M13-1)</f>
        <v>0.171069738821471</v>
      </c>
      <c r="R13" s="15" t="n">
        <f aca="false">IF(OR(E13="",E13=0),"",D13*100/E13)</f>
        <v>6257.26515151515</v>
      </c>
      <c r="S13" s="15" t="n">
        <f aca="false">IF(OR(H13="",H13=0),"",G13*100/H13)</f>
        <v>6893.88976377953</v>
      </c>
      <c r="T13" s="16" t="n">
        <f aca="false">IF(OR(F13="",F13=0),"",E13/F13)</f>
        <v>2.69387755102041</v>
      </c>
      <c r="U13" s="17" t="n">
        <f aca="false">IF(OR(E13="",H13=""),"",E13-H13)</f>
        <v>5</v>
      </c>
      <c r="V13" s="17" t="n">
        <f aca="false">IF(OR(F13="",I13=""),"",F13-I13)</f>
        <v>1</v>
      </c>
      <c r="W13" s="14" t="n">
        <f aca="false">IF(D13="","",D13/$D$7)</f>
        <v>0.0654957932723283</v>
      </c>
      <c r="X13" s="14" t="n">
        <f aca="false">IF(D13="","",D13/$D$8)</f>
        <v>0.153313954675472</v>
      </c>
      <c r="Y13" s="14" t="n">
        <f aca="false">IF(M13="","",M13/$M$7)</f>
        <v>0.0616216785768205</v>
      </c>
      <c r="Z13" s="18" t="n">
        <f aca="false">IF(OR(D13="",M13=""),"",(W13-Y13)*100)</f>
        <v>0.387411469550781</v>
      </c>
      <c r="AA13" s="14" t="n">
        <f aca="false">IF(OR(D13="",M13=""),"",(D13-M13)/($D$7-$M$7))</f>
        <v>0.10355182697878</v>
      </c>
    </row>
    <row r="14" customFormat="false" ht="15" hidden="false" customHeight="false" outlineLevel="0" collapsed="false">
      <c r="A14" s="10" t="n">
        <v>8</v>
      </c>
      <c r="B14" s="10" t="s">
        <v>66</v>
      </c>
      <c r="C14" s="10" t="s">
        <v>73</v>
      </c>
      <c r="D14" s="12" t="n">
        <v>2.18</v>
      </c>
      <c r="E14" s="13" t="n">
        <v>1</v>
      </c>
      <c r="F14" s="13" t="n">
        <v>1</v>
      </c>
      <c r="G14" s="12" t="n">
        <v>3</v>
      </c>
      <c r="H14" s="13" t="n">
        <v>1</v>
      </c>
      <c r="I14" s="13" t="n">
        <v>1</v>
      </c>
      <c r="J14" s="12" t="n">
        <v>0.3</v>
      </c>
      <c r="K14" s="13" t="n">
        <v>1</v>
      </c>
      <c r="L14" s="13" t="n">
        <v>1</v>
      </c>
      <c r="M14" s="12" t="n">
        <v>5.61</v>
      </c>
      <c r="N14" s="14" t="n">
        <f aca="false">IF(OR(D14="",G14="",G14=0),"n/a",D14/G14-1)</f>
        <v>-0.273333333333333</v>
      </c>
      <c r="O14" s="14" t="n">
        <f aca="false">IF(OR(G14="",J14="",J14=0),"n/a",G14/J14-1)</f>
        <v>9</v>
      </c>
      <c r="P14" s="14" t="n">
        <f aca="false">IF(OR(J14="",M14="",M14=0),"n/a",J14/M14-1)</f>
        <v>-0.946524064171123</v>
      </c>
      <c r="Q14" s="14" t="n">
        <f aca="false">IF(OR(D14="",M14="",M14=0),"n/a",D14/M14-1)</f>
        <v>-0.611408199643494</v>
      </c>
      <c r="R14" s="15" t="n">
        <f aca="false">IF(OR(E14="",E14=0),"",D14*100/E14)</f>
        <v>218</v>
      </c>
      <c r="S14" s="15" t="n">
        <f aca="false">IF(OR(H14="",H14=0),"",G14*100/H14)</f>
        <v>300</v>
      </c>
      <c r="T14" s="16" t="n">
        <f aca="false">IF(OR(F14="",F14=0),"",E14/F14)</f>
        <v>1</v>
      </c>
      <c r="U14" s="17" t="n">
        <f aca="false">IF(OR(E14="",H14=""),"",E14-H14)</f>
        <v>0</v>
      </c>
      <c r="V14" s="17" t="n">
        <f aca="false">IF(OR(F14="",I14=""),"",F14-I14)</f>
        <v>0</v>
      </c>
      <c r="W14" s="14" t="n">
        <f aca="false">IF(D14="","",D14/$D$7)</f>
        <v>1.72866727444916E-005</v>
      </c>
      <c r="X14" s="14" t="n">
        <f aca="false">IF(D14="","",D14/$D$8)</f>
        <v>4.046501354093E-005</v>
      </c>
      <c r="Y14" s="14" t="n">
        <f aca="false">IF(M14="","",M14/$M$7)</f>
        <v>4.9014057336487E-005</v>
      </c>
      <c r="Z14" s="18" t="n">
        <f aca="false">IF(OR(D14="",M14=""),"",(W14-Y14)*100)</f>
        <v>-0.00317273845919954</v>
      </c>
      <c r="AA14" s="14" t="n">
        <f aca="false">IF(OR(D14="",M14=""),"",(D14-M14)/($D$7-$M$7))</f>
        <v>-0.000294376381230287</v>
      </c>
    </row>
    <row r="15" customFormat="false" ht="15" hidden="false" customHeight="false" outlineLevel="0" collapsed="false">
      <c r="A15" s="10" t="n">
        <v>9</v>
      </c>
      <c r="B15" s="10" t="s">
        <v>66</v>
      </c>
      <c r="C15" s="10" t="s">
        <v>74</v>
      </c>
      <c r="D15" s="12" t="n">
        <v>190.06</v>
      </c>
      <c r="E15" s="13" t="n">
        <v>7</v>
      </c>
      <c r="F15" s="13" t="n">
        <v>2</v>
      </c>
      <c r="G15" s="12" t="n">
        <v>369</v>
      </c>
      <c r="H15" s="13" t="n">
        <v>1</v>
      </c>
      <c r="I15" s="13" t="n">
        <v>1</v>
      </c>
      <c r="J15" s="12"/>
      <c r="K15" s="13"/>
      <c r="L15" s="13"/>
      <c r="M15" s="12"/>
      <c r="N15" s="14" t="n">
        <f aca="false">IF(OR(D15="",G15="",G15=0),"n/a",D15/G15-1)</f>
        <v>-0.484932249322493</v>
      </c>
      <c r="O15" s="14" t="str">
        <f aca="false">IF(OR(G15="",J15="",J15=0),"n/a",G15/J15-1)</f>
        <v>n/a</v>
      </c>
      <c r="P15" s="14" t="str">
        <f aca="false">IF(OR(J15="",M15="",M15=0),"n/a",J15/M15-1)</f>
        <v>n/a</v>
      </c>
      <c r="Q15" s="14" t="str">
        <f aca="false">IF(OR(D15="",M15="",M15=0),"n/a",D15/M15-1)</f>
        <v>n/a</v>
      </c>
      <c r="R15" s="15" t="n">
        <f aca="false">IF(OR(E15="",E15=0),"",D15*100/E15)</f>
        <v>2715.14285714286</v>
      </c>
      <c r="S15" s="15" t="n">
        <f aca="false">IF(OR(H15="",H15=0),"",G15*100/H15)</f>
        <v>36900</v>
      </c>
      <c r="T15" s="16" t="n">
        <f aca="false">IF(OR(F15="",F15=0),"",E15/F15)</f>
        <v>3.5</v>
      </c>
      <c r="U15" s="17" t="n">
        <f aca="false">IF(OR(E15="",H15=""),"",E15-H15)</f>
        <v>6</v>
      </c>
      <c r="V15" s="17" t="n">
        <f aca="false">IF(OR(F15="",I15=""),"",F15-I15)</f>
        <v>1</v>
      </c>
      <c r="W15" s="14" t="n">
        <f aca="false">IF(D15="","",D15/$D$7)</f>
        <v>0.00150711239532939</v>
      </c>
      <c r="X15" s="14" t="n">
        <f aca="false">IF(D15="","",D15/$D$8)</f>
        <v>0.00352788095118769</v>
      </c>
      <c r="Y15" s="14" t="str">
        <f aca="false">IF(M15="","",M15/$M$7)</f>
        <v/>
      </c>
      <c r="Z15" s="18" t="str">
        <f aca="false">IF(OR(D15="",M15=""),"",(W15-Y15)*100)</f>
        <v/>
      </c>
      <c r="AA15" s="14" t="str">
        <f aca="false">IF(OR(D15="",M15=""),"",(D15-M15)/($D$7-$M$7))</f>
        <v/>
      </c>
    </row>
    <row r="16" customFormat="false" ht="15" hidden="false" customHeight="false" outlineLevel="0" collapsed="false">
      <c r="A16" s="10" t="n">
        <v>10</v>
      </c>
      <c r="B16" s="10" t="s">
        <v>66</v>
      </c>
      <c r="C16" s="10" t="s">
        <v>75</v>
      </c>
      <c r="D16" s="12" t="n">
        <v>3876.27</v>
      </c>
      <c r="E16" s="13" t="n">
        <v>118</v>
      </c>
      <c r="F16" s="13" t="n">
        <v>35</v>
      </c>
      <c r="G16" s="12" t="n">
        <v>4010.12</v>
      </c>
      <c r="H16" s="13" t="n">
        <v>119</v>
      </c>
      <c r="I16" s="13" t="n">
        <v>35</v>
      </c>
      <c r="J16" s="12" t="n">
        <v>4007.99</v>
      </c>
      <c r="K16" s="13" t="n">
        <v>112</v>
      </c>
      <c r="L16" s="13" t="n">
        <v>35</v>
      </c>
      <c r="M16" s="12" t="n">
        <v>3540.73</v>
      </c>
      <c r="N16" s="14" t="n">
        <f aca="false">IF(OR(D16="",G16="",G16=0),"n/a",D16/G16-1)</f>
        <v>-0.0333780535245828</v>
      </c>
      <c r="O16" s="14" t="n">
        <f aca="false">IF(OR(G16="",J16="",J16=0),"n/a",G16/J16-1)</f>
        <v>0.00053143845169279</v>
      </c>
      <c r="P16" s="14" t="n">
        <f aca="false">IF(OR(J16="",M16="",M16=0),"n/a",J16/M16-1)</f>
        <v>0.131967136720394</v>
      </c>
      <c r="Q16" s="14" t="n">
        <f aca="false">IF(OR(D16="",M16="",M16=0),"n/a",D16/M16-1)</f>
        <v>0.09476576864093</v>
      </c>
      <c r="R16" s="15" t="n">
        <f aca="false">IF(OR(E16="",E16=0),"",D16*100/E16)</f>
        <v>3284.97457627119</v>
      </c>
      <c r="S16" s="15" t="n">
        <f aca="false">IF(OR(H16="",H16=0),"",G16*100/H16)</f>
        <v>3369.8487394958</v>
      </c>
      <c r="T16" s="16" t="n">
        <f aca="false">IF(OR(F16="",F16=0),"",E16/F16)</f>
        <v>3.37142857142857</v>
      </c>
      <c r="U16" s="17" t="n">
        <f aca="false">IF(OR(E16="",H16=""),"",E16-H16)</f>
        <v>-1</v>
      </c>
      <c r="V16" s="17" t="n">
        <f aca="false">IF(OR(F16="",I16=""),"",F16-I16)</f>
        <v>0</v>
      </c>
      <c r="W16" s="14" t="n">
        <f aca="false">IF(D16="","",D16/$D$7)</f>
        <v>0.0307375279629773</v>
      </c>
      <c r="X16" s="14" t="n">
        <f aca="false">IF(D16="","",D16/$D$8)</f>
        <v>0.0719510633203214</v>
      </c>
      <c r="Y16" s="14" t="n">
        <f aca="false">IF(M16="","",M16/$M$7)</f>
        <v>0.0309350344443885</v>
      </c>
      <c r="Z16" s="18" t="n">
        <f aca="false">IF(OR(D16="",M16=""),"",(W16-Y16)*100)</f>
        <v>-0.0197506481411189</v>
      </c>
      <c r="AA16" s="14" t="n">
        <f aca="false">IF(OR(D16="",M16=""),"",(D16-M16)/($D$7-$M$7))</f>
        <v>0.0287973909498573</v>
      </c>
    </row>
    <row r="17" customFormat="false" ht="15" hidden="false" customHeight="false" outlineLevel="0" collapsed="false">
      <c r="A17" s="10" t="n">
        <v>11</v>
      </c>
      <c r="B17" s="10" t="s">
        <v>66</v>
      </c>
      <c r="C17" s="10" t="s">
        <v>76</v>
      </c>
      <c r="D17" s="12" t="n">
        <v>172.31</v>
      </c>
      <c r="E17" s="13" t="n">
        <v>11</v>
      </c>
      <c r="F17" s="13" t="n">
        <v>8</v>
      </c>
      <c r="G17" s="12" t="n">
        <v>189.6</v>
      </c>
      <c r="H17" s="13" t="n">
        <v>10</v>
      </c>
      <c r="I17" s="13" t="n">
        <v>7</v>
      </c>
      <c r="J17" s="12" t="n">
        <v>145.08</v>
      </c>
      <c r="K17" s="13" t="n">
        <v>11</v>
      </c>
      <c r="L17" s="13" t="n">
        <v>9</v>
      </c>
      <c r="M17" s="12" t="n">
        <v>99.24</v>
      </c>
      <c r="N17" s="14" t="n">
        <f aca="false">IF(OR(D17="",G17="",G17=0),"n/a",D17/G17-1)</f>
        <v>-0.0911919831223629</v>
      </c>
      <c r="O17" s="14" t="n">
        <f aca="false">IF(OR(G17="",J17="",J17=0),"n/a",G17/J17-1)</f>
        <v>0.30686517783292</v>
      </c>
      <c r="P17" s="14" t="n">
        <f aca="false">IF(OR(J17="",M17="",M17=0),"n/a",J17/M17-1)</f>
        <v>0.461910519951633</v>
      </c>
      <c r="Q17" s="14" t="n">
        <f aca="false">IF(OR(D17="",M17="",M17=0),"n/a",D17/M17-1)</f>
        <v>0.736295848448207</v>
      </c>
      <c r="R17" s="15" t="n">
        <f aca="false">IF(OR(E17="",E17=0),"",D17*100/E17)</f>
        <v>1566.45454545455</v>
      </c>
      <c r="S17" s="15" t="n">
        <f aca="false">IF(OR(H17="",H17=0),"",G17*100/H17)</f>
        <v>1896</v>
      </c>
      <c r="T17" s="16" t="n">
        <f aca="false">IF(OR(F17="",F17=0),"",E17/F17)</f>
        <v>1.375</v>
      </c>
      <c r="U17" s="17" t="n">
        <f aca="false">IF(OR(E17="",H17=""),"",E17-H17)</f>
        <v>1</v>
      </c>
      <c r="V17" s="17" t="n">
        <f aca="false">IF(OR(F17="",I17=""),"",F17-I17)</f>
        <v>1</v>
      </c>
      <c r="W17" s="14" t="n">
        <f aca="false">IF(D17="","",D17/$D$7)</f>
        <v>0.00136636081679053</v>
      </c>
      <c r="X17" s="14" t="n">
        <f aca="false">IF(D17="","",D17/$D$8)</f>
        <v>0.00319840664368699</v>
      </c>
      <c r="Y17" s="14" t="n">
        <f aca="false">IF(M17="","",M17/$M$7)</f>
        <v>0.000867050811064701</v>
      </c>
      <c r="Z17" s="18" t="n">
        <f aca="false">IF(OR(D17="",M17=""),"",(W17-Y17)*100)</f>
        <v>0.0499310005725829</v>
      </c>
      <c r="AA17" s="14" t="n">
        <f aca="false">IF(OR(D17="",M17=""),"",(D17-M17)/($D$7-$M$7))</f>
        <v>0.00627116098440149</v>
      </c>
    </row>
    <row r="18" customFormat="false" ht="15" hidden="false" customHeight="false" outlineLevel="0" collapsed="false">
      <c r="A18" s="10" t="n">
        <v>12</v>
      </c>
      <c r="B18" s="10" t="s">
        <v>66</v>
      </c>
      <c r="C18" s="10" t="s">
        <v>77</v>
      </c>
      <c r="D18" s="12" t="n">
        <v>1774.16</v>
      </c>
      <c r="E18" s="13" t="n">
        <v>470</v>
      </c>
      <c r="F18" s="13" t="n">
        <v>346</v>
      </c>
      <c r="G18" s="12" t="n">
        <v>1706.73</v>
      </c>
      <c r="H18" s="13" t="n">
        <v>445</v>
      </c>
      <c r="I18" s="13" t="n">
        <v>342</v>
      </c>
      <c r="J18" s="12" t="n">
        <v>1657.86</v>
      </c>
      <c r="K18" s="13" t="n">
        <v>421</v>
      </c>
      <c r="L18" s="13" t="n">
        <v>338</v>
      </c>
      <c r="M18" s="12" t="n">
        <v>1673.06</v>
      </c>
      <c r="N18" s="14" t="n">
        <f aca="false">IF(OR(D18="",G18="",G18=0),"n/a",D18/G18-1)</f>
        <v>0.0395082994966984</v>
      </c>
      <c r="O18" s="14" t="n">
        <f aca="false">IF(OR(G18="",J18="",J18=0),"n/a",G18/J18-1)</f>
        <v>0.0294777604864103</v>
      </c>
      <c r="P18" s="14" t="n">
        <f aca="false">IF(OR(J18="",M18="",M18=0),"n/a",J18/M18-1)</f>
        <v>-0.00908514936702809</v>
      </c>
      <c r="Q18" s="14" t="n">
        <f aca="false">IF(OR(D18="",M18="",M18=0),"n/a",D18/M18-1)</f>
        <v>0.0604281974346408</v>
      </c>
      <c r="R18" s="15" t="n">
        <f aca="false">IF(OR(E18="",E18=0),"",D18*100/E18)</f>
        <v>377.48085106383</v>
      </c>
      <c r="S18" s="15" t="n">
        <f aca="false">IF(OR(H18="",H18=0),"",G18*100/H18)</f>
        <v>383.534831460674</v>
      </c>
      <c r="T18" s="16" t="n">
        <f aca="false">IF(OR(F18="",F18=0),"",E18/F18)</f>
        <v>1.35838150289017</v>
      </c>
      <c r="U18" s="17" t="n">
        <f aca="false">IF(OR(E18="",H18=""),"",E18-H18)</f>
        <v>25</v>
      </c>
      <c r="V18" s="17" t="n">
        <f aca="false">IF(OR(F18="",I18=""),"",F18-I18)</f>
        <v>4</v>
      </c>
      <c r="W18" s="14" t="n">
        <f aca="false">IF(D18="","",D18/$D$7)</f>
        <v>0.0140684969341134</v>
      </c>
      <c r="X18" s="14" t="n">
        <f aca="false">IF(D18="","",D18/$D$8)</f>
        <v>0.0329318387265029</v>
      </c>
      <c r="Y18" s="14" t="n">
        <f aca="false">IF(M18="","",M18/$M$7)</f>
        <v>0.0146173723293018</v>
      </c>
      <c r="Z18" s="18" t="n">
        <f aca="false">IF(OR(D18="",M18=""),"",(W18-Y18)*100)</f>
        <v>-0.0548875395188341</v>
      </c>
      <c r="AA18" s="14" t="n">
        <f aca="false">IF(OR(D18="",M18=""),"",(D18-M18)/($D$7-$M$7))</f>
        <v>0.00867680820477612</v>
      </c>
    </row>
    <row r="19" customFormat="false" ht="15" hidden="false" customHeight="false" outlineLevel="0" collapsed="false">
      <c r="A19" s="10" t="n">
        <v>13</v>
      </c>
      <c r="B19" s="10" t="s">
        <v>66</v>
      </c>
      <c r="C19" s="10" t="s">
        <v>78</v>
      </c>
      <c r="D19" s="12"/>
      <c r="E19" s="13"/>
      <c r="F19" s="13"/>
      <c r="G19" s="12"/>
      <c r="H19" s="13"/>
      <c r="I19" s="13"/>
      <c r="J19" s="12"/>
      <c r="K19" s="13"/>
      <c r="L19" s="13"/>
      <c r="M19" s="12"/>
      <c r="N19" s="14" t="str">
        <f aca="false">IF(OR(D19="",G19="",G19=0),"n/a",D19/G19-1)</f>
        <v>n/a</v>
      </c>
      <c r="O19" s="14" t="str">
        <f aca="false">IF(OR(G19="",J19="",J19=0),"n/a",G19/J19-1)</f>
        <v>n/a</v>
      </c>
      <c r="P19" s="14" t="str">
        <f aca="false">IF(OR(J19="",M19="",M19=0),"n/a",J19/M19-1)</f>
        <v>n/a</v>
      </c>
      <c r="Q19" s="14" t="str">
        <f aca="false">IF(OR(D19="",M19="",M19=0),"n/a",D19/M19-1)</f>
        <v>n/a</v>
      </c>
      <c r="R19" s="15" t="str">
        <f aca="false">IF(OR(E19="",E19=0),"",D19*100/E19)</f>
        <v/>
      </c>
      <c r="S19" s="15" t="str">
        <f aca="false">IF(OR(H19="",H19=0),"",G19*100/H19)</f>
        <v/>
      </c>
      <c r="T19" s="16" t="str">
        <f aca="false">IF(OR(F19="",F19=0),"",E19/F19)</f>
        <v/>
      </c>
      <c r="U19" s="17" t="str">
        <f aca="false">IF(OR(E19="",H19=""),"",E19-H19)</f>
        <v/>
      </c>
      <c r="V19" s="17" t="str">
        <f aca="false">IF(OR(F19="",I19=""),"",F19-I19)</f>
        <v/>
      </c>
      <c r="W19" s="14" t="str">
        <f aca="false">IF(D19="","",D19/$D$7)</f>
        <v/>
      </c>
      <c r="X19" s="14" t="str">
        <f aca="false">IF(D19="","",D19/$D$8)</f>
        <v/>
      </c>
      <c r="Y19" s="14" t="str">
        <f aca="false">IF(M19="","",M19/$M$7)</f>
        <v/>
      </c>
      <c r="Z19" s="18" t="str">
        <f aca="false">IF(OR(D19="",M19=""),"",(W19-Y19)*100)</f>
        <v/>
      </c>
      <c r="AA19" s="14" t="str">
        <f aca="false">IF(OR(D19="",M19=""),"",(D19-M19)/($D$7-$M$7))</f>
        <v/>
      </c>
    </row>
    <row r="20" customFormat="false" ht="15" hidden="false" customHeight="false" outlineLevel="0" collapsed="false">
      <c r="A20" s="10" t="n">
        <v>14</v>
      </c>
      <c r="B20" s="10" t="s">
        <v>79</v>
      </c>
      <c r="C20" s="11" t="s">
        <v>67</v>
      </c>
      <c r="D20" s="12" t="n">
        <v>27619.34</v>
      </c>
      <c r="E20" s="13" t="n">
        <v>245245</v>
      </c>
      <c r="F20" s="13" t="n">
        <v>222235</v>
      </c>
      <c r="G20" s="12" t="n">
        <v>27885.39</v>
      </c>
      <c r="H20" s="13" t="n">
        <v>245901</v>
      </c>
      <c r="I20" s="13" t="n">
        <v>222807</v>
      </c>
      <c r="J20" s="12" t="n">
        <v>27831.05</v>
      </c>
      <c r="K20" s="13" t="n">
        <v>243630</v>
      </c>
      <c r="L20" s="13" t="n">
        <v>220817</v>
      </c>
      <c r="M20" s="12" t="n">
        <v>27521.35</v>
      </c>
      <c r="N20" s="14" t="n">
        <f aca="false">IF(OR(D20="",G20="",G20=0),"n/a",D20/G20-1)</f>
        <v>-0.00954083841036468</v>
      </c>
      <c r="O20" s="14" t="n">
        <f aca="false">IF(OR(G20="",J20="",J20=0),"n/a",G20/J20-1)</f>
        <v>0.00195249550412213</v>
      </c>
      <c r="P20" s="14" t="n">
        <f aca="false">IF(OR(J20="",M20="",M20=0),"n/a",J20/M20-1)</f>
        <v>0.0112530816983905</v>
      </c>
      <c r="Q20" s="14" t="n">
        <f aca="false">IF(OR(D20="",M20="",M20=0),"n/a",D20/M20-1)</f>
        <v>0.00356050847796352</v>
      </c>
      <c r="R20" s="15" t="n">
        <f aca="false">IF(OR(E20="",E20=0),"",D20*100/E20)</f>
        <v>11.2619380619381</v>
      </c>
      <c r="S20" s="15" t="n">
        <f aca="false">IF(OR(H20="",H20=0),"",G20*100/H20)</f>
        <v>11.340088084229</v>
      </c>
      <c r="T20" s="16" t="n">
        <f aca="false">IF(OR(F20="",F20=0),"",E20/F20)</f>
        <v>1.10353904650483</v>
      </c>
      <c r="U20" s="17" t="n">
        <f aca="false">IF(OR(E20="",H20=""),"",E20-H20)</f>
        <v>-656</v>
      </c>
      <c r="V20" s="17" t="n">
        <f aca="false">IF(OR(F20="",I20=""),"",F20-I20)</f>
        <v>-572</v>
      </c>
      <c r="W20" s="14" t="n">
        <f aca="false">IF(D20="","",D20/$D$7)</f>
        <v>0.219012152293049</v>
      </c>
      <c r="X20" s="14" t="n">
        <f aca="false">IF(D20="","",D20/$D$20)</f>
        <v>1</v>
      </c>
      <c r="Y20" s="14" t="n">
        <f aca="false">IF(M20="","",M20/$M$7)</f>
        <v>0.240451519942518</v>
      </c>
      <c r="Z20" s="18" t="n">
        <f aca="false">IF(OR(D20="",M20=""),"",(W20-Y20)*100)</f>
        <v>-2.14393676494687</v>
      </c>
      <c r="AA20" s="14" t="n">
        <f aca="false">IF(OR(D20="",M20=""),"",(D20-M20)/($D$7-$M$7))</f>
        <v>0.0084098955092584</v>
      </c>
    </row>
    <row r="21" customFormat="false" ht="15" hidden="false" customHeight="false" outlineLevel="0" collapsed="false">
      <c r="A21" s="10" t="n">
        <v>15</v>
      </c>
      <c r="B21" s="10" t="s">
        <v>79</v>
      </c>
      <c r="C21" s="10" t="s">
        <v>80</v>
      </c>
      <c r="D21" s="12" t="n">
        <v>2606.15</v>
      </c>
      <c r="E21" s="13" t="n">
        <v>17561</v>
      </c>
      <c r="F21" s="13" t="n">
        <v>10130</v>
      </c>
      <c r="G21" s="12" t="n">
        <v>2585.66</v>
      </c>
      <c r="H21" s="13" t="n">
        <v>17290</v>
      </c>
      <c r="I21" s="13" t="n">
        <v>10095</v>
      </c>
      <c r="J21" s="12" t="n">
        <v>2509.03</v>
      </c>
      <c r="K21" s="13" t="n">
        <v>16721</v>
      </c>
      <c r="L21" s="13" t="n">
        <v>9887</v>
      </c>
      <c r="M21" s="12" t="n">
        <v>2434.39</v>
      </c>
      <c r="N21" s="14" t="n">
        <f aca="false">IF(OR(D21="",G21="",G21=0),"n/a",D21/G21-1)</f>
        <v>0.00792447576247457</v>
      </c>
      <c r="O21" s="14" t="n">
        <f aca="false">IF(OR(G21="",J21="",J21=0),"n/a",G21/J21-1)</f>
        <v>0.0305416834394168</v>
      </c>
      <c r="P21" s="14" t="n">
        <f aca="false">IF(OR(J21="",M21="",M21=0),"n/a",J21/M21-1)</f>
        <v>0.030660658316868</v>
      </c>
      <c r="Q21" s="14" t="n">
        <f aca="false">IF(OR(D21="",M21="",M21=0),"n/a",D21/M21-1)</f>
        <v>0.0705556628149147</v>
      </c>
      <c r="R21" s="15" t="n">
        <f aca="false">IF(OR(E21="",E21=0),"",D21*100/E21)</f>
        <v>14.8405557770059</v>
      </c>
      <c r="S21" s="15" t="n">
        <f aca="false">IF(OR(H21="",H21=0),"",G21*100/H21)</f>
        <v>14.9546558704453</v>
      </c>
      <c r="T21" s="16" t="n">
        <f aca="false">IF(OR(F21="",F21=0),"",E21/F21)</f>
        <v>1.73356367226061</v>
      </c>
      <c r="U21" s="17" t="n">
        <f aca="false">IF(OR(E21="",H21=""),"",E21-H21)</f>
        <v>271</v>
      </c>
      <c r="V21" s="17" t="n">
        <f aca="false">IF(OR(F21="",I21=""),"",F21-I21)</f>
        <v>35</v>
      </c>
      <c r="W21" s="14" t="n">
        <f aca="false">IF(D21="","",D21/$D$7)</f>
        <v>0.0206659000793839</v>
      </c>
      <c r="X21" s="14" t="n">
        <f aca="false">IF(D21="","",D21/$D$20)</f>
        <v>0.0943596045379796</v>
      </c>
      <c r="Y21" s="14" t="n">
        <f aca="false">IF(M21="","",M21/$M$7)</f>
        <v>0.0212690429660197</v>
      </c>
      <c r="Z21" s="18" t="n">
        <f aca="false">IF(OR(D21="",M21=""),"",(W21-Y21)*100)</f>
        <v>-0.0603142886635825</v>
      </c>
      <c r="AA21" s="14" t="n">
        <f aca="false">IF(OR(D21="",M21=""),"",(D21-M21)/($D$7-$M$7))</f>
        <v>0.0147411333061557</v>
      </c>
    </row>
    <row r="22" customFormat="false" ht="15" hidden="false" customHeight="false" outlineLevel="0" collapsed="false">
      <c r="A22" s="10" t="n">
        <v>16</v>
      </c>
      <c r="B22" s="10" t="s">
        <v>79</v>
      </c>
      <c r="C22" s="10" t="s">
        <v>81</v>
      </c>
      <c r="D22" s="12" t="n">
        <v>4271.99</v>
      </c>
      <c r="E22" s="13" t="n">
        <v>7912</v>
      </c>
      <c r="F22" s="13" t="n">
        <v>5816</v>
      </c>
      <c r="G22" s="12" t="n">
        <v>4300.78</v>
      </c>
      <c r="H22" s="13" t="n">
        <v>7907</v>
      </c>
      <c r="I22" s="13" t="n">
        <v>5829</v>
      </c>
      <c r="J22" s="12" t="n">
        <v>4324.98</v>
      </c>
      <c r="K22" s="13" t="n">
        <v>7926</v>
      </c>
      <c r="L22" s="13" t="n">
        <v>5859</v>
      </c>
      <c r="M22" s="12" t="n">
        <v>4339.7</v>
      </c>
      <c r="N22" s="14" t="n">
        <f aca="false">IF(OR(D22="",G22="",G22=0),"n/a",D22/G22-1)</f>
        <v>-0.00669413455233703</v>
      </c>
      <c r="O22" s="14" t="n">
        <f aca="false">IF(OR(G22="",J22="",J22=0),"n/a",G22/J22-1)</f>
        <v>-0.00559540159723282</v>
      </c>
      <c r="P22" s="14" t="n">
        <f aca="false">IF(OR(J22="",M22="",M22=0),"n/a",J22/M22-1)</f>
        <v>-0.00339193953499095</v>
      </c>
      <c r="Q22" s="14" t="n">
        <f aca="false">IF(OR(D22="",M22="",M22=0),"n/a",D22/M22-1)</f>
        <v>-0.0156024609996083</v>
      </c>
      <c r="R22" s="15" t="n">
        <f aca="false">IF(OR(E22="",E22=0),"",D22*100/E22)</f>
        <v>53.993806875632</v>
      </c>
      <c r="S22" s="15" t="n">
        <f aca="false">IF(OR(H22="",H22=0),"",G22*100/H22)</f>
        <v>54.3920576704186</v>
      </c>
      <c r="T22" s="16" t="n">
        <f aca="false">IF(OR(F22="",F22=0),"",E22/F22)</f>
        <v>1.36038514442916</v>
      </c>
      <c r="U22" s="17" t="n">
        <f aca="false">IF(OR(E22="",H22=""),"",E22-H22)</f>
        <v>5</v>
      </c>
      <c r="V22" s="17" t="n">
        <f aca="false">IF(OR(F22="",I22=""),"",F22-I22)</f>
        <v>-13</v>
      </c>
      <c r="W22" s="14" t="n">
        <f aca="false">IF(D22="","",D22/$D$7)</f>
        <v>0.0338754555494224</v>
      </c>
      <c r="X22" s="14" t="n">
        <f aca="false">IF(D22="","",D22/$D$20)</f>
        <v>0.154673862590489</v>
      </c>
      <c r="Y22" s="14" t="n">
        <f aca="false">IF(M22="","",M22/$M$7)</f>
        <v>0.0379155623214176</v>
      </c>
      <c r="Z22" s="18" t="n">
        <f aca="false">IF(OR(D22="",M22=""),"",(W22-Y22)*100)</f>
        <v>-0.404010677199519</v>
      </c>
      <c r="AA22" s="14" t="n">
        <f aca="false">IF(OR(D22="",M22=""),"",(D22-M22)/($D$7-$M$7))</f>
        <v>-0.00581114424871801</v>
      </c>
    </row>
    <row r="23" customFormat="false" ht="15" hidden="false" customHeight="false" outlineLevel="0" collapsed="false">
      <c r="A23" s="10" t="n">
        <v>17</v>
      </c>
      <c r="B23" s="10" t="s">
        <v>79</v>
      </c>
      <c r="C23" s="10" t="s">
        <v>82</v>
      </c>
      <c r="D23" s="12" t="n">
        <v>1232.25</v>
      </c>
      <c r="E23" s="13" t="n">
        <v>4074</v>
      </c>
      <c r="F23" s="13" t="n">
        <v>4042</v>
      </c>
      <c r="G23" s="12" t="n">
        <v>1232.04</v>
      </c>
      <c r="H23" s="13" t="n">
        <v>4059</v>
      </c>
      <c r="I23" s="13" t="n">
        <v>4024</v>
      </c>
      <c r="J23" s="12" t="n">
        <v>1222.04</v>
      </c>
      <c r="K23" s="13" t="n">
        <v>3994</v>
      </c>
      <c r="L23" s="13" t="n">
        <v>3959</v>
      </c>
      <c r="M23" s="12" t="n">
        <v>1223.45</v>
      </c>
      <c r="N23" s="14" t="n">
        <f aca="false">IF(OR(D23="",G23="",G23=0),"n/a",D23/G23-1)</f>
        <v>0.000170449011395846</v>
      </c>
      <c r="O23" s="14" t="n">
        <f aca="false">IF(OR(G23="",J23="",J23=0),"n/a",G23/J23-1)</f>
        <v>0.00818303819842225</v>
      </c>
      <c r="P23" s="14" t="n">
        <f aca="false">IF(OR(J23="",M23="",M23=0),"n/a",J23/M23-1)</f>
        <v>-0.00115247864645063</v>
      </c>
      <c r="Q23" s="14" t="n">
        <f aca="false">IF(OR(D23="",M23="",M23=0),"n/a",D23/M23-1)</f>
        <v>0.00719277453103917</v>
      </c>
      <c r="R23" s="15" t="n">
        <f aca="false">IF(OR(E23="",E23=0),"",D23*100/E23)</f>
        <v>30.2466863033873</v>
      </c>
      <c r="S23" s="15" t="n">
        <f aca="false">IF(OR(H23="",H23=0),"",G23*100/H23)</f>
        <v>30.3532889874353</v>
      </c>
      <c r="T23" s="16" t="n">
        <f aca="false">IF(OR(F23="",F23=0),"",E23/F23)</f>
        <v>1.00791687283523</v>
      </c>
      <c r="U23" s="17" t="n">
        <f aca="false">IF(OR(E23="",H23=""),"",E23-H23)</f>
        <v>15</v>
      </c>
      <c r="V23" s="17" t="n">
        <f aca="false">IF(OR(F23="",I23=""),"",F23-I23)</f>
        <v>18</v>
      </c>
      <c r="W23" s="14" t="n">
        <f aca="false">IF(D23="","",D23/$D$7)</f>
        <v>0.00977133141715588</v>
      </c>
      <c r="X23" s="14" t="n">
        <f aca="false">IF(D23="","",D23/$D$20)</f>
        <v>0.0446154759672027</v>
      </c>
      <c r="Y23" s="14" t="n">
        <f aca="false">IF(M23="","",M23/$M$7)</f>
        <v>0.0106891708464037</v>
      </c>
      <c r="Z23" s="18" t="n">
        <f aca="false">IF(OR(D23="",M23=""),"",(W23-Y23)*100)</f>
        <v>-0.0917839429247868</v>
      </c>
      <c r="AA23" s="14" t="n">
        <f aca="false">IF(OR(D23="",M23=""),"",(D23-M23)/($D$7-$M$7))</f>
        <v>0.000755251357092278</v>
      </c>
    </row>
    <row r="24" customFormat="false" ht="15" hidden="false" customHeight="false" outlineLevel="0" collapsed="false">
      <c r="A24" s="10" t="n">
        <v>18</v>
      </c>
      <c r="B24" s="10" t="s">
        <v>79</v>
      </c>
      <c r="C24" s="10" t="s">
        <v>83</v>
      </c>
      <c r="D24" s="12" t="n">
        <v>938.53</v>
      </c>
      <c r="E24" s="13" t="n">
        <v>6920</v>
      </c>
      <c r="F24" s="13" t="n">
        <v>5849</v>
      </c>
      <c r="G24" s="12" t="n">
        <v>954.73</v>
      </c>
      <c r="H24" s="13" t="n">
        <v>6796</v>
      </c>
      <c r="I24" s="13" t="n">
        <v>5718</v>
      </c>
      <c r="J24" s="12" t="n">
        <v>913.49</v>
      </c>
      <c r="K24" s="13" t="n">
        <v>6876</v>
      </c>
      <c r="L24" s="13" t="n">
        <v>5788</v>
      </c>
      <c r="M24" s="12" t="n">
        <v>929.54</v>
      </c>
      <c r="N24" s="14" t="n">
        <f aca="false">IF(OR(D24="",G24="",G24=0),"n/a",D24/G24-1)</f>
        <v>-0.0169681480628031</v>
      </c>
      <c r="O24" s="14" t="n">
        <f aca="false">IF(OR(G24="",J24="",J24=0),"n/a",G24/J24-1)</f>
        <v>0.0451455407284151</v>
      </c>
      <c r="P24" s="14" t="n">
        <f aca="false">IF(OR(J24="",M24="",M24=0),"n/a",J24/M24-1)</f>
        <v>-0.0172666049874131</v>
      </c>
      <c r="Q24" s="14" t="n">
        <f aca="false">IF(OR(D24="",M24="",M24=0),"n/a",D24/M24-1)</f>
        <v>0.00967145039481898</v>
      </c>
      <c r="R24" s="15" t="n">
        <f aca="false">IF(OR(E24="",E24=0),"",D24*100/E24)</f>
        <v>13.5625722543353</v>
      </c>
      <c r="S24" s="15" t="n">
        <f aca="false">IF(OR(H24="",H24=0),"",G24*100/H24)</f>
        <v>14.0484108298999</v>
      </c>
      <c r="T24" s="16" t="n">
        <f aca="false">IF(OR(F24="",F24=0),"",E24/F24)</f>
        <v>1.18310822362797</v>
      </c>
      <c r="U24" s="17" t="n">
        <f aca="false">IF(OR(E24="",H24=""),"",E24-H24)</f>
        <v>124</v>
      </c>
      <c r="V24" s="17" t="n">
        <f aca="false">IF(OR(F24="",I24=""),"",F24-I24)</f>
        <v>131</v>
      </c>
      <c r="W24" s="14" t="n">
        <f aca="false">IF(D24="","",D24/$D$7)</f>
        <v>0.00744222980315951</v>
      </c>
      <c r="X24" s="14" t="n">
        <f aca="false">IF(D24="","",D24/$D$20)</f>
        <v>0.0339808988918635</v>
      </c>
      <c r="Y24" s="14" t="n">
        <f aca="false">IF(M24="","",M24/$M$7)</f>
        <v>0.0081213060350371</v>
      </c>
      <c r="Z24" s="18" t="n">
        <f aca="false">IF(OR(D24="",M24=""),"",(W24-Y24)*100)</f>
        <v>-0.0679076231877588</v>
      </c>
      <c r="AA24" s="14" t="n">
        <f aca="false">IF(OR(D24="",M24=""),"",(D24-M24)/($D$7-$M$7))</f>
        <v>0.000771557920484048</v>
      </c>
    </row>
    <row r="25" customFormat="false" ht="15" hidden="false" customHeight="false" outlineLevel="0" collapsed="false">
      <c r="A25" s="10" t="n">
        <v>19</v>
      </c>
      <c r="B25" s="10" t="s">
        <v>79</v>
      </c>
      <c r="C25" s="10" t="s">
        <v>84</v>
      </c>
      <c r="D25" s="12" t="n">
        <v>1027.29</v>
      </c>
      <c r="E25" s="13" t="n">
        <v>4551</v>
      </c>
      <c r="F25" s="13" t="n">
        <v>4379</v>
      </c>
      <c r="G25" s="12" t="n">
        <v>1023.28</v>
      </c>
      <c r="H25" s="13" t="n">
        <v>4531</v>
      </c>
      <c r="I25" s="13" t="n">
        <v>4361</v>
      </c>
      <c r="J25" s="12" t="n">
        <v>999.47</v>
      </c>
      <c r="K25" s="13" t="n">
        <v>4413</v>
      </c>
      <c r="L25" s="13" t="n">
        <v>4257</v>
      </c>
      <c r="M25" s="12" t="n">
        <v>970.12</v>
      </c>
      <c r="N25" s="14" t="n">
        <f aca="false">IF(OR(D25="",G25="",G25=0),"n/a",D25/G25-1)</f>
        <v>0.00391877101086702</v>
      </c>
      <c r="O25" s="14" t="n">
        <f aca="false">IF(OR(G25="",J25="",J25=0),"n/a",G25/J25-1)</f>
        <v>0.0238226259917755</v>
      </c>
      <c r="P25" s="14" t="n">
        <f aca="false">IF(OR(J25="",M25="",M25=0),"n/a",J25/M25-1)</f>
        <v>0.0302539891972127</v>
      </c>
      <c r="Q25" s="14" t="n">
        <f aca="false">IF(OR(D25="",M25="",M25=0),"n/a",D25/M25-1)</f>
        <v>0.0589308539149795</v>
      </c>
      <c r="R25" s="15" t="n">
        <f aca="false">IF(OR(E25="",E25=0),"",D25*100/E25)</f>
        <v>22.5728411338167</v>
      </c>
      <c r="S25" s="15" t="n">
        <f aca="false">IF(OR(H25="",H25=0),"",G25*100/H25)</f>
        <v>22.5839770470095</v>
      </c>
      <c r="T25" s="16" t="n">
        <f aca="false">IF(OR(F25="",F25=0),"",E25/F25)</f>
        <v>1.039278374058</v>
      </c>
      <c r="U25" s="17" t="n">
        <f aca="false">IF(OR(E25="",H25=""),"",E25-H25)</f>
        <v>20</v>
      </c>
      <c r="V25" s="17" t="n">
        <f aca="false">IF(OR(F25="",I25=""),"",F25-I25)</f>
        <v>18</v>
      </c>
      <c r="W25" s="14" t="n">
        <f aca="false">IF(D25="","",D25/$D$7)</f>
        <v>0.0081460669925178</v>
      </c>
      <c r="X25" s="14" t="n">
        <f aca="false">IF(D25="","",D25/$D$20)</f>
        <v>0.037194589009006</v>
      </c>
      <c r="Y25" s="14" t="n">
        <f aca="false">IF(M25="","",M25/$M$7)</f>
        <v>0.00847584978667964</v>
      </c>
      <c r="Z25" s="18" t="n">
        <f aca="false">IF(OR(D25="",M25=""),"",(W25-Y25)*100)</f>
        <v>-0.0329782794161834</v>
      </c>
      <c r="AA25" s="14" t="n">
        <f aca="false">IF(OR(D25="",M25=""),"",(D25-M25)/($D$7-$M$7))</f>
        <v>0.00490655910056429</v>
      </c>
    </row>
    <row r="26" customFormat="false" ht="15" hidden="false" customHeight="false" outlineLevel="0" collapsed="false">
      <c r="A26" s="10" t="n">
        <v>20</v>
      </c>
      <c r="B26" s="10" t="s">
        <v>79</v>
      </c>
      <c r="C26" s="10" t="s">
        <v>85</v>
      </c>
      <c r="D26" s="12" t="n">
        <v>10457.71</v>
      </c>
      <c r="E26" s="13" t="n">
        <v>7237</v>
      </c>
      <c r="F26" s="13" t="n">
        <v>5799</v>
      </c>
      <c r="G26" s="12" t="n">
        <v>10517.4</v>
      </c>
      <c r="H26" s="13" t="n">
        <v>7256</v>
      </c>
      <c r="I26" s="13" t="n">
        <v>5825</v>
      </c>
      <c r="J26" s="12" t="n">
        <v>10382.9</v>
      </c>
      <c r="K26" s="13" t="n">
        <v>7181</v>
      </c>
      <c r="L26" s="13" t="n">
        <v>5774</v>
      </c>
      <c r="M26" s="12" t="n">
        <v>10045.12</v>
      </c>
      <c r="N26" s="14" t="n">
        <f aca="false">IF(OR(D26="",G26="",G26=0),"n/a",D26/G26-1)</f>
        <v>-0.0056753570274023</v>
      </c>
      <c r="O26" s="14" t="n">
        <f aca="false">IF(OR(G26="",J26="",J26=0),"n/a",G26/J26-1)</f>
        <v>0.0129539916593631</v>
      </c>
      <c r="P26" s="14" t="n">
        <f aca="false">IF(OR(J26="",M26="",M26=0),"n/a",J26/M26-1)</f>
        <v>0.0336262782326142</v>
      </c>
      <c r="Q26" s="14" t="n">
        <f aca="false">IF(OR(D26="",M26="",M26=0),"n/a",D26/M26-1)</f>
        <v>0.0410736755758019</v>
      </c>
      <c r="R26" s="15" t="n">
        <f aca="false">IF(OR(E26="",E26=0),"",D26*100/E26)</f>
        <v>144.503385380683</v>
      </c>
      <c r="S26" s="15" t="n">
        <f aca="false">IF(OR(H26="",H26=0),"",G26*100/H26)</f>
        <v>144.94762954796</v>
      </c>
      <c r="T26" s="16" t="n">
        <f aca="false">IF(OR(F26="",F26=0),"",E26/F26)</f>
        <v>1.24797378858424</v>
      </c>
      <c r="U26" s="17" t="n">
        <f aca="false">IF(OR(E26="",H26=""),"",E26-H26)</f>
        <v>-19</v>
      </c>
      <c r="V26" s="17" t="n">
        <f aca="false">IF(OR(F26="",I26=""),"",F26-I26)</f>
        <v>-26</v>
      </c>
      <c r="W26" s="14" t="n">
        <f aca="false">IF(D26="","",D26/$D$7)</f>
        <v>0.0829261515719255</v>
      </c>
      <c r="X26" s="14" t="n">
        <f aca="false">IF(D26="","",D26/$D$20)</f>
        <v>0.378637215806026</v>
      </c>
      <c r="Y26" s="14" t="n">
        <f aca="false">IF(M26="","",M26/$M$7)</f>
        <v>0.0877632954780557</v>
      </c>
      <c r="Z26" s="18" t="n">
        <f aca="false">IF(OR(D26="",M26=""),"",(W26-Y26)*100)</f>
        <v>-0.483714390613017</v>
      </c>
      <c r="AA26" s="14" t="n">
        <f aca="false">IF(OR(D26="",M26=""),"",(D26-M26)/($D$7-$M$7))</f>
        <v>0.0354101315253072</v>
      </c>
    </row>
    <row r="27" customFormat="false" ht="15" hidden="false" customHeight="false" outlineLevel="0" collapsed="false">
      <c r="A27" s="10" t="n">
        <v>21</v>
      </c>
      <c r="B27" s="10" t="s">
        <v>79</v>
      </c>
      <c r="C27" s="10" t="s">
        <v>86</v>
      </c>
      <c r="D27" s="12" t="n">
        <v>467.39</v>
      </c>
      <c r="E27" s="13" t="n">
        <v>1257</v>
      </c>
      <c r="F27" s="13" t="n">
        <v>1226</v>
      </c>
      <c r="G27" s="12" t="n">
        <v>470.17</v>
      </c>
      <c r="H27" s="13" t="n">
        <v>1267</v>
      </c>
      <c r="I27" s="13" t="n">
        <v>1235</v>
      </c>
      <c r="J27" s="12" t="n">
        <v>477.59</v>
      </c>
      <c r="K27" s="13" t="n">
        <v>1276</v>
      </c>
      <c r="L27" s="13" t="n">
        <v>1244</v>
      </c>
      <c r="M27" s="12" t="n">
        <v>481.56</v>
      </c>
      <c r="N27" s="14" t="n">
        <f aca="false">IF(OR(D27="",G27="",G27=0),"n/a",D27/G27-1)</f>
        <v>-0.00591275496097166</v>
      </c>
      <c r="O27" s="14" t="n">
        <f aca="false">IF(OR(G27="",J27="",J27=0),"n/a",G27/J27-1)</f>
        <v>-0.0155363387005589</v>
      </c>
      <c r="P27" s="14" t="n">
        <f aca="false">IF(OR(J27="",M27="",M27=0),"n/a",J27/M27-1)</f>
        <v>-0.00824404020267466</v>
      </c>
      <c r="Q27" s="14" t="n">
        <f aca="false">IF(OR(D27="",M27="",M27=0),"n/a",D27/M27-1)</f>
        <v>-0.0294252014286901</v>
      </c>
      <c r="R27" s="15" t="n">
        <f aca="false">IF(OR(E27="",E27=0),"",D27*100/E27)</f>
        <v>37.1829753381066</v>
      </c>
      <c r="S27" s="15" t="n">
        <f aca="false">IF(OR(H27="",H27=0),"",G27*100/H27)</f>
        <v>37.1089187056038</v>
      </c>
      <c r="T27" s="16" t="n">
        <f aca="false">IF(OR(F27="",F27=0),"",E27/F27)</f>
        <v>1.0252854812398</v>
      </c>
      <c r="U27" s="17" t="n">
        <f aca="false">IF(OR(E27="",H27=""),"",E27-H27)</f>
        <v>-10</v>
      </c>
      <c r="V27" s="17" t="n">
        <f aca="false">IF(OR(F27="",I27=""),"",F27-I27)</f>
        <v>-9</v>
      </c>
      <c r="W27" s="14" t="n">
        <f aca="false">IF(D27="","",D27/$D$7)</f>
        <v>0.00370624677708621</v>
      </c>
      <c r="X27" s="14" t="n">
        <f aca="false">IF(D27="","",D27/$D$20)</f>
        <v>0.0169225622335653</v>
      </c>
      <c r="Y27" s="14" t="n">
        <f aca="false">IF(M27="","",M27/$M$7)</f>
        <v>0.00420734571318337</v>
      </c>
      <c r="Z27" s="18" t="n">
        <f aca="false">IF(OR(D27="",M27=""),"",(W27-Y27)*100)</f>
        <v>-0.0501098936097152</v>
      </c>
      <c r="AA27" s="14" t="n">
        <f aca="false">IF(OR(D27="",M27=""),"",(D27-M27)/($D$7-$M$7))</f>
        <v>-0.00121612633295428</v>
      </c>
    </row>
    <row r="28" customFormat="false" ht="15" hidden="false" customHeight="false" outlineLevel="0" collapsed="false">
      <c r="A28" s="10" t="n">
        <v>22</v>
      </c>
      <c r="B28" s="10" t="s">
        <v>79</v>
      </c>
      <c r="C28" s="10" t="s">
        <v>87</v>
      </c>
      <c r="D28" s="12" t="n">
        <v>1936.94</v>
      </c>
      <c r="E28" s="13" t="n">
        <v>4748</v>
      </c>
      <c r="F28" s="13" t="n">
        <v>4513</v>
      </c>
      <c r="G28" s="12" t="n">
        <v>1981.52</v>
      </c>
      <c r="H28" s="13" t="n">
        <v>4731</v>
      </c>
      <c r="I28" s="13" t="n">
        <v>4493</v>
      </c>
      <c r="J28" s="12" t="n">
        <v>2017.01</v>
      </c>
      <c r="K28" s="13" t="n">
        <v>4781</v>
      </c>
      <c r="L28" s="13" t="n">
        <v>4546</v>
      </c>
      <c r="M28" s="12" t="n">
        <v>2023.02</v>
      </c>
      <c r="N28" s="14" t="n">
        <f aca="false">IF(OR(D28="",G28="",G28=0),"n/a",D28/G28-1)</f>
        <v>-0.0224978804150349</v>
      </c>
      <c r="O28" s="14" t="n">
        <f aca="false">IF(OR(G28="",J28="",J28=0),"n/a",G28/J28-1)</f>
        <v>-0.0175953515351932</v>
      </c>
      <c r="P28" s="14" t="n">
        <f aca="false">IF(OR(J28="",M28="",M28=0),"n/a",J28/M28-1)</f>
        <v>-0.00297080602267896</v>
      </c>
      <c r="Q28" s="14" t="n">
        <f aca="false">IF(OR(D28="",M28="",M28=0),"n/a",D28/M28-1)</f>
        <v>-0.0425502466609327</v>
      </c>
      <c r="R28" s="15" t="n">
        <f aca="false">IF(OR(E28="",E28=0),"",D28*100/E28)</f>
        <v>40.7948609941028</v>
      </c>
      <c r="S28" s="15" t="n">
        <f aca="false">IF(OR(H28="",H28=0),"",G28*100/H28)</f>
        <v>41.8837455083492</v>
      </c>
      <c r="T28" s="16" t="n">
        <f aca="false">IF(OR(F28="",F28=0),"",E28/F28)</f>
        <v>1.05207179259916</v>
      </c>
      <c r="U28" s="17" t="n">
        <f aca="false">IF(OR(E28="",H28=""),"",E28-H28)</f>
        <v>17</v>
      </c>
      <c r="V28" s="17" t="n">
        <f aca="false">IF(OR(F28="",I28=""),"",F28-I28)</f>
        <v>20</v>
      </c>
      <c r="W28" s="14" t="n">
        <f aca="false">IF(D28="","",D28/$D$7)</f>
        <v>0.0153592880301448</v>
      </c>
      <c r="X28" s="14" t="n">
        <f aca="false">IF(D28="","",D28/$D$20)</f>
        <v>0.0701298437978605</v>
      </c>
      <c r="Y28" s="14" t="n">
        <f aca="false">IF(M28="","",M28/$M$7)</f>
        <v>0.0176749408686025</v>
      </c>
      <c r="Z28" s="18" t="n">
        <f aca="false">IF(OR(D28="",M28=""),"",(W28-Y28)*100)</f>
        <v>-0.23156528384577</v>
      </c>
      <c r="AA28" s="14" t="n">
        <f aca="false">IF(OR(D28="",M28=""),"",(D28-M28)/($D$7-$M$7))</f>
        <v>-0.00738773145664814</v>
      </c>
    </row>
    <row r="29" customFormat="false" ht="15" hidden="false" customHeight="false" outlineLevel="0" collapsed="false">
      <c r="A29" s="10" t="n">
        <v>23</v>
      </c>
      <c r="B29" s="10" t="s">
        <v>79</v>
      </c>
      <c r="C29" s="10" t="s">
        <v>88</v>
      </c>
      <c r="D29" s="12" t="n">
        <v>37.18</v>
      </c>
      <c r="E29" s="13" t="n">
        <v>312</v>
      </c>
      <c r="F29" s="13" t="n">
        <v>308</v>
      </c>
      <c r="G29" s="12" t="n">
        <v>38.47</v>
      </c>
      <c r="H29" s="13" t="n">
        <v>318</v>
      </c>
      <c r="I29" s="13" t="n">
        <v>314</v>
      </c>
      <c r="J29" s="12" t="n">
        <v>39.29</v>
      </c>
      <c r="K29" s="13" t="n">
        <v>380</v>
      </c>
      <c r="L29" s="13" t="n">
        <v>378</v>
      </c>
      <c r="M29" s="12" t="n">
        <v>40.56</v>
      </c>
      <c r="N29" s="14" t="n">
        <f aca="false">IF(OR(D29="",G29="",G29=0),"n/a",D29/G29-1)</f>
        <v>-0.033532622822979</v>
      </c>
      <c r="O29" s="14" t="n">
        <f aca="false">IF(OR(G29="",J29="",J29=0),"n/a",G29/J29-1)</f>
        <v>-0.0208704504963095</v>
      </c>
      <c r="P29" s="14" t="n">
        <f aca="false">IF(OR(J29="",M29="",M29=0),"n/a",J29/M29-1)</f>
        <v>-0.0313116370808679</v>
      </c>
      <c r="Q29" s="14" t="n">
        <f aca="false">IF(OR(D29="",M29="",M29=0),"n/a",D29/M29-1)</f>
        <v>-0.0833333333333334</v>
      </c>
      <c r="R29" s="15" t="n">
        <f aca="false">IF(OR(E29="",E29=0),"",D29*100/E29)</f>
        <v>11.9166666666667</v>
      </c>
      <c r="S29" s="15" t="n">
        <f aca="false">IF(OR(H29="",H29=0),"",G29*100/H29)</f>
        <v>12.0974842767296</v>
      </c>
      <c r="T29" s="16" t="n">
        <f aca="false">IF(OR(F29="",F29=0),"",E29/F29)</f>
        <v>1.01298701298701</v>
      </c>
      <c r="U29" s="17" t="n">
        <f aca="false">IF(OR(E29="",H29=""),"",E29-H29)</f>
        <v>-6</v>
      </c>
      <c r="V29" s="17" t="n">
        <f aca="false">IF(OR(F29="",I29=""),"",F29-I29)</f>
        <v>-6</v>
      </c>
      <c r="W29" s="14" t="n">
        <f aca="false">IF(D29="","",D29/$D$7)</f>
        <v>0.000294824996623945</v>
      </c>
      <c r="X29" s="14" t="n">
        <f aca="false">IF(D29="","",D29/$D$20)</f>
        <v>0.00134615816308427</v>
      </c>
      <c r="Y29" s="14" t="n">
        <f aca="false">IF(M29="","",M29/$M$7)</f>
        <v>0.000354369013470216</v>
      </c>
      <c r="Z29" s="18" t="n">
        <f aca="false">IF(OR(D29="",M29=""),"",(W29-Y29)*100)</f>
        <v>-0.00595440168462717</v>
      </c>
      <c r="AA29" s="14" t="n">
        <f aca="false">IF(OR(D29="",M29=""),"",(D29-M29)/($D$7-$M$7))</f>
        <v>-0.000290085180337718</v>
      </c>
    </row>
    <row r="30" customFormat="false" ht="15" hidden="false" customHeight="false" outlineLevel="0" collapsed="false">
      <c r="A30" s="10" t="n">
        <v>24</v>
      </c>
      <c r="B30" s="10" t="s">
        <v>79</v>
      </c>
      <c r="C30" s="10" t="s">
        <v>89</v>
      </c>
      <c r="D30" s="12" t="n">
        <v>1384.46</v>
      </c>
      <c r="E30" s="13" t="n">
        <v>24068</v>
      </c>
      <c r="F30" s="13" t="n">
        <v>19671</v>
      </c>
      <c r="G30" s="12" t="n">
        <v>1429.34</v>
      </c>
      <c r="H30" s="13" t="n">
        <v>24323</v>
      </c>
      <c r="I30" s="13" t="n">
        <v>19937</v>
      </c>
      <c r="J30" s="12" t="n">
        <v>1444.03</v>
      </c>
      <c r="K30" s="13" t="n">
        <v>24250</v>
      </c>
      <c r="L30" s="13" t="n">
        <v>19990</v>
      </c>
      <c r="M30" s="12" t="n">
        <v>1433.15</v>
      </c>
      <c r="N30" s="14" t="n">
        <f aca="false">IF(OR(D30="",G30="",G30=0),"n/a",D30/G30-1)</f>
        <v>-0.0313991072802832</v>
      </c>
      <c r="O30" s="14" t="n">
        <f aca="false">IF(OR(G30="",J30="",J30=0),"n/a",G30/J30-1)</f>
        <v>-0.0101729188451763</v>
      </c>
      <c r="P30" s="14" t="n">
        <f aca="false">IF(OR(J30="",M30="",M30=0),"n/a",J30/M30-1)</f>
        <v>0.00759166870181072</v>
      </c>
      <c r="Q30" s="14" t="n">
        <f aca="false">IF(OR(D30="",M30="",M30=0),"n/a",D30/M30-1)</f>
        <v>-0.0339741129679378</v>
      </c>
      <c r="R30" s="15" t="n">
        <f aca="false">IF(OR(E30="",E30=0),"",D30*100/E30)</f>
        <v>5.75228519195612</v>
      </c>
      <c r="S30" s="15" t="n">
        <f aca="false">IF(OR(H30="",H30=0),"",G30*100/H30)</f>
        <v>5.87649549808823</v>
      </c>
      <c r="T30" s="16" t="n">
        <f aca="false">IF(OR(F30="",F30=0),"",E30/F30)</f>
        <v>1.22352701947029</v>
      </c>
      <c r="U30" s="17" t="n">
        <f aca="false">IF(OR(E30="",H30=""),"",E30-H30)</f>
        <v>-255</v>
      </c>
      <c r="V30" s="17" t="n">
        <f aca="false">IF(OR(F30="",I30=""),"",F30-I30)</f>
        <v>-266</v>
      </c>
      <c r="W30" s="14" t="n">
        <f aca="false">IF(D30="","",D30/$D$7)</f>
        <v>0.0109783059393756</v>
      </c>
      <c r="X30" s="14" t="n">
        <f aca="false">IF(D30="","",D30/$D$20)</f>
        <v>0.0501264693508245</v>
      </c>
      <c r="Y30" s="14" t="n">
        <f aca="false">IF(M30="","",M30/$M$7)</f>
        <v>0.0125213005832061</v>
      </c>
      <c r="Z30" s="18" t="n">
        <f aca="false">IF(OR(D30="",M30=""),"",(W30-Y30)*100)</f>
        <v>-0.154299464383049</v>
      </c>
      <c r="AA30" s="14" t="n">
        <f aca="false">IF(OR(D30="",M30=""),"",(D30-M30)/($D$7-$M$7))</f>
        <v>-0.00417877142918446</v>
      </c>
    </row>
    <row r="31" customFormat="false" ht="15" hidden="false" customHeight="false" outlineLevel="0" collapsed="false">
      <c r="A31" s="10" t="n">
        <v>25</v>
      </c>
      <c r="B31" s="10" t="s">
        <v>79</v>
      </c>
      <c r="C31" s="10" t="s">
        <v>90</v>
      </c>
      <c r="D31" s="12" t="n">
        <v>2724.28</v>
      </c>
      <c r="E31" s="13" t="n">
        <v>93084</v>
      </c>
      <c r="F31" s="13" t="n">
        <v>87000</v>
      </c>
      <c r="G31" s="12" t="n">
        <v>2819.96</v>
      </c>
      <c r="H31" s="13" t="n">
        <v>94484</v>
      </c>
      <c r="I31" s="13" t="n">
        <v>88089</v>
      </c>
      <c r="J31" s="12" t="n">
        <v>2968.42</v>
      </c>
      <c r="K31" s="13" t="n">
        <v>93898</v>
      </c>
      <c r="L31" s="13" t="n">
        <v>87257</v>
      </c>
      <c r="M31" s="12" t="n">
        <v>3066.17</v>
      </c>
      <c r="N31" s="14" t="n">
        <f aca="false">IF(OR(D31="",G31="",G31=0),"n/a",D31/G31-1)</f>
        <v>-0.0339295592845288</v>
      </c>
      <c r="O31" s="14" t="n">
        <f aca="false">IF(OR(G31="",J31="",J31=0),"n/a",G31/J31-1)</f>
        <v>-0.0500131383025313</v>
      </c>
      <c r="P31" s="14" t="n">
        <f aca="false">IF(OR(J31="",M31="",M31=0),"n/a",J31/M31-1)</f>
        <v>-0.0318801632003444</v>
      </c>
      <c r="Q31" s="14" t="n">
        <f aca="false">IF(OR(D31="",M31="",M31=0),"n/a",D31/M31-1)</f>
        <v>-0.111503928353614</v>
      </c>
      <c r="R31" s="15" t="n">
        <f aca="false">IF(OR(E31="",E31=0),"",D31*100/E31)</f>
        <v>2.9266898715139</v>
      </c>
      <c r="S31" s="15" t="n">
        <f aca="false">IF(OR(H31="",H31=0),"",G31*100/H31)</f>
        <v>2.98458998348927</v>
      </c>
      <c r="T31" s="16" t="n">
        <f aca="false">IF(OR(F31="",F31=0),"",E31/F31)</f>
        <v>1.06993103448276</v>
      </c>
      <c r="U31" s="17" t="n">
        <f aca="false">IF(OR(E31="",H31=""),"",E31-H31)</f>
        <v>-1400</v>
      </c>
      <c r="V31" s="17" t="n">
        <f aca="false">IF(OR(F31="",I31=""),"",F31-I31)</f>
        <v>-1089</v>
      </c>
      <c r="W31" s="14" t="n">
        <f aca="false">IF(D31="","",D31/$D$7)</f>
        <v>0.021602631570809</v>
      </c>
      <c r="X31" s="14" t="n">
        <f aca="false">IF(D31="","",D31/$D$20)</f>
        <v>0.0986366799496295</v>
      </c>
      <c r="Y31" s="14" t="n">
        <f aca="false">IF(M31="","",M31/$M$7)</f>
        <v>0.0267888470915181</v>
      </c>
      <c r="Z31" s="18" t="n">
        <f aca="false">IF(OR(D31="",M31=""),"",(W31-Y31)*100)</f>
        <v>-0.518621552070904</v>
      </c>
      <c r="AA31" s="14" t="n">
        <f aca="false">IF(OR(D31="",M31=""),"",(D31-M31)/($D$7-$M$7))</f>
        <v>-0.0293423734632137</v>
      </c>
    </row>
    <row r="33" customFormat="false" ht="15" hidden="false" customHeight="false" outlineLevel="0" collapsed="false">
      <c r="A33" s="5" t="s">
        <v>91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customFormat="false" ht="15" hidden="false" customHeight="false" outlineLevel="0" collapsed="false">
      <c r="A34" s="9" t="s">
        <v>37</v>
      </c>
      <c r="B34" s="9" t="s">
        <v>92</v>
      </c>
      <c r="C34" s="9"/>
      <c r="D34" s="9" t="s">
        <v>93</v>
      </c>
      <c r="E34" s="9"/>
      <c r="F34" s="9"/>
      <c r="G34" s="9" t="s">
        <v>94</v>
      </c>
      <c r="H34" s="9"/>
      <c r="I34" s="9"/>
      <c r="J34" s="9" t="s">
        <v>95</v>
      </c>
      <c r="K34" s="9"/>
      <c r="L34" s="9"/>
      <c r="M34" s="9" t="s">
        <v>96</v>
      </c>
    </row>
    <row r="35" customFormat="false" ht="35.05" hidden="false" customHeight="false" outlineLevel="0" collapsed="false">
      <c r="A35" s="10" t="n">
        <v>1</v>
      </c>
      <c r="B35" s="19" t="s">
        <v>97</v>
      </c>
      <c r="D35" s="20" t="n">
        <f aca="false">SUMIFS(D8:D31,$B$8:$B$31,"Wholesale",$C$8:$C$31,"&lt;&gt;Sub Total")-D8</f>
        <v>0</v>
      </c>
      <c r="G35" s="20" t="n">
        <f aca="false">SUMIFS(G8:G31,$B$8:$B$31,"Wholesale",$C$8:$C$31,"&lt;&gt;Sub Total")-G8</f>
        <v>0</v>
      </c>
      <c r="J35" s="20" t="n">
        <f aca="false">SUMIFS(J8:J31,$B$8:$B$31,"Wholesale",$C$8:$C$31,"&lt;&gt;Sub Total")-J8</f>
        <v>-0.00999999999476131</v>
      </c>
      <c r="M35" s="20" t="n">
        <f aca="false">SUMIFS(M8:M31,$B$8:$B$31,"Wholesale",$C$8:$C$31,"&lt;&gt;Sub Total")-M8</f>
        <v>0</v>
      </c>
    </row>
    <row r="36" customFormat="false" ht="35.05" hidden="false" customHeight="false" outlineLevel="0" collapsed="false">
      <c r="A36" s="10" t="n">
        <v>2</v>
      </c>
      <c r="B36" s="19" t="s">
        <v>98</v>
      </c>
      <c r="E36" s="17" t="n">
        <f aca="false">SUMIFS(E8:E31,$B$8:$B$31,"Wholesale",$C$8:$C$31,"&lt;&gt;Sub Total")-E8</f>
        <v>0</v>
      </c>
      <c r="H36" s="17" t="n">
        <f aca="false">SUMIFS(H8:H31,$B$8:$B$31,"Wholesale",$C$8:$C$31,"&lt;&gt;Sub Total")-H8</f>
        <v>0</v>
      </c>
      <c r="K36" s="17" t="n">
        <f aca="false">SUMIFS(K8:K31,$B$8:$B$31,"Wholesale",$C$8:$C$31,"&lt;&gt;Sub Total")-K8</f>
        <v>0</v>
      </c>
    </row>
    <row r="37" customFormat="false" ht="35.05" hidden="false" customHeight="false" outlineLevel="0" collapsed="false">
      <c r="A37" s="10" t="n">
        <v>3</v>
      </c>
      <c r="B37" s="19" t="s">
        <v>99</v>
      </c>
      <c r="D37" s="20" t="n">
        <f aca="false">SUMIFS(D8:D31,$B$8:$B$31,"Retail Lending",$C$8:$C$31,"&lt;&gt;Sub Total")</f>
        <v>27084.17</v>
      </c>
      <c r="G37" s="20" t="n">
        <f aca="false">SUMIFS(G8:G31,$B$8:$B$31,"Retail Lending",$C$8:$C$31,"&lt;&gt;Sub Total")</f>
        <v>27353.35</v>
      </c>
      <c r="J37" s="20" t="n">
        <f aca="false">SUMIFS(J8:J31,$B$8:$B$31,"Retail Lending",$C$8:$C$31,"&lt;&gt;Sub Total")</f>
        <v>27298.25</v>
      </c>
      <c r="M37" s="20" t="n">
        <f aca="false">SUMIFS(M8:M31,$B$8:$B$31,"Retail Lending",$C$8:$C$31,"&lt;&gt;Sub Total")</f>
        <v>26986.78</v>
      </c>
    </row>
    <row r="38" customFormat="false" ht="46.25" hidden="false" customHeight="false" outlineLevel="0" collapsed="false">
      <c r="A38" s="10" t="n">
        <v>4</v>
      </c>
      <c r="B38" s="19" t="s">
        <v>100</v>
      </c>
      <c r="D38" s="20" t="n">
        <f aca="false">D20-SUMIFS(D8:D31,$B$8:$B$31,"Retail Lending",$C$8:$C$31,"&lt;&gt;Sub Total")</f>
        <v>535.170000000002</v>
      </c>
      <c r="G38" s="20" t="n">
        <f aca="false">G20-SUMIFS(G8:G31,$B$8:$B$31,"Retail Lending",$C$8:$C$31,"&lt;&gt;Sub Total")</f>
        <v>532.040000000001</v>
      </c>
      <c r="J38" s="20" t="n">
        <f aca="false">J20-SUMIFS(J8:J31,$B$8:$B$31,"Retail Lending",$C$8:$C$31,"&lt;&gt;Sub Total")</f>
        <v>532.799999999999</v>
      </c>
      <c r="M38" s="20" t="n">
        <f aca="false">M20-SUMIFS(M8:M31,$B$8:$B$31,"Retail Lending",$C$8:$C$31,"&lt;&gt;Sub Total")</f>
        <v>534.57</v>
      </c>
    </row>
    <row r="39" customFormat="false" ht="57.45" hidden="false" customHeight="false" outlineLevel="0" collapsed="false">
      <c r="A39" s="10" t="n">
        <v>5</v>
      </c>
      <c r="B39" s="19" t="s">
        <v>101</v>
      </c>
      <c r="D39" s="20" t="n">
        <f aca="false">D7-D8-D20</f>
        <v>44615.67</v>
      </c>
      <c r="G39" s="20" t="n">
        <f aca="false">G7-G8-G20</f>
        <v>39156.99</v>
      </c>
      <c r="J39" s="20" t="n">
        <f aca="false">J7-J8-J20</f>
        <v>38164.84</v>
      </c>
      <c r="M39" s="20" t="n">
        <f aca="false">M7-M8-M20</f>
        <v>40452.59</v>
      </c>
    </row>
    <row r="40" customFormat="false" ht="23.85" hidden="false" customHeight="false" outlineLevel="0" collapsed="false">
      <c r="A40" s="10" t="n">
        <v>6</v>
      </c>
      <c r="B40" s="19" t="s">
        <v>102</v>
      </c>
      <c r="D40" s="14" t="n">
        <f aca="false">(D7-D8-D20)/D7</f>
        <v>0.353787379158823</v>
      </c>
      <c r="G40" s="14" t="n">
        <f aca="false">(G7-G8-G20)/G7</f>
        <v>0.328296302978738</v>
      </c>
      <c r="J40" s="14" t="n">
        <f aca="false">(J7-J8-J20)/J7</f>
        <v>0.325309593063397</v>
      </c>
      <c r="M40" s="14" t="n">
        <f aca="false">(M7-M8-M20)/M7</f>
        <v>0.353430582115758</v>
      </c>
    </row>
    <row r="41" customFormat="false" ht="35.05" hidden="false" customHeight="false" outlineLevel="0" collapsed="false">
      <c r="A41" s="10" t="n">
        <v>7</v>
      </c>
      <c r="B41" s="19" t="s">
        <v>103</v>
      </c>
      <c r="E41" s="17" t="n">
        <f aca="false">E7-E8-E20</f>
        <v>5754950</v>
      </c>
      <c r="H41" s="17" t="n">
        <f aca="false">H7-H8-H20</f>
        <v>5655313</v>
      </c>
      <c r="K41" s="17" t="n">
        <f aca="false">K7-K8-K20</f>
        <v>5679574</v>
      </c>
    </row>
    <row r="42" customFormat="false" ht="23.85" hidden="false" customHeight="false" outlineLevel="0" collapsed="false">
      <c r="A42" s="10" t="n">
        <v>8</v>
      </c>
      <c r="B42" s="19" t="s">
        <v>104</v>
      </c>
      <c r="D42" s="14" t="n">
        <f aca="false">D8/D7</f>
        <v>0.427200468548128</v>
      </c>
      <c r="G42" s="14" t="n">
        <f aca="false">G8/G7</f>
        <v>0.437909668314758</v>
      </c>
      <c r="J42" s="14" t="n">
        <f aca="false">J8/J7</f>
        <v>0.437464008240131</v>
      </c>
      <c r="M42" s="14" t="n">
        <f aca="false">M8/M7</f>
        <v>0.406117897941724</v>
      </c>
    </row>
    <row r="43" customFormat="false" ht="23.85" hidden="false" customHeight="false" outlineLevel="0" collapsed="false">
      <c r="A43" s="10" t="n">
        <v>9</v>
      </c>
      <c r="B43" s="19" t="s">
        <v>105</v>
      </c>
      <c r="D43" s="15" t="n">
        <f aca="false">D7*100/E7</f>
        <v>2.10064597481731</v>
      </c>
      <c r="G43" s="15" t="n">
        <f aca="false">G7*100/H7</f>
        <v>2.02010120040838</v>
      </c>
      <c r="J43" s="15" t="n">
        <f aca="false">J7*100/K7</f>
        <v>1.9796491123865</v>
      </c>
    </row>
    <row r="44" customFormat="false" ht="23.85" hidden="false" customHeight="false" outlineLevel="0" collapsed="false">
      <c r="A44" s="10" t="n">
        <v>10</v>
      </c>
      <c r="B44" s="19" t="s">
        <v>106</v>
      </c>
      <c r="D44" s="15" t="n">
        <f aca="false">D8*100/E8</f>
        <v>1718.45933014354</v>
      </c>
      <c r="G44" s="15" t="n">
        <f aca="false">G8*100/H8</f>
        <v>1679.45144694534</v>
      </c>
      <c r="J44" s="15" t="n">
        <f aca="false">J8*100/K8</f>
        <v>1697.17691798942</v>
      </c>
    </row>
    <row r="45" customFormat="false" ht="23.85" hidden="false" customHeight="false" outlineLevel="0" collapsed="false">
      <c r="A45" s="10" t="n">
        <v>11</v>
      </c>
      <c r="B45" s="19" t="s">
        <v>107</v>
      </c>
      <c r="D45" s="15" t="n">
        <f aca="false">D20*100/E20</f>
        <v>11.2619380619381</v>
      </c>
      <c r="G45" s="15" t="n">
        <f aca="false">G20*100/H20</f>
        <v>11.340088084229</v>
      </c>
      <c r="J45" s="15" t="n">
        <f aca="false">J20*100/K20</f>
        <v>11.423490538932</v>
      </c>
    </row>
    <row r="46" customFormat="false" ht="57.45" hidden="false" customHeight="false" outlineLevel="0" collapsed="false">
      <c r="A46" s="10" t="n">
        <v>12</v>
      </c>
      <c r="B46" s="19" t="s">
        <v>108</v>
      </c>
      <c r="G46" s="20" t="n">
        <f aca="false">119273.32-G7</f>
        <v>0</v>
      </c>
    </row>
    <row r="47" customFormat="false" ht="68.65" hidden="false" customHeight="false" outlineLevel="0" collapsed="false">
      <c r="A47" s="10" t="n">
        <v>13</v>
      </c>
      <c r="B47" s="19" t="s">
        <v>109</v>
      </c>
      <c r="G47" s="20" t="n">
        <f aca="false">G7-117027</f>
        <v>2246.32000000001</v>
      </c>
    </row>
    <row r="48" customFormat="false" ht="57.45" hidden="false" customHeight="false" outlineLevel="0" collapsed="false">
      <c r="A48" s="10" t="n">
        <v>14</v>
      </c>
      <c r="B48" s="19" t="s">
        <v>110</v>
      </c>
      <c r="J48" s="20" t="n">
        <f aca="false">J8-51044</f>
        <v>278.629999999997</v>
      </c>
    </row>
    <row r="51" customFormat="false" ht="15" hidden="false" customHeight="false" outlineLevel="0" collapsed="false">
      <c r="A51" s="5" t="s">
        <v>111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customFormat="false" ht="23.85" hidden="false" customHeight="false" outlineLevel="0" collapsed="false">
      <c r="A52" s="9" t="s">
        <v>37</v>
      </c>
      <c r="B52" s="9" t="s">
        <v>112</v>
      </c>
      <c r="C52" s="9" t="s">
        <v>113</v>
      </c>
      <c r="D52" s="9" t="s">
        <v>114</v>
      </c>
      <c r="E52" s="9" t="s">
        <v>115</v>
      </c>
    </row>
    <row r="53" customFormat="false" ht="79.85" hidden="false" customHeight="false" outlineLevel="0" collapsed="false">
      <c r="A53" s="10" t="n">
        <v>1</v>
      </c>
      <c r="B53" s="21" t="s">
        <v>116</v>
      </c>
      <c r="C53" s="20" t="n">
        <f aca="false">D38</f>
        <v>535.170000000002</v>
      </c>
      <c r="D53" s="10" t="s">
        <v>117</v>
      </c>
      <c r="E53" s="19" t="s">
        <v>118</v>
      </c>
    </row>
    <row r="54" customFormat="false" ht="57.45" hidden="false" customHeight="false" outlineLevel="0" collapsed="false">
      <c r="A54" s="10" t="n">
        <v>2</v>
      </c>
      <c r="B54" s="21" t="s">
        <v>119</v>
      </c>
      <c r="C54" s="20" t="n">
        <f aca="false">MAX(ABS(D35),ABS(G35),ABS(J35),ABS(M35))</f>
        <v>0.00999999999476131</v>
      </c>
      <c r="D54" s="10" t="s">
        <v>117</v>
      </c>
      <c r="E54" s="19" t="s">
        <v>120</v>
      </c>
    </row>
    <row r="55" customFormat="false" ht="79.85" hidden="false" customHeight="false" outlineLevel="0" collapsed="false">
      <c r="A55" s="10" t="n">
        <v>3</v>
      </c>
      <c r="B55" s="21" t="s">
        <v>121</v>
      </c>
      <c r="C55" s="14" t="n">
        <f aca="false">Q8</f>
        <v>0.158997414539761</v>
      </c>
      <c r="D55" s="10" t="s">
        <v>122</v>
      </c>
      <c r="E55" s="19" t="s">
        <v>123</v>
      </c>
    </row>
    <row r="56" customFormat="false" ht="113.4" hidden="false" customHeight="false" outlineLevel="0" collapsed="false">
      <c r="A56" s="10" t="n">
        <v>4</v>
      </c>
      <c r="B56" s="21" t="s">
        <v>124</v>
      </c>
      <c r="C56" s="20" t="n">
        <f aca="false">D39</f>
        <v>44615.67</v>
      </c>
      <c r="D56" s="10" t="s">
        <v>117</v>
      </c>
      <c r="E56" s="19" t="s">
        <v>125</v>
      </c>
    </row>
    <row r="57" customFormat="false" ht="68.65" hidden="false" customHeight="false" outlineLevel="0" collapsed="false">
      <c r="A57" s="10" t="n">
        <v>5</v>
      </c>
      <c r="B57" s="21" t="s">
        <v>126</v>
      </c>
      <c r="C57" s="20" t="n">
        <f aca="false">D15</f>
        <v>190.06</v>
      </c>
      <c r="D57" s="10" t="s">
        <v>117</v>
      </c>
      <c r="E57" s="19" t="s">
        <v>127</v>
      </c>
    </row>
    <row r="58" customFormat="false" ht="79.85" hidden="false" customHeight="false" outlineLevel="0" collapsed="false">
      <c r="A58" s="10" t="n">
        <v>6</v>
      </c>
      <c r="B58" s="21" t="s">
        <v>128</v>
      </c>
      <c r="C58" s="20" t="n">
        <f aca="false">G46</f>
        <v>0</v>
      </c>
      <c r="D58" s="10" t="s">
        <v>117</v>
      </c>
      <c r="E58" s="19" t="s">
        <v>129</v>
      </c>
    </row>
    <row r="60" customFormat="false" ht="15" hidden="false" customHeight="false" outlineLevel="0" collapsed="false">
      <c r="A60" s="5" t="s">
        <v>130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2" customFormat="false" ht="15" hidden="false" customHeight="false" outlineLevel="0" collapsed="false">
      <c r="A62" s="5" t="s">
        <v>131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customFormat="false" ht="35.05" hidden="false" customHeight="false" outlineLevel="0" collapsed="false">
      <c r="A63" s="9" t="s">
        <v>37</v>
      </c>
      <c r="B63" s="9" t="s">
        <v>132</v>
      </c>
      <c r="C63" s="9" t="s">
        <v>133</v>
      </c>
      <c r="D63" s="9" t="s">
        <v>134</v>
      </c>
      <c r="E63" s="9" t="s">
        <v>135</v>
      </c>
      <c r="F63" s="9" t="s">
        <v>114</v>
      </c>
      <c r="G63" s="9" t="s">
        <v>136</v>
      </c>
    </row>
    <row r="64" customFormat="false" ht="23.85" hidden="false" customHeight="false" outlineLevel="0" collapsed="false">
      <c r="A64" s="10" t="n">
        <v>1</v>
      </c>
      <c r="B64" s="11" t="s">
        <v>137</v>
      </c>
      <c r="C64" s="19" t="s">
        <v>138</v>
      </c>
      <c r="D64" s="19" t="s">
        <v>139</v>
      </c>
      <c r="E64" s="20" t="n">
        <f aca="false">D7</f>
        <v>126108.71</v>
      </c>
      <c r="F64" s="10" t="s">
        <v>117</v>
      </c>
      <c r="G64" s="19"/>
    </row>
    <row r="65" customFormat="false" ht="23.85" hidden="false" customHeight="false" outlineLevel="0" collapsed="false">
      <c r="A65" s="10" t="n">
        <v>2</v>
      </c>
      <c r="B65" s="11" t="s">
        <v>137</v>
      </c>
      <c r="C65" s="19" t="s">
        <v>140</v>
      </c>
      <c r="D65" s="19" t="s">
        <v>139</v>
      </c>
      <c r="E65" s="17" t="n">
        <f aca="false">F8</f>
        <v>1219</v>
      </c>
      <c r="F65" s="10" t="s">
        <v>141</v>
      </c>
      <c r="G65" s="19"/>
    </row>
    <row r="66" customFormat="false" ht="23.85" hidden="false" customHeight="false" outlineLevel="0" collapsed="false">
      <c r="A66" s="10" t="n">
        <v>3</v>
      </c>
      <c r="B66" s="11" t="s">
        <v>137</v>
      </c>
      <c r="C66" s="19" t="s">
        <v>142</v>
      </c>
      <c r="D66" s="19" t="s">
        <v>139</v>
      </c>
      <c r="E66" s="20" t="n">
        <f aca="false">M26</f>
        <v>10045.12</v>
      </c>
      <c r="F66" s="10" t="s">
        <v>117</v>
      </c>
      <c r="G66" s="19"/>
    </row>
    <row r="67" customFormat="false" ht="23.85" hidden="false" customHeight="false" outlineLevel="0" collapsed="false">
      <c r="A67" s="10" t="n">
        <v>4</v>
      </c>
      <c r="B67" s="11" t="s">
        <v>143</v>
      </c>
      <c r="C67" s="19" t="s">
        <v>144</v>
      </c>
      <c r="D67" s="19" t="s">
        <v>145</v>
      </c>
      <c r="E67" s="14" t="n">
        <f aca="false">N7</f>
        <v>0.0573086252650634</v>
      </c>
      <c r="F67" s="10" t="s">
        <v>122</v>
      </c>
      <c r="G67" s="19"/>
    </row>
    <row r="68" customFormat="false" ht="23.85" hidden="false" customHeight="false" outlineLevel="0" collapsed="false">
      <c r="A68" s="10" t="n">
        <v>5</v>
      </c>
      <c r="B68" s="11" t="s">
        <v>143</v>
      </c>
      <c r="C68" s="19" t="s">
        <v>146</v>
      </c>
      <c r="D68" s="19" t="s">
        <v>147</v>
      </c>
      <c r="E68" s="15" t="n">
        <f aca="false">R12</f>
        <v>2782.66822977726</v>
      </c>
      <c r="F68" s="10" t="s">
        <v>148</v>
      </c>
      <c r="G68" s="19"/>
    </row>
    <row r="69" customFormat="false" ht="35.05" hidden="false" customHeight="false" outlineLevel="0" collapsed="false">
      <c r="A69" s="10" t="n">
        <v>6</v>
      </c>
      <c r="B69" s="11" t="s">
        <v>143</v>
      </c>
      <c r="C69" s="19" t="s">
        <v>149</v>
      </c>
      <c r="D69" s="19" t="s">
        <v>150</v>
      </c>
      <c r="E69" s="18" t="n">
        <f aca="false">Z8</f>
        <v>2.10825706064039</v>
      </c>
      <c r="F69" s="10" t="s">
        <v>151</v>
      </c>
      <c r="G69" s="19"/>
    </row>
    <row r="70" customFormat="false" ht="23.85" hidden="false" customHeight="false" outlineLevel="0" collapsed="false">
      <c r="A70" s="10" t="n">
        <v>7</v>
      </c>
      <c r="B70" s="11" t="s">
        <v>143</v>
      </c>
      <c r="C70" s="19" t="s">
        <v>152</v>
      </c>
      <c r="D70" s="19" t="s">
        <v>153</v>
      </c>
      <c r="E70" s="16" t="n">
        <f aca="false">T31</f>
        <v>1.06993103448276</v>
      </c>
      <c r="F70" s="10" t="s">
        <v>154</v>
      </c>
      <c r="G70" s="19"/>
    </row>
    <row r="71" customFormat="false" ht="57.45" hidden="false" customHeight="false" outlineLevel="0" collapsed="false">
      <c r="A71" s="10" t="n">
        <v>8</v>
      </c>
      <c r="B71" s="11" t="s">
        <v>155</v>
      </c>
      <c r="C71" s="19" t="s">
        <v>156</v>
      </c>
      <c r="D71" s="19" t="s">
        <v>157</v>
      </c>
      <c r="E71" s="14" t="n">
        <f aca="false">AA8</f>
        <v>0.634297852253953</v>
      </c>
      <c r="F71" s="10" t="s">
        <v>122</v>
      </c>
      <c r="G71" s="19" t="s">
        <v>158</v>
      </c>
    </row>
    <row r="72" customFormat="false" ht="68.65" hidden="false" customHeight="false" outlineLevel="0" collapsed="false">
      <c r="A72" s="10" t="n">
        <v>9</v>
      </c>
      <c r="B72" s="11" t="s">
        <v>155</v>
      </c>
      <c r="C72" s="19" t="s">
        <v>159</v>
      </c>
      <c r="D72" s="19" t="s">
        <v>160</v>
      </c>
      <c r="E72" s="20" t="n">
        <f aca="false">G39</f>
        <v>39156.99</v>
      </c>
      <c r="F72" s="10" t="s">
        <v>117</v>
      </c>
      <c r="G72" s="19" t="s">
        <v>161</v>
      </c>
    </row>
    <row r="73" customFormat="false" ht="68.65" hidden="false" customHeight="false" outlineLevel="0" collapsed="false">
      <c r="A73" s="10" t="n">
        <v>10</v>
      </c>
      <c r="B73" s="11" t="s">
        <v>155</v>
      </c>
      <c r="C73" s="19" t="s">
        <v>162</v>
      </c>
      <c r="D73" s="19" t="s">
        <v>163</v>
      </c>
      <c r="E73" s="20" t="n">
        <f aca="false">D13-M13</f>
        <v>1206.56</v>
      </c>
      <c r="F73" s="10" t="s">
        <v>117</v>
      </c>
      <c r="G73" s="19" t="s">
        <v>164</v>
      </c>
    </row>
    <row r="75" customFormat="false" ht="15" hidden="false" customHeight="false" outlineLevel="0" collapsed="false">
      <c r="A75" s="5" t="s">
        <v>165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customFormat="false" ht="69.75" hidden="false" customHeight="true" outlineLevel="0" collapsed="false">
      <c r="A76" s="22" t="s">
        <v>166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8" customFormat="false" ht="15" hidden="false" customHeight="false" outlineLevel="0" collapsed="false">
      <c r="A78" s="4" t="s">
        <v>2</v>
      </c>
    </row>
  </sheetData>
  <mergeCells count="1">
    <mergeCell ref="A76:AB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24"/>
    <col collapsed="false" customWidth="true" hidden="false" outlineLevel="0" max="6" min="6" style="1" width="78"/>
  </cols>
  <sheetData>
    <row r="1" customFormat="false" ht="17.35" hidden="false" customHeight="false" outlineLevel="0" collapsed="false">
      <c r="A1" s="2" t="s">
        <v>167</v>
      </c>
    </row>
    <row r="2" customFormat="false" ht="15" hidden="false" customHeight="false" outlineLevel="0" collapsed="false">
      <c r="A2" s="3" t="s">
        <v>168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169</v>
      </c>
      <c r="B5" s="6"/>
      <c r="C5" s="6"/>
      <c r="D5" s="6"/>
      <c r="E5" s="6"/>
      <c r="F5" s="6"/>
    </row>
    <row r="6" customFormat="false" ht="15" hidden="false" customHeight="false" outlineLevel="0" collapsed="false">
      <c r="B6" s="23" t="s">
        <v>170</v>
      </c>
      <c r="C6" s="23" t="s">
        <v>171</v>
      </c>
      <c r="D6" s="23"/>
      <c r="E6" s="23"/>
      <c r="F6" s="23"/>
    </row>
    <row r="7" customFormat="false" ht="15" hidden="false" customHeight="true" outlineLevel="0" collapsed="false">
      <c r="B7" s="11" t="s">
        <v>172</v>
      </c>
      <c r="C7" s="19" t="s">
        <v>173</v>
      </c>
      <c r="D7" s="19"/>
      <c r="E7" s="19"/>
      <c r="F7" s="19"/>
    </row>
    <row r="8" customFormat="false" ht="15" hidden="false" customHeight="true" outlineLevel="0" collapsed="false">
      <c r="B8" s="11" t="s">
        <v>174</v>
      </c>
      <c r="C8" s="19" t="s">
        <v>175</v>
      </c>
      <c r="D8" s="19"/>
      <c r="E8" s="19"/>
      <c r="F8" s="19"/>
    </row>
    <row r="9" customFormat="false" ht="15" hidden="false" customHeight="true" outlineLevel="0" collapsed="false">
      <c r="B9" s="11" t="s">
        <v>176</v>
      </c>
      <c r="C9" s="19" t="s">
        <v>177</v>
      </c>
      <c r="D9" s="19"/>
      <c r="E9" s="19"/>
      <c r="F9" s="19"/>
    </row>
    <row r="10" customFormat="false" ht="15" hidden="false" customHeight="true" outlineLevel="0" collapsed="false">
      <c r="B10" s="11" t="s">
        <v>178</v>
      </c>
      <c r="C10" s="19" t="s">
        <v>179</v>
      </c>
      <c r="D10" s="19"/>
      <c r="E10" s="19"/>
      <c r="F10" s="19"/>
    </row>
    <row r="11" customFormat="false" ht="15" hidden="false" customHeight="true" outlineLevel="0" collapsed="false">
      <c r="B11" s="11" t="s">
        <v>180</v>
      </c>
      <c r="C11" s="19" t="s">
        <v>181</v>
      </c>
      <c r="D11" s="19"/>
      <c r="E11" s="19"/>
      <c r="F11" s="19"/>
    </row>
    <row r="12" customFormat="false" ht="15" hidden="false" customHeight="true" outlineLevel="0" collapsed="false">
      <c r="B12" s="11" t="s">
        <v>182</v>
      </c>
      <c r="C12" s="19" t="s">
        <v>183</v>
      </c>
      <c r="D12" s="19"/>
      <c r="E12" s="19"/>
      <c r="F12" s="19"/>
    </row>
    <row r="13" customFormat="false" ht="15" hidden="false" customHeight="true" outlineLevel="0" collapsed="false">
      <c r="B13" s="11" t="s">
        <v>184</v>
      </c>
      <c r="C13" s="19" t="s">
        <v>185</v>
      </c>
      <c r="D13" s="19"/>
      <c r="E13" s="19"/>
      <c r="F13" s="19"/>
    </row>
    <row r="14" customFormat="false" ht="15" hidden="false" customHeight="true" outlineLevel="0" collapsed="false">
      <c r="B14" s="11" t="s">
        <v>186</v>
      </c>
      <c r="C14" s="19" t="s">
        <v>187</v>
      </c>
      <c r="D14" s="19"/>
      <c r="E14" s="19"/>
      <c r="F14" s="19"/>
    </row>
    <row r="15" customFormat="false" ht="15" hidden="false" customHeight="true" outlineLevel="0" collapsed="false">
      <c r="B15" s="11" t="s">
        <v>188</v>
      </c>
      <c r="C15" s="19" t="s">
        <v>189</v>
      </c>
      <c r="D15" s="19"/>
      <c r="E15" s="19"/>
      <c r="F15" s="19"/>
    </row>
    <row r="16" customFormat="false" ht="15" hidden="false" customHeight="true" outlineLevel="0" collapsed="false">
      <c r="B16" s="11" t="s">
        <v>190</v>
      </c>
      <c r="C16" s="19" t="s">
        <v>191</v>
      </c>
      <c r="D16" s="19"/>
      <c r="E16" s="19"/>
      <c r="F16" s="19"/>
    </row>
    <row r="17" customFormat="false" ht="15" hidden="false" customHeight="false" outlineLevel="0" collapsed="false">
      <c r="B17" s="24" t="s">
        <v>192</v>
      </c>
    </row>
    <row r="19" customFormat="false" ht="15" hidden="false" customHeight="false" outlineLevel="0" collapsed="false">
      <c r="A19" s="5" t="s">
        <v>193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9" t="s">
        <v>37</v>
      </c>
      <c r="B20" s="9" t="s">
        <v>194</v>
      </c>
      <c r="C20" s="9" t="s">
        <v>195</v>
      </c>
      <c r="D20" s="9" t="s">
        <v>196</v>
      </c>
      <c r="E20" s="9" t="s">
        <v>197</v>
      </c>
      <c r="F20" s="9" t="s">
        <v>198</v>
      </c>
    </row>
    <row r="21" customFormat="false" ht="15" hidden="false" customHeight="false" outlineLevel="0" collapsed="false">
      <c r="A21" s="10" t="n">
        <v>1</v>
      </c>
      <c r="B21" s="19" t="s">
        <v>199</v>
      </c>
      <c r="C21" s="19" t="s">
        <v>200</v>
      </c>
      <c r="D21" s="19" t="s">
        <v>172</v>
      </c>
      <c r="E21" s="19" t="s">
        <v>201</v>
      </c>
      <c r="F21" s="25" t="str">
        <f aca="false">"Corporate Banking "&amp;TEXT(B1_Gross_Advances!D12,"#,##0.00;-#,##0.00;0.00")&amp;" / "&amp;TEXT(B1_Gross_Advances!G12,"#,##0.00;-#,##0.00;0.00")&amp;" / "&amp;TEXT(B1_Gross_Advances!J12,"#,##0.00;-#,##0.00;0.00")&amp;" / "&amp;TEXT(B1_Gross_Advances!M12,"#,##0.00;-#,##0.00;0.00")&amp;" (Aug / Jul / Jun / May)"</f>
        <v>Corporate Banking 23,736.16 / 22,103.54 / 22,066.31 / 20,247.46 (Aug / Jul / Jun / May)</v>
      </c>
    </row>
    <row r="22" customFormat="false" ht="15" hidden="false" customHeight="false" outlineLevel="0" collapsed="false">
      <c r="A22" s="10" t="n">
        <v>2</v>
      </c>
      <c r="B22" s="19" t="s">
        <v>199</v>
      </c>
      <c r="C22" s="19" t="s">
        <v>202</v>
      </c>
      <c r="D22" s="19" t="s">
        <v>203</v>
      </c>
      <c r="E22" s="19" t="s">
        <v>204</v>
      </c>
      <c r="F22" s="25" t="str">
        <f aca="false">"Overall "&amp;TEXT(B1_Gross_Advances!E7,"#,##0")&amp;" / "&amp;TEXT(B1_Gross_Advances!F7,"#,##0")&amp;"; Wholesale "&amp;TEXT(B1_Gross_Advances!E8,"#,##0")&amp;" / "&amp;TEXT(B1_Gross_Advances!F8,"#,##0")</f>
        <v>Overall 6,003,330 / 5,757,648; Wholesale 3,135 / 1,219</v>
      </c>
    </row>
    <row r="23" customFormat="false" ht="15" hidden="false" customHeight="false" outlineLevel="0" collapsed="false">
      <c r="A23" s="10" t="n">
        <v>3</v>
      </c>
      <c r="B23" s="19" t="s">
        <v>205</v>
      </c>
      <c r="C23" s="19" t="s">
        <v>206</v>
      </c>
      <c r="D23" s="19" t="s">
        <v>207</v>
      </c>
      <c r="E23" s="19" t="s">
        <v>208</v>
      </c>
      <c r="F23" s="25" t="str">
        <f aca="false">TEXT(B1_Gross_Advances!D35,"#,##0.00;-#,##0.00;0.00")&amp;" / "&amp;TEXT(B1_Gross_Advances!G35,"#,##0.00;-#,##0.00;0.00")&amp;" / "&amp;TEXT(B1_Gross_Advances!J35,"#,##0.00;-#,##0.00;0.00")&amp;" / "&amp;TEXT(B1_Gross_Advances!M35,"#,##0.00;-#,##0.00;0.00")&amp;"; accounts "&amp;TEXT(B1_Gross_Advances!E36,"#,##0")&amp;" / "&amp;TEXT(B1_Gross_Advances!H36,"#,##0")&amp;" / "&amp;TEXT(B1_Gross_Advances!K36,"#,##0")</f>
        <v>0.00 / 0.00 / -0.01 / 0.00; accounts 0 / 0 / 0</v>
      </c>
    </row>
    <row r="24" customFormat="false" ht="15" hidden="false" customHeight="false" outlineLevel="0" collapsed="false">
      <c r="A24" s="10" t="n">
        <v>4</v>
      </c>
      <c r="B24" s="19" t="s">
        <v>205</v>
      </c>
      <c r="C24" s="19" t="s">
        <v>209</v>
      </c>
      <c r="D24" s="19" t="s">
        <v>210</v>
      </c>
      <c r="E24" s="19" t="s">
        <v>211</v>
      </c>
      <c r="F24" s="25" t="str">
        <f aca="false">"visible "&amp;TEXT(B1_Gross_Advances!D37,"#,##0.00;-#,##0.00;0.00")&amp;" / "&amp;TEXT(B1_Gross_Advances!G37,"#,##0.00;-#,##0.00;0.00")&amp;" / "&amp;TEXT(B1_Gross_Advances!J37,"#,##0.00;-#,##0.00;0.00")&amp;" / "&amp;TEXT(B1_Gross_Advances!M37,"#,##0.00;-#,##0.00;0.00")&amp;"; clipped "&amp;TEXT(B1_Gross_Advances!D38,"#,##0.00;-#,##0.00;0.00")&amp;" / "&amp;TEXT(B1_Gross_Advances!G38,"#,##0.00;-#,##0.00;0.00")&amp;" / "&amp;TEXT(B1_Gross_Advances!J38,"#,##0.00;-#,##0.00;0.00")&amp;" / "&amp;TEXT(B1_Gross_Advances!M38,"#,##0.00;-#,##0.00;0.00")</f>
        <v>visible 27,084.17 / 27,353.35 / 27,298.25 / 26,986.78; clipped 535.17 / 532.04 / 532.80 / 534.57</v>
      </c>
    </row>
    <row r="25" customFormat="false" ht="15" hidden="false" customHeight="false" outlineLevel="0" collapsed="false">
      <c r="A25" s="10" t="n">
        <v>5</v>
      </c>
      <c r="B25" s="19" t="s">
        <v>212</v>
      </c>
      <c r="C25" s="19" t="s">
        <v>213</v>
      </c>
      <c r="D25" s="19" t="s">
        <v>214</v>
      </c>
      <c r="E25" s="19" t="s">
        <v>211</v>
      </c>
      <c r="F25" s="25" t="str">
        <f aca="false">TEXT(B1_Gross_Advances!D39,"#,##0.00;-#,##0.00;0.00")&amp;" / "&amp;TEXT(B1_Gross_Advances!G39,"#,##0.00;-#,##0.00;0.00")&amp;" / "&amp;TEXT(B1_Gross_Advances!J39,"#,##0.00;-#,##0.00;0.00")&amp;" / "&amp;TEXT(B1_Gross_Advances!M39,"#,##0.00;-#,##0.00;0.00")</f>
        <v>44,615.67 / 39,156.99 / 38,164.84 / 40,452.59</v>
      </c>
    </row>
    <row r="26" customFormat="false" ht="15" hidden="false" customHeight="false" outlineLevel="0" collapsed="false">
      <c r="A26" s="10" t="n">
        <v>6</v>
      </c>
      <c r="B26" s="19" t="s">
        <v>212</v>
      </c>
      <c r="C26" s="19" t="s">
        <v>215</v>
      </c>
      <c r="D26" s="19" t="s">
        <v>216</v>
      </c>
      <c r="E26" s="19" t="s">
        <v>211</v>
      </c>
      <c r="F26" s="25" t="str">
        <f aca="false">"OV "&amp;TEXT(B1_Gross_Advances!D7,"#,##0.00;-#,##0.00;0.00")&amp;" / "&amp;TEXT(B1_Gross_Advances!G7,"#,##0.00;-#,##0.00;0.00")&amp;" / "&amp;TEXT(B1_Gross_Advances!J7,"#,##0.00;-#,##0.00;0.00")&amp;" / "&amp;TEXT(B1_Gross_Advances!M7,"#,##0.00;-#,##0.00;0.00")</f>
        <v>OV 126,108.71 / 119,273.32 / 117,318.52 / 114,456.96</v>
      </c>
    </row>
    <row r="27" customFormat="false" ht="23.85" hidden="false" customHeight="false" outlineLevel="0" collapsed="false">
      <c r="A27" s="10" t="n">
        <v>7</v>
      </c>
      <c r="B27" s="19" t="s">
        <v>217</v>
      </c>
      <c r="C27" s="19" t="s">
        <v>218</v>
      </c>
      <c r="D27" s="19" t="s">
        <v>219</v>
      </c>
      <c r="E27" s="19" t="s">
        <v>220</v>
      </c>
      <c r="F27" s="25" t="str">
        <f aca="false">"OV "&amp;TEXT(B1_Gross_Advances!N7,"+0.0%;-0.0%;0.0%")&amp;" / "&amp;TEXT(B1_Gross_Advances!O7,"+0.0%;-0.0%;0.0%")&amp;" / "&amp;TEXT(B1_Gross_Advances!P7,"+0.0%;-0.0%;0.0%")&amp;"; W "&amp;TEXT(B1_Gross_Advances!N8,"+0.0%;-0.0%;0.0%")&amp;" / "&amp;TEXT(B1_Gross_Advances!O8,"+0.0%;-0.0%;0.0%")&amp;" / "&amp;TEXT(B1_Gross_Advances!P8,"+0.0%;-0.0%;0.0%")&amp;"; RL "&amp;TEXT(B1_Gross_Advances!N20,"+0.0%;-0.0%;0.0%")&amp;" / "&amp;TEXT(B1_Gross_Advances!O20,"+0.0%;-0.0%;0.0%")&amp;" / "&amp;TEXT(B1_Gross_Advances!P20,"+0.0%;-0.0%;0.0%")&amp;" (Aug/Jul, Jul/Jun, Jun/May)"</f>
        <v>OV +5.7% / +1.7% / +2.5%; W +3.1% / +1.8% / +10.4%; RL -1.0% / +0.2% / +1.1% (Aug/Jul, Jul/Jun, Jun/May)</v>
      </c>
    </row>
    <row r="28" customFormat="false" ht="15" hidden="false" customHeight="false" outlineLevel="0" collapsed="false">
      <c r="A28" s="10" t="n">
        <v>8</v>
      </c>
      <c r="B28" s="19" t="s">
        <v>217</v>
      </c>
      <c r="C28" s="19" t="s">
        <v>221</v>
      </c>
      <c r="D28" s="19" t="s">
        <v>222</v>
      </c>
      <c r="E28" s="19" t="s">
        <v>223</v>
      </c>
      <c r="F28" s="25" t="str">
        <f aca="false">"OV "&amp;TEXT(B1_Gross_Advances!Q7,"+0.0%;-0.0%;0.0%")&amp;"; W "&amp;TEXT(B1_Gross_Advances!Q8,"+0.0%;-0.0%;0.0%")&amp;"; RL "&amp;TEXT(B1_Gross_Advances!Q20,"+0.0%;-0.0%;0.0%")&amp;"; Corp "&amp;TEXT(B1_Gross_Advances!Q12,"+0.0%;-0.0%;0.0%")&amp;"; CB "&amp;TEXT(B1_Gross_Advances!Q10,"+0.0%;-0.0%;0.0%")&amp;"; FI "&amp;TEXT(B1_Gross_Advances!Q13,"+0.0%;-0.0%;0.0%")</f>
        <v>OV +10.2%; W +15.9%; RL +0.4%; Corp +17.2%; CB +14.5%; FI +17.1%</v>
      </c>
    </row>
    <row r="29" customFormat="false" ht="15" hidden="false" customHeight="false" outlineLevel="0" collapsed="false">
      <c r="A29" s="10" t="n">
        <v>9</v>
      </c>
      <c r="B29" s="19" t="s">
        <v>217</v>
      </c>
      <c r="C29" s="19" t="s">
        <v>224</v>
      </c>
      <c r="D29" s="19" t="s">
        <v>190</v>
      </c>
      <c r="E29" s="19" t="s">
        <v>223</v>
      </c>
      <c r="F29" s="25" t="str">
        <f aca="false">"OV "&amp;TEXT(B1_Gross_Advances!D7-B1_Gross_Advances!M7,"#,##0.00;-#,##0.00;0.00")&amp;"; W "&amp;TEXT(B1_Gross_Advances!D8-B1_Gross_Advances!M8,"#,##0.00;-#,##0.00;0.00")&amp;"; OR "&amp;TEXT(B1_Gross_Advances!D39-B1_Gross_Advances!M39,"#,##0.00;-#,##0.00;0.00")</f>
        <v>OV 11,651.75; W 7,390.68; OR 4,163.08</v>
      </c>
    </row>
    <row r="30" customFormat="false" ht="15" hidden="false" customHeight="false" outlineLevel="0" collapsed="false">
      <c r="A30" s="10" t="n">
        <v>10</v>
      </c>
      <c r="B30" s="19" t="s">
        <v>217</v>
      </c>
      <c r="C30" s="19" t="s">
        <v>225</v>
      </c>
      <c r="D30" s="19" t="s">
        <v>222</v>
      </c>
      <c r="E30" s="19" t="s">
        <v>226</v>
      </c>
      <c r="F30" s="25" t="str">
        <f aca="false">"Affordable Housing "&amp;TEXT(B1_Gross_Advances!Q21,"+0.0%;-0.0%;0.0%")&amp;"; Prime LAP "&amp;TEXT(B1_Gross_Advances!Q26,"+0.0%;-0.0%;0.0%")&amp;"; Gold DA/CL "&amp;TEXT(B1_Gross_Advances!Q31,"+0.0%;-0.0%;0.0%")&amp;"; LAP DA "&amp;TEXT(B1_Gross_Advances!Q28,"+0.0%;-0.0%;0.0%")</f>
        <v>Affordable Housing +7.1%; Prime LAP +4.1%; Gold DA/CL -11.2%; LAP DA -4.3%</v>
      </c>
    </row>
    <row r="31" customFormat="false" ht="15" hidden="false" customHeight="false" outlineLevel="0" collapsed="false">
      <c r="A31" s="10" t="n">
        <v>11</v>
      </c>
      <c r="B31" s="19" t="s">
        <v>217</v>
      </c>
      <c r="C31" s="19" t="s">
        <v>227</v>
      </c>
      <c r="D31" s="19" t="s">
        <v>228</v>
      </c>
      <c r="E31" s="19" t="s">
        <v>229</v>
      </c>
      <c r="F31" s="25" t="str">
        <f aca="false">"OV "&amp;TEXT(B1_Gross_Advances!U7,"#,##0")&amp;"; Gold DA/CL "&amp;TEXT(B1_Gross_Advances!U31,"#,##0")&amp;"; Affordable Housing "&amp;TEXT(B1_Gross_Advances!U21,"#,##0")</f>
        <v>OV 99,006; Gold DA/CL -1,400; Affordable Housing 271</v>
      </c>
    </row>
    <row r="32" customFormat="false" ht="15" hidden="false" customHeight="false" outlineLevel="0" collapsed="false">
      <c r="A32" s="10" t="n">
        <v>12</v>
      </c>
      <c r="B32" s="19" t="s">
        <v>230</v>
      </c>
      <c r="C32" s="19" t="s">
        <v>63</v>
      </c>
      <c r="D32" s="19" t="s">
        <v>231</v>
      </c>
      <c r="E32" s="19" t="s">
        <v>232</v>
      </c>
      <c r="F32" s="25" t="str">
        <f aca="false">"W "&amp;TEXT(B1_Gross_Advances!AA8,"0.0%")&amp;"; RL "&amp;TEXT(B1_Gross_Advances!AA20,"0.0%")&amp;"; OR "&amp;TEXT((B1_Gross_Advances!D39-B1_Gross_Advances!M39)/(B1_Gross_Advances!D7-B1_Gross_Advances!M7),"0.0%")&amp;"; Corp "&amp;TEXT(B1_Gross_Advances!AA12,"0.0%")</f>
        <v>W 63.4%; RL 0.8%; OR 35.7%; Corp 29.9%</v>
      </c>
    </row>
    <row r="33" customFormat="false" ht="15" hidden="false" customHeight="false" outlineLevel="0" collapsed="false">
      <c r="A33" s="10" t="n">
        <v>13</v>
      </c>
      <c r="B33" s="19" t="s">
        <v>233</v>
      </c>
      <c r="C33" s="19" t="s">
        <v>234</v>
      </c>
      <c r="D33" s="19" t="s">
        <v>235</v>
      </c>
      <c r="E33" s="19" t="s">
        <v>229</v>
      </c>
      <c r="F33" s="25" t="str">
        <f aca="false">"W "&amp;TEXT(B1_Gross_Advances!W8,"0.0%")&amp;"; RL "&amp;TEXT(B1_Gross_Advances!W20,"0.0%")&amp;"; OR "&amp;TEXT(B1_Gross_Advances!D40,"0.0%")&amp;"; Corp "&amp;TEXT(B1_Gross_Advances!W12,"0.0%")&amp;"; Prime LAP "&amp;TEXT(B1_Gross_Advances!W26,"0.0%")</f>
        <v>W 42.7%; RL 21.9%; OR 35.4%; Corp 18.8%; Prime LAP 8.3%</v>
      </c>
    </row>
    <row r="34" customFormat="false" ht="15" hidden="false" customHeight="false" outlineLevel="0" collapsed="false">
      <c r="A34" s="10" t="n">
        <v>14</v>
      </c>
      <c r="B34" s="19" t="s">
        <v>233</v>
      </c>
      <c r="C34" s="19" t="s">
        <v>236</v>
      </c>
      <c r="D34" s="19" t="s">
        <v>237</v>
      </c>
      <c r="E34" s="19" t="s">
        <v>238</v>
      </c>
      <c r="F34" s="25" t="str">
        <f aca="false">"Corp in W "&amp;TEXT(B1_Gross_Advances!X12,"0.0%")&amp;"; CB in W "&amp;TEXT(B1_Gross_Advances!X10,"0.0%")&amp;"; Prime LAP in RL "&amp;TEXT(B1_Gross_Advances!X26,"0.0%")</f>
        <v>Corp in W 44.1%; CB in W 29.2%; Prime LAP in RL 37.9%</v>
      </c>
    </row>
    <row r="35" customFormat="false" ht="15" hidden="false" customHeight="false" outlineLevel="0" collapsed="false">
      <c r="A35" s="10" t="n">
        <v>15</v>
      </c>
      <c r="B35" s="19" t="s">
        <v>233</v>
      </c>
      <c r="C35" s="19" t="s">
        <v>239</v>
      </c>
      <c r="D35" s="19" t="s">
        <v>240</v>
      </c>
      <c r="E35" s="19" t="s">
        <v>223</v>
      </c>
      <c r="F35" s="25" t="str">
        <f aca="false">"W "&amp;TEXT(B1_Gross_Advances!Z8,"+0.0"" pp"";-0.0"" pp"";0.0"" pp""")&amp;"; RL "&amp;TEXT(B1_Gross_Advances!Z20,"+0.0"" pp"";-0.0"" pp"";0.0"" pp""")&amp;"; Corp "&amp;TEXT(B1_Gross_Advances!Z12,"+0.0"" pp"";-0.0"" pp"";0.0"" pp""")</f>
        <v>W +2.1 pp; RL -2.1 pp; Corp +1.1 pp</v>
      </c>
    </row>
    <row r="36" customFormat="false" ht="15" hidden="false" customHeight="false" outlineLevel="0" collapsed="false">
      <c r="A36" s="10" t="n">
        <v>16</v>
      </c>
      <c r="B36" s="19" t="s">
        <v>241</v>
      </c>
      <c r="C36" s="19" t="s">
        <v>242</v>
      </c>
      <c r="D36" s="19" t="s">
        <v>243</v>
      </c>
      <c r="E36" s="19" t="s">
        <v>229</v>
      </c>
      <c r="F36" s="25" t="str">
        <f aca="false">"Corp "&amp;TEXT(B1_Gross_Advances!R12,"#,##0.00")&amp;"; CB "&amp;TEXT(B1_Gross_Advances!R10,"#,##0.00")&amp;"; Prime LAP "&amp;TEXT(B1_Gross_Advances!R26,"#,##0.00")&amp;"; Gold DA/CL "&amp;TEXT(B1_Gross_Advances!R31,"#,##0.00")&amp;" ₹ lakh"</f>
        <v>Corp 2,782.67; CB 1,042.81; Prime LAP 144.50; Gold DA/CL 2.93 ₹ lakh</v>
      </c>
    </row>
    <row r="37" customFormat="false" ht="15" hidden="false" customHeight="false" outlineLevel="0" collapsed="false">
      <c r="A37" s="10" t="n">
        <v>17</v>
      </c>
      <c r="B37" s="19" t="s">
        <v>241</v>
      </c>
      <c r="C37" s="19" t="s">
        <v>244</v>
      </c>
      <c r="D37" s="19" t="s">
        <v>178</v>
      </c>
      <c r="E37" s="19" t="s">
        <v>245</v>
      </c>
      <c r="F37" s="25" t="str">
        <f aca="false">"OV "&amp;TEXT(B1_Gross_Advances!D43,"#,##0.00")&amp;" / "&amp;TEXT(B1_Gross_Advances!G43,"#,##0.00")&amp;" / "&amp;TEXT(B1_Gross_Advances!J43,"#,##0.00")&amp;"; W "&amp;TEXT(B1_Gross_Advances!D44,"#,##0.00")&amp;" / "&amp;TEXT(B1_Gross_Advances!G44,"#,##0.00")&amp;" / "&amp;TEXT(B1_Gross_Advances!J44,"#,##0.00")&amp;"; RL "&amp;TEXT(B1_Gross_Advances!D45,"#,##0.00")&amp;" / "&amp;TEXT(B1_Gross_Advances!G45,"#,##0.00")&amp;" / "&amp;TEXT(B1_Gross_Advances!J45,"#,##0.00")</f>
        <v>OV 2.10 / 2.02 / 1.98; W 1,718.46 / 1,679.45 / 1,697.18; RL 11.26 / 11.34 / 11.42</v>
      </c>
    </row>
    <row r="38" customFormat="false" ht="15" hidden="false" customHeight="false" outlineLevel="0" collapsed="false">
      <c r="A38" s="10" t="n">
        <v>18</v>
      </c>
      <c r="B38" s="19" t="s">
        <v>241</v>
      </c>
      <c r="C38" s="19" t="s">
        <v>246</v>
      </c>
      <c r="D38" s="19" t="s">
        <v>247</v>
      </c>
      <c r="E38" s="19" t="s">
        <v>229</v>
      </c>
      <c r="F38" s="25" t="str">
        <f aca="false">"OV "&amp;TEXT(B1_Gross_Advances!T7,"0.00""x""")&amp;"; W "&amp;TEXT(B1_Gross_Advances!T8,"0.00""x""")&amp;"; Gold DA/CL "&amp;TEXT(B1_Gross_Advances!T31,"0.00""x""")&amp;"; Affordable Housing "&amp;TEXT(B1_Gross_Advances!T21,"0.00""x""")</f>
        <v>OV 1.04x; W 2.57x; Gold DA/CL 1.07x; Affordable Housing 1.73x</v>
      </c>
    </row>
    <row r="39" customFormat="false" ht="15" hidden="false" customHeight="false" outlineLevel="0" collapsed="false">
      <c r="A39" s="10" t="n">
        <v>19</v>
      </c>
      <c r="B39" s="19" t="s">
        <v>248</v>
      </c>
      <c r="C39" s="19" t="s">
        <v>249</v>
      </c>
      <c r="D39" s="19" t="s">
        <v>250</v>
      </c>
      <c r="E39" s="19" t="s">
        <v>251</v>
      </c>
      <c r="F39" s="25" t="str">
        <f aca="false">TEXT((B1_Gross_Advances!D12+B1_Gross_Advances!D10)/B1_Gross_Advances!D8,"0.0%")</f>
        <v>73.2%</v>
      </c>
    </row>
    <row r="40" customFormat="false" ht="15" hidden="false" customHeight="false" outlineLevel="0" collapsed="false">
      <c r="A40" s="10" t="n">
        <v>20</v>
      </c>
      <c r="B40" s="19" t="s">
        <v>248</v>
      </c>
      <c r="C40" s="19" t="s">
        <v>252</v>
      </c>
      <c r="D40" s="19" t="s">
        <v>253</v>
      </c>
      <c r="E40" s="19" t="s">
        <v>245</v>
      </c>
      <c r="F40" s="25" t="str">
        <f aca="false">TEXT(B1_Gross_Advances!F8,"#,##0")&amp;" / "&amp;TEXT(B1_Gross_Advances!I8,"#,##0")&amp;" / "&amp;TEXT(B1_Gross_Advances!L8,"#,##0")&amp;" customers hold "&amp;TEXT(B1_Gross_Advances!W8,"0.0%")&amp;" of gross"</f>
        <v>1,219 / 1,204 / 1,206 customers hold 42.7% of gross</v>
      </c>
    </row>
    <row r="41" customFormat="false" ht="15" hidden="false" customHeight="false" outlineLevel="0" collapsed="false">
      <c r="A41" s="10" t="n">
        <v>21</v>
      </c>
      <c r="B41" s="19" t="s">
        <v>254</v>
      </c>
      <c r="C41" s="19" t="s">
        <v>255</v>
      </c>
      <c r="D41" s="19" t="s">
        <v>256</v>
      </c>
      <c r="E41" s="19" t="s">
        <v>257</v>
      </c>
      <c r="F41" s="25" t="str">
        <f aca="false">TEXT(B1_Gross_Advances!G46,"#,##0.00;-#,##0.00;0.00")</f>
        <v>0.00</v>
      </c>
    </row>
    <row r="42" customFormat="false" ht="15" hidden="false" customHeight="false" outlineLevel="0" collapsed="false">
      <c r="A42" s="10" t="n">
        <v>22</v>
      </c>
      <c r="B42" s="19" t="s">
        <v>254</v>
      </c>
      <c r="C42" s="19" t="s">
        <v>258</v>
      </c>
      <c r="D42" s="19" t="s">
        <v>259</v>
      </c>
      <c r="E42" s="19" t="s">
        <v>257</v>
      </c>
      <c r="F42" s="25" t="str">
        <f aca="false">TEXT(B1_Gross_Advances!G47,"#,##0.00;-#,##0.00;0.00")</f>
        <v>2,246.32</v>
      </c>
    </row>
    <row r="43" customFormat="false" ht="15" hidden="false" customHeight="false" outlineLevel="0" collapsed="false">
      <c r="A43" s="10" t="n">
        <v>23</v>
      </c>
      <c r="B43" s="19" t="s">
        <v>254</v>
      </c>
      <c r="C43" s="19" t="s">
        <v>260</v>
      </c>
      <c r="D43" s="19" t="s">
        <v>261</v>
      </c>
      <c r="E43" s="19" t="s">
        <v>257</v>
      </c>
      <c r="F43" s="25" t="str">
        <f aca="false">TEXT(B1_Gross_Advances!J48,"#,##0.00;-#,##0.00;0.00")</f>
        <v>278.63</v>
      </c>
    </row>
    <row r="44" customFormat="false" ht="15" hidden="false" customHeight="false" outlineLevel="0" collapsed="false">
      <c r="A44" s="10" t="n">
        <v>24</v>
      </c>
      <c r="B44" s="19" t="s">
        <v>262</v>
      </c>
      <c r="C44" s="19" t="s">
        <v>263</v>
      </c>
      <c r="D44" s="19" t="s">
        <v>264</v>
      </c>
      <c r="E44" s="19" t="s">
        <v>265</v>
      </c>
      <c r="F44" s="19" t="s">
        <v>266</v>
      </c>
    </row>
    <row r="45" customFormat="false" ht="23.85" hidden="false" customHeight="false" outlineLevel="0" collapsed="false">
      <c r="A45" s="10" t="n">
        <v>25</v>
      </c>
      <c r="B45" s="19" t="s">
        <v>262</v>
      </c>
      <c r="C45" s="19" t="s">
        <v>267</v>
      </c>
      <c r="D45" s="19" t="s">
        <v>268</v>
      </c>
      <c r="E45" s="19" t="s">
        <v>269</v>
      </c>
      <c r="F45" s="19" t="s">
        <v>270</v>
      </c>
    </row>
    <row r="46" customFormat="false" ht="15" hidden="false" customHeight="false" outlineLevel="0" collapsed="false">
      <c r="A46" s="10" t="n">
        <v>26</v>
      </c>
      <c r="B46" s="19" t="s">
        <v>262</v>
      </c>
      <c r="C46" s="19" t="s">
        <v>271</v>
      </c>
      <c r="D46" s="19" t="s">
        <v>272</v>
      </c>
      <c r="E46" s="19" t="s">
        <v>273</v>
      </c>
      <c r="F46" s="25" t="str">
        <f aca="false">TEXT(B1_Gross_Advances!G15,"#,##0.00;-#,##0.00;0.00")&amp;" → "&amp;TEXT(B1_Gross_Advances!D15,"#,##0.00;-#,##0.00;0.00")</f>
        <v>369.00 → 190.06</v>
      </c>
    </row>
    <row r="48" customFormat="false" ht="15" hidden="false" customHeight="false" outlineLevel="0" collapsed="false">
      <c r="A48" s="4" t="s">
        <v>2</v>
      </c>
    </row>
  </sheetData>
  <mergeCells count="11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4"/>
    <col collapsed="false" customWidth="true" hidden="false" outlineLevel="0" max="21" min="3" style="1" width="12"/>
  </cols>
  <sheetData>
    <row r="1" customFormat="false" ht="17.35" hidden="false" customHeight="false" outlineLevel="0" collapsed="false">
      <c r="A1" s="2" t="s">
        <v>274</v>
      </c>
    </row>
    <row r="2" customFormat="false" ht="15" hidden="false" customHeight="false" outlineLevel="0" collapsed="false">
      <c r="A2" s="3" t="s">
        <v>275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customFormat="false" ht="35.05" hidden="false" customHeight="false" outlineLevel="0" collapsed="false">
      <c r="A6" s="9" t="s">
        <v>37</v>
      </c>
      <c r="B6" s="9" t="s">
        <v>276</v>
      </c>
      <c r="C6" s="9" t="s">
        <v>277</v>
      </c>
      <c r="D6" s="9" t="s">
        <v>41</v>
      </c>
      <c r="E6" s="9" t="s">
        <v>42</v>
      </c>
      <c r="F6" s="9" t="s">
        <v>278</v>
      </c>
      <c r="G6" s="9" t="s">
        <v>44</v>
      </c>
      <c r="H6" s="9" t="s">
        <v>45</v>
      </c>
      <c r="I6" s="9" t="s">
        <v>279</v>
      </c>
      <c r="J6" s="9" t="s">
        <v>47</v>
      </c>
      <c r="K6" s="9" t="s">
        <v>50</v>
      </c>
      <c r="L6" s="9" t="s">
        <v>51</v>
      </c>
      <c r="M6" s="9" t="s">
        <v>280</v>
      </c>
      <c r="N6" s="9" t="s">
        <v>281</v>
      </c>
      <c r="O6" s="9" t="s">
        <v>282</v>
      </c>
      <c r="P6" s="9" t="s">
        <v>56</v>
      </c>
      <c r="Q6" s="9" t="s">
        <v>283</v>
      </c>
      <c r="R6" s="9" t="s">
        <v>284</v>
      </c>
      <c r="S6" s="9" t="s">
        <v>285</v>
      </c>
      <c r="T6" s="9" t="s">
        <v>286</v>
      </c>
      <c r="U6" s="9" t="s">
        <v>57</v>
      </c>
    </row>
    <row r="7" customFormat="false" ht="15" hidden="false" customHeight="false" outlineLevel="0" collapsed="false">
      <c r="A7" s="10" t="n">
        <v>1</v>
      </c>
      <c r="B7" s="10" t="s">
        <v>287</v>
      </c>
      <c r="C7" s="12" t="n">
        <v>6079.1</v>
      </c>
      <c r="D7" s="13" t="n">
        <v>158382</v>
      </c>
      <c r="E7" s="13" t="n">
        <v>149222</v>
      </c>
      <c r="F7" s="12" t="n">
        <v>6395.63</v>
      </c>
      <c r="G7" s="13" t="n">
        <v>157791</v>
      </c>
      <c r="H7" s="13" t="n">
        <v>148704</v>
      </c>
      <c r="I7" s="12" t="n">
        <v>6947.86</v>
      </c>
      <c r="J7" s="13" t="n">
        <v>162931</v>
      </c>
      <c r="K7" s="14" t="n">
        <f aca="false">C7/F7-1</f>
        <v>-0.0494916059872131</v>
      </c>
      <c r="L7" s="14" t="n">
        <f aca="false">F7/I7-1</f>
        <v>-0.079482027559565</v>
      </c>
      <c r="M7" s="14" t="n">
        <f aca="false">C7/I7-1</f>
        <v>-0.125039940355735</v>
      </c>
      <c r="N7" s="15" t="n">
        <f aca="false">C7*100/D7</f>
        <v>3.83825182154538</v>
      </c>
      <c r="O7" s="15" t="n">
        <f aca="false">I7*100/J7</f>
        <v>4.26429592895152</v>
      </c>
      <c r="P7" s="16" t="n">
        <f aca="false">D7/E7</f>
        <v>1.06138505046173</v>
      </c>
      <c r="Q7" s="14" t="n">
        <f aca="false">C7/$C$13</f>
        <v>0.0569459896921867</v>
      </c>
      <c r="R7" s="14" t="n">
        <f aca="false">I7/$I$13</f>
        <v>0.0830644762134078</v>
      </c>
      <c r="S7" s="18" t="n">
        <f aca="false">(Q7-R7)*100</f>
        <v>-2.61184865212212</v>
      </c>
      <c r="T7" s="14" t="n">
        <f aca="false">(C7-I7)/($C$13-$I$13)</f>
        <v>-0.037595881918915</v>
      </c>
      <c r="U7" s="17" t="n">
        <f aca="false">D7-G7</f>
        <v>591</v>
      </c>
    </row>
    <row r="8" customFormat="false" ht="15" hidden="false" customHeight="false" outlineLevel="0" collapsed="false">
      <c r="A8" s="10" t="n">
        <v>2</v>
      </c>
      <c r="B8" s="10" t="s">
        <v>288</v>
      </c>
      <c r="C8" s="12" t="n">
        <v>81230.06</v>
      </c>
      <c r="D8" s="13" t="n">
        <v>661190</v>
      </c>
      <c r="E8" s="13" t="n">
        <v>215707</v>
      </c>
      <c r="F8" s="12" t="n">
        <v>65244.74</v>
      </c>
      <c r="G8" s="13" t="n">
        <v>655678</v>
      </c>
      <c r="H8" s="13" t="n">
        <v>213983</v>
      </c>
      <c r="I8" s="12" t="n">
        <v>57566.67</v>
      </c>
      <c r="J8" s="13" t="n">
        <v>649558</v>
      </c>
      <c r="K8" s="14" t="n">
        <f aca="false">C8/F8-1</f>
        <v>0.245005497761199</v>
      </c>
      <c r="L8" s="14" t="n">
        <f aca="false">F8/I8-1</f>
        <v>0.133377004436769</v>
      </c>
      <c r="M8" s="14" t="n">
        <f aca="false">C8/I8-1</f>
        <v>0.411060601559896</v>
      </c>
      <c r="N8" s="15" t="n">
        <f aca="false">C8*100/D8</f>
        <v>12.2854338389873</v>
      </c>
      <c r="O8" s="15" t="n">
        <f aca="false">I8*100/J8</f>
        <v>8.86243722654482</v>
      </c>
      <c r="P8" s="16" t="n">
        <f aca="false">D8/E8</f>
        <v>3.06522273268832</v>
      </c>
      <c r="Q8" s="14" t="n">
        <f aca="false">C8/$C$13</f>
        <v>0.760922860202284</v>
      </c>
      <c r="R8" s="14" t="n">
        <f aca="false">I8/$I$13</f>
        <v>0.688232821458708</v>
      </c>
      <c r="S8" s="18" t="n">
        <f aca="false">(Q8-R8)*100</f>
        <v>7.26900387435761</v>
      </c>
      <c r="T8" s="14" t="n">
        <f aca="false">(C8-I8)/($C$13-$I$13)</f>
        <v>1.02404118081085</v>
      </c>
      <c r="U8" s="17" t="n">
        <f aca="false">D8-G8</f>
        <v>5512</v>
      </c>
    </row>
    <row r="9" customFormat="false" ht="15" hidden="false" customHeight="false" outlineLevel="0" collapsed="false">
      <c r="A9" s="10" t="n">
        <v>3</v>
      </c>
      <c r="B9" s="10" t="s">
        <v>289</v>
      </c>
      <c r="C9" s="12" t="n">
        <v>3355.7</v>
      </c>
      <c r="D9" s="13" t="n">
        <v>92185</v>
      </c>
      <c r="E9" s="13" t="n">
        <v>57393</v>
      </c>
      <c r="F9" s="12" t="n">
        <v>3174.16</v>
      </c>
      <c r="G9" s="13" t="n">
        <v>91016</v>
      </c>
      <c r="H9" s="13" t="n">
        <v>56929</v>
      </c>
      <c r="I9" s="12" t="n">
        <v>2729.86</v>
      </c>
      <c r="J9" s="13" t="n">
        <v>90604</v>
      </c>
      <c r="K9" s="14" t="n">
        <f aca="false">C9/F9-1</f>
        <v>0.057193084154548</v>
      </c>
      <c r="L9" s="14" t="n">
        <f aca="false">F9/I9-1</f>
        <v>0.162755599188237</v>
      </c>
      <c r="M9" s="14" t="n">
        <f aca="false">C9/I9-1</f>
        <v>0.229257178023781</v>
      </c>
      <c r="N9" s="15" t="n">
        <f aca="false">C9*100/D9</f>
        <v>3.64018007267994</v>
      </c>
      <c r="O9" s="15" t="n">
        <f aca="false">I9*100/J9</f>
        <v>3.01295748532074</v>
      </c>
      <c r="P9" s="16" t="n">
        <f aca="false">D9/E9</f>
        <v>1.60620633178262</v>
      </c>
      <c r="Q9" s="14" t="n">
        <f aca="false">C9/$C$13</f>
        <v>0.0314345310342108</v>
      </c>
      <c r="R9" s="14" t="n">
        <f aca="false">I9/$I$13</f>
        <v>0.0326365803335032</v>
      </c>
      <c r="S9" s="18" t="n">
        <f aca="false">(Q9-R9)*100</f>
        <v>-0.120204929929241</v>
      </c>
      <c r="T9" s="14" t="n">
        <f aca="false">(C9-I9)/($C$13-$I$13)</f>
        <v>0.0270834370138286</v>
      </c>
      <c r="U9" s="17" t="n">
        <f aca="false">D9-G9</f>
        <v>1169</v>
      </c>
    </row>
    <row r="10" customFormat="false" ht="15" hidden="false" customHeight="false" outlineLevel="0" collapsed="false">
      <c r="A10" s="10" t="n">
        <v>4</v>
      </c>
      <c r="B10" s="10" t="s">
        <v>290</v>
      </c>
      <c r="C10" s="12" t="n">
        <v>15061.87</v>
      </c>
      <c r="D10" s="13" t="n">
        <v>1508338</v>
      </c>
      <c r="E10" s="13" t="n">
        <v>1492921</v>
      </c>
      <c r="F10" s="12" t="n">
        <v>14951.75</v>
      </c>
      <c r="G10" s="13" t="n">
        <v>1500369</v>
      </c>
      <c r="H10" s="13" t="n">
        <v>1484987</v>
      </c>
      <c r="I10" s="12" t="n">
        <v>15288.43</v>
      </c>
      <c r="J10" s="13" t="n">
        <v>1549583</v>
      </c>
      <c r="K10" s="14" t="n">
        <f aca="false">C10/F10-1</f>
        <v>0.00736502416105145</v>
      </c>
      <c r="L10" s="14" t="n">
        <f aca="false">F10/I10-1</f>
        <v>-0.0220218819067752</v>
      </c>
      <c r="M10" s="14" t="n">
        <f aca="false">C10/I10-1</f>
        <v>-0.014819049438039</v>
      </c>
      <c r="N10" s="15" t="n">
        <f aca="false">C10*100/D10</f>
        <v>0.998573927064093</v>
      </c>
      <c r="O10" s="15" t="n">
        <f aca="false">I10*100/J10</f>
        <v>0.986615754044798</v>
      </c>
      <c r="P10" s="16" t="n">
        <f aca="false">D10/E10</f>
        <v>1.01032673530616</v>
      </c>
      <c r="Q10" s="14" t="n">
        <f aca="false">C10/$C$13</f>
        <v>0.141092117873543</v>
      </c>
      <c r="R10" s="14" t="n">
        <f aca="false">I10/$I$13</f>
        <v>0.182779363728594</v>
      </c>
      <c r="S10" s="18" t="n">
        <f aca="false">(Q10-R10)*100</f>
        <v>-4.16872458550511</v>
      </c>
      <c r="T10" s="14" t="n">
        <f aca="false">(C10-I10)/($C$13-$I$13)</f>
        <v>-0.00980446038900198</v>
      </c>
      <c r="U10" s="17" t="n">
        <f aca="false">D10-G10</f>
        <v>7969</v>
      </c>
    </row>
    <row r="11" customFormat="false" ht="15" hidden="false" customHeight="false" outlineLevel="0" collapsed="false">
      <c r="A11" s="10" t="n">
        <v>5</v>
      </c>
      <c r="B11" s="10" t="s">
        <v>291</v>
      </c>
      <c r="C11" s="12" t="n">
        <v>171.3</v>
      </c>
      <c r="D11" s="13" t="n">
        <v>331727</v>
      </c>
      <c r="E11" s="13" t="n">
        <v>331715</v>
      </c>
      <c r="F11" s="12" t="n">
        <v>171.5</v>
      </c>
      <c r="G11" s="13" t="n">
        <v>324967</v>
      </c>
      <c r="H11" s="13" t="n">
        <v>324956</v>
      </c>
      <c r="I11" s="12" t="n">
        <v>179.12</v>
      </c>
      <c r="J11" s="13" t="n">
        <v>331067</v>
      </c>
      <c r="K11" s="14" t="n">
        <f aca="false">C11/F11-1</f>
        <v>-0.00116618075801744</v>
      </c>
      <c r="L11" s="14" t="n">
        <f aca="false">F11/I11-1</f>
        <v>-0.0425413130861992</v>
      </c>
      <c r="M11" s="14" t="n">
        <f aca="false">C11/I11-1</f>
        <v>-0.0436578829834747</v>
      </c>
      <c r="N11" s="15" t="n">
        <f aca="false">C11*100/D11</f>
        <v>0.0516388476066163</v>
      </c>
      <c r="O11" s="15" t="n">
        <f aca="false">I11*100/J11</f>
        <v>0.0541038520903624</v>
      </c>
      <c r="P11" s="16" t="n">
        <f aca="false">D11/E11</f>
        <v>1.0000361756327</v>
      </c>
      <c r="Q11" s="14" t="n">
        <f aca="false">C11/$C$13</f>
        <v>0.00160465332603043</v>
      </c>
      <c r="R11" s="14" t="n">
        <f aca="false">I11/$I$13</f>
        <v>0.0021414520412538</v>
      </c>
      <c r="S11" s="18" t="n">
        <f aca="false">(Q11-R11)*100</f>
        <v>-0.0536798715223369</v>
      </c>
      <c r="T11" s="14" t="n">
        <f aca="false">(C11-I11)/($C$13-$I$13)</f>
        <v>-0.000338413136661351</v>
      </c>
      <c r="U11" s="17" t="n">
        <f aca="false">D11-G11</f>
        <v>6760</v>
      </c>
    </row>
    <row r="12" customFormat="false" ht="15" hidden="false" customHeight="false" outlineLevel="0" collapsed="false">
      <c r="A12" s="10" t="n">
        <v>6</v>
      </c>
      <c r="B12" s="10" t="s">
        <v>292</v>
      </c>
      <c r="C12" s="12" t="n">
        <v>853.99</v>
      </c>
      <c r="D12" s="13" t="n">
        <v>378402</v>
      </c>
      <c r="E12" s="13" t="n">
        <v>378379</v>
      </c>
      <c r="F12" s="12" t="n">
        <v>973.44</v>
      </c>
      <c r="G12" s="13" t="n">
        <v>374637</v>
      </c>
      <c r="H12" s="13" t="n">
        <v>374614</v>
      </c>
      <c r="I12" s="12" t="n">
        <v>932.22</v>
      </c>
      <c r="J12" s="13" t="n">
        <v>369767</v>
      </c>
      <c r="K12" s="14" t="n">
        <f aca="false">C12/F12-1</f>
        <v>-0.122709155161078</v>
      </c>
      <c r="L12" s="14" t="n">
        <f aca="false">F12/I12-1</f>
        <v>0.0442170303147327</v>
      </c>
      <c r="M12" s="14" t="n">
        <f aca="false">C12/I12-1</f>
        <v>-0.0839179592799983</v>
      </c>
      <c r="N12" s="15" t="n">
        <f aca="false">C12*100/D12</f>
        <v>0.225683268058837</v>
      </c>
      <c r="O12" s="15" t="n">
        <f aca="false">I12*100/J12</f>
        <v>0.252110112584411</v>
      </c>
      <c r="P12" s="16" t="n">
        <f aca="false">D12/E12</f>
        <v>1.00006078561442</v>
      </c>
      <c r="Q12" s="14" t="n">
        <f aca="false">C12/$C$13</f>
        <v>0.00799975419671176</v>
      </c>
      <c r="R12" s="14" t="n">
        <f aca="false">I12/$I$13</f>
        <v>0.0111450671164449</v>
      </c>
      <c r="S12" s="18" t="n">
        <f aca="false">(Q12-R12)*100</f>
        <v>-0.314531291973316</v>
      </c>
      <c r="T12" s="14" t="n">
        <f aca="false">(C12-I12)/($C$13-$I$13)</f>
        <v>-0.00338542962672858</v>
      </c>
      <c r="U12" s="17" t="n">
        <f aca="false">D12-G12</f>
        <v>3765</v>
      </c>
    </row>
    <row r="13" customFormat="false" ht="15" hidden="false" customHeight="false" outlineLevel="0" collapsed="false">
      <c r="A13" s="10" t="n">
        <v>7</v>
      </c>
      <c r="B13" s="11" t="s">
        <v>293</v>
      </c>
      <c r="C13" s="12" t="n">
        <v>106752.03</v>
      </c>
      <c r="D13" s="13" t="n">
        <v>3130224</v>
      </c>
      <c r="E13" s="13" t="n">
        <v>2625337</v>
      </c>
      <c r="F13" s="12" t="n">
        <v>90911.22</v>
      </c>
      <c r="G13" s="13" t="n">
        <v>3104458</v>
      </c>
      <c r="H13" s="13" t="n">
        <v>2604173</v>
      </c>
      <c r="I13" s="12" t="n">
        <v>83644.18</v>
      </c>
      <c r="J13" s="13" t="n">
        <v>3153510</v>
      </c>
      <c r="K13" s="14" t="n">
        <f aca="false">C13/F13-1</f>
        <v>0.174244829186101</v>
      </c>
      <c r="L13" s="14" t="n">
        <f aca="false">F13/I13-1</f>
        <v>0.0868804021989338</v>
      </c>
      <c r="M13" s="14" t="n">
        <f aca="false">C13/I13-1</f>
        <v>0.276263692225807</v>
      </c>
      <c r="N13" s="15" t="n">
        <f aca="false">C13*100/D13</f>
        <v>3.41036392283747</v>
      </c>
      <c r="O13" s="15" t="n">
        <f aca="false">I13*100/J13</f>
        <v>2.65241524523467</v>
      </c>
      <c r="P13" s="16" t="n">
        <f aca="false">D13/E13</f>
        <v>1.19231321540816</v>
      </c>
      <c r="Q13" s="14" t="n">
        <f aca="false">C13/$C$13</f>
        <v>1</v>
      </c>
      <c r="R13" s="14" t="n">
        <f aca="false">I13/$I$13</f>
        <v>1</v>
      </c>
      <c r="S13" s="18" t="n">
        <f aca="false">(Q13-R13)*100</f>
        <v>0</v>
      </c>
      <c r="T13" s="14" t="n">
        <f aca="false">(C13-I13)/($C$13-$I$13)</f>
        <v>1</v>
      </c>
      <c r="U13" s="17" t="n">
        <f aca="false">D13-G13</f>
        <v>25766</v>
      </c>
    </row>
    <row r="15" customFormat="false" ht="15" hidden="false" customHeight="false" outlineLevel="0" collapsed="false">
      <c r="B15" s="10" t="s">
        <v>294</v>
      </c>
      <c r="C15" s="20" t="n">
        <f aca="false">SUM(C7:C12)-C13</f>
        <v>-0.00999999999476131</v>
      </c>
      <c r="D15" s="17" t="n">
        <f aca="false">SUM(D7:D12)-D13</f>
        <v>0</v>
      </c>
      <c r="E15" s="17" t="n">
        <f aca="false">SUM(E7:E12)-E13</f>
        <v>0</v>
      </c>
      <c r="F15" s="20" t="n">
        <f aca="false">SUM(F7:F12)-F13</f>
        <v>0</v>
      </c>
      <c r="G15" s="17" t="n">
        <f aca="false">SUM(G7:G12)-G13</f>
        <v>0</v>
      </c>
      <c r="H15" s="17" t="n">
        <f aca="false">SUM(H7:H12)-H13</f>
        <v>0</v>
      </c>
      <c r="I15" s="20" t="n">
        <f aca="false">SUM(I7:I12)-I13</f>
        <v>-0.0199999999895226</v>
      </c>
      <c r="J15" s="17" t="n">
        <f aca="false">SUM(J7:J12)-J13</f>
        <v>0</v>
      </c>
    </row>
    <row r="16" customFormat="false" ht="15" hidden="false" customHeight="false" outlineLevel="0" collapsed="false">
      <c r="B16" s="11" t="s">
        <v>295</v>
      </c>
      <c r="C16" s="20" t="n">
        <f aca="false">C7+C10+C11+C12</f>
        <v>22166.26</v>
      </c>
      <c r="F16" s="20" t="n">
        <f aca="false">F7+F10+F11+F12</f>
        <v>22492.32</v>
      </c>
      <c r="I16" s="20" t="n">
        <f aca="false">I7+I10+I11+I12</f>
        <v>23347.63</v>
      </c>
    </row>
    <row r="17" customFormat="false" ht="15" hidden="false" customHeight="false" outlineLevel="0" collapsed="false">
      <c r="B17" s="11" t="s">
        <v>296</v>
      </c>
      <c r="C17" s="14" t="n">
        <f aca="false">C16/C13</f>
        <v>0.207642515088472</v>
      </c>
      <c r="F17" s="14" t="n">
        <f aca="false">F16/F13</f>
        <v>0.247409725664225</v>
      </c>
      <c r="I17" s="14" t="n">
        <f aca="false">I16/I13</f>
        <v>0.279130359099701</v>
      </c>
    </row>
    <row r="18" customFormat="false" ht="15" hidden="false" customHeight="false" outlineLevel="0" collapsed="false">
      <c r="B18" s="10" t="s">
        <v>297</v>
      </c>
      <c r="C18" s="20" t="n">
        <f aca="false">C8+C9</f>
        <v>84585.76</v>
      </c>
      <c r="F18" s="20" t="n">
        <f aca="false">F8+F9</f>
        <v>68418.9</v>
      </c>
      <c r="I18" s="20" t="n">
        <f aca="false">I8+I9</f>
        <v>60296.53</v>
      </c>
    </row>
    <row r="19" customFormat="false" ht="15" hidden="false" customHeight="false" outlineLevel="0" collapsed="false">
      <c r="B19" s="10" t="s">
        <v>298</v>
      </c>
      <c r="C19" s="20" t="n">
        <f aca="false">115448.64-C13</f>
        <v>8696.61</v>
      </c>
    </row>
    <row r="20" customFormat="false" ht="15" hidden="false" customHeight="false" outlineLevel="0" collapsed="false">
      <c r="B20" s="10" t="s">
        <v>299</v>
      </c>
      <c r="C20" s="20" t="n">
        <f aca="false">113109.81-C13</f>
        <v>6357.78</v>
      </c>
    </row>
    <row r="23" customFormat="false" ht="15" hidden="false" customHeight="false" outlineLevel="0" collapsed="false">
      <c r="A23" s="5" t="s">
        <v>111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customFormat="false" ht="23.85" hidden="false" customHeight="false" outlineLevel="0" collapsed="false">
      <c r="A24" s="9" t="s">
        <v>37</v>
      </c>
      <c r="B24" s="9" t="s">
        <v>112</v>
      </c>
      <c r="C24" s="9" t="s">
        <v>113</v>
      </c>
      <c r="D24" s="9" t="s">
        <v>114</v>
      </c>
      <c r="E24" s="9" t="s">
        <v>115</v>
      </c>
    </row>
    <row r="25" customFormat="false" ht="46.25" hidden="false" customHeight="false" outlineLevel="0" collapsed="false">
      <c r="A25" s="10" t="n">
        <v>1</v>
      </c>
      <c r="B25" s="21" t="s">
        <v>300</v>
      </c>
      <c r="C25" s="14" t="n">
        <f aca="false">K8</f>
        <v>0.245005497761199</v>
      </c>
      <c r="D25" s="10" t="s">
        <v>122</v>
      </c>
      <c r="E25" s="19" t="s">
        <v>301</v>
      </c>
    </row>
    <row r="26" customFormat="false" ht="46.25" hidden="false" customHeight="false" outlineLevel="0" collapsed="false">
      <c r="A26" s="10" t="n">
        <v>2</v>
      </c>
      <c r="B26" s="21" t="s">
        <v>302</v>
      </c>
      <c r="C26" s="14" t="n">
        <f aca="false">M7</f>
        <v>-0.125039940355735</v>
      </c>
      <c r="D26" s="10" t="s">
        <v>122</v>
      </c>
      <c r="E26" s="19" t="s">
        <v>303</v>
      </c>
    </row>
    <row r="27" customFormat="false" ht="79.85" hidden="false" customHeight="false" outlineLevel="0" collapsed="false">
      <c r="A27" s="10" t="n">
        <v>3</v>
      </c>
      <c r="B27" s="21" t="s">
        <v>304</v>
      </c>
      <c r="C27" s="16" t="n">
        <f aca="false">P8</f>
        <v>3.06522273268832</v>
      </c>
      <c r="D27" s="10" t="s">
        <v>154</v>
      </c>
      <c r="E27" s="19" t="s">
        <v>305</v>
      </c>
    </row>
    <row r="28" customFormat="false" ht="23.85" hidden="false" customHeight="false" outlineLevel="0" collapsed="false">
      <c r="A28" s="10" t="n">
        <v>4</v>
      </c>
      <c r="B28" s="21" t="s">
        <v>306</v>
      </c>
      <c r="C28" s="20" t="n">
        <f aca="false">MAX(ABS(C15),ABS(F15),ABS(I15))</f>
        <v>0.0199999999895226</v>
      </c>
      <c r="D28" s="10" t="s">
        <v>117</v>
      </c>
      <c r="E28" s="19" t="s">
        <v>307</v>
      </c>
    </row>
    <row r="29" customFormat="false" ht="46.25" hidden="false" customHeight="false" outlineLevel="0" collapsed="false">
      <c r="A29" s="10" t="n">
        <v>5</v>
      </c>
      <c r="B29" s="21" t="s">
        <v>308</v>
      </c>
      <c r="C29" s="20" t="n">
        <f aca="false">C19</f>
        <v>8696.61</v>
      </c>
      <c r="D29" s="10" t="s">
        <v>117</v>
      </c>
      <c r="E29" s="19" t="s">
        <v>309</v>
      </c>
    </row>
    <row r="31" customFormat="false" ht="15" hidden="false" customHeight="false" outlineLevel="0" collapsed="false">
      <c r="A31" s="5" t="s">
        <v>310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3" customFormat="false" ht="15" hidden="false" customHeight="false" outlineLevel="0" collapsed="false">
      <c r="A33" s="5" t="s">
        <v>131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customFormat="false" ht="23.85" hidden="false" customHeight="false" outlineLevel="0" collapsed="false">
      <c r="A34" s="9" t="s">
        <v>37</v>
      </c>
      <c r="B34" s="9" t="s">
        <v>132</v>
      </c>
      <c r="C34" s="9" t="s">
        <v>133</v>
      </c>
      <c r="D34" s="9" t="s">
        <v>134</v>
      </c>
      <c r="E34" s="9" t="s">
        <v>135</v>
      </c>
      <c r="F34" s="9" t="s">
        <v>114</v>
      </c>
      <c r="G34" s="9" t="s">
        <v>136</v>
      </c>
    </row>
    <row r="35" customFormat="false" ht="35.05" hidden="false" customHeight="false" outlineLevel="0" collapsed="false">
      <c r="A35" s="10" t="n">
        <v>1</v>
      </c>
      <c r="B35" s="11" t="s">
        <v>137</v>
      </c>
      <c r="C35" s="19" t="s">
        <v>311</v>
      </c>
      <c r="D35" s="19" t="s">
        <v>139</v>
      </c>
      <c r="E35" s="20" t="n">
        <f aca="false">C13</f>
        <v>106752.03</v>
      </c>
      <c r="F35" s="10" t="s">
        <v>117</v>
      </c>
      <c r="G35" s="19"/>
    </row>
    <row r="36" customFormat="false" ht="46.25" hidden="false" customHeight="false" outlineLevel="0" collapsed="false">
      <c r="A36" s="10" t="n">
        <v>2</v>
      </c>
      <c r="B36" s="11" t="s">
        <v>137</v>
      </c>
      <c r="C36" s="19" t="s">
        <v>312</v>
      </c>
      <c r="D36" s="19" t="s">
        <v>139</v>
      </c>
      <c r="E36" s="17" t="n">
        <f aca="false">D10</f>
        <v>1508338</v>
      </c>
      <c r="F36" s="10" t="s">
        <v>141</v>
      </c>
      <c r="G36" s="19"/>
    </row>
    <row r="37" customFormat="false" ht="35.05" hidden="false" customHeight="false" outlineLevel="0" collapsed="false">
      <c r="A37" s="10" t="n">
        <v>3</v>
      </c>
      <c r="B37" s="11" t="s">
        <v>137</v>
      </c>
      <c r="C37" s="19" t="s">
        <v>313</v>
      </c>
      <c r="D37" s="19" t="s">
        <v>139</v>
      </c>
      <c r="E37" s="20" t="n">
        <f aca="false">I9</f>
        <v>2729.86</v>
      </c>
      <c r="F37" s="10" t="s">
        <v>117</v>
      </c>
      <c r="G37" s="19"/>
    </row>
    <row r="38" customFormat="false" ht="46.25" hidden="false" customHeight="false" outlineLevel="0" collapsed="false">
      <c r="A38" s="10" t="n">
        <v>4</v>
      </c>
      <c r="B38" s="11" t="s">
        <v>143</v>
      </c>
      <c r="C38" s="19" t="s">
        <v>314</v>
      </c>
      <c r="D38" s="19" t="s">
        <v>315</v>
      </c>
      <c r="E38" s="14" t="n">
        <f aca="false">C17</f>
        <v>0.207642515088472</v>
      </c>
      <c r="F38" s="10" t="s">
        <v>122</v>
      </c>
      <c r="G38" s="19"/>
    </row>
    <row r="39" customFormat="false" ht="57.45" hidden="false" customHeight="false" outlineLevel="0" collapsed="false">
      <c r="A39" s="10" t="n">
        <v>5</v>
      </c>
      <c r="B39" s="11" t="s">
        <v>143</v>
      </c>
      <c r="C39" s="19" t="s">
        <v>316</v>
      </c>
      <c r="D39" s="19" t="s">
        <v>317</v>
      </c>
      <c r="E39" s="15" t="n">
        <f aca="false">N10</f>
        <v>0.998573927064093</v>
      </c>
      <c r="F39" s="10" t="s">
        <v>148</v>
      </c>
      <c r="G39" s="19"/>
    </row>
    <row r="40" customFormat="false" ht="46.25" hidden="false" customHeight="false" outlineLevel="0" collapsed="false">
      <c r="A40" s="10" t="n">
        <v>6</v>
      </c>
      <c r="B40" s="11" t="s">
        <v>143</v>
      </c>
      <c r="C40" s="19" t="s">
        <v>318</v>
      </c>
      <c r="D40" s="19" t="s">
        <v>319</v>
      </c>
      <c r="E40" s="14" t="n">
        <f aca="false">M8</f>
        <v>0.411060601559896</v>
      </c>
      <c r="F40" s="10" t="s">
        <v>122</v>
      </c>
      <c r="G40" s="19"/>
    </row>
    <row r="41" customFormat="false" ht="57.45" hidden="false" customHeight="false" outlineLevel="0" collapsed="false">
      <c r="A41" s="10" t="n">
        <v>7</v>
      </c>
      <c r="B41" s="11" t="s">
        <v>143</v>
      </c>
      <c r="C41" s="19" t="s">
        <v>320</v>
      </c>
      <c r="D41" s="19" t="s">
        <v>321</v>
      </c>
      <c r="E41" s="18" t="n">
        <f aca="false">S8</f>
        <v>7.26900387435761</v>
      </c>
      <c r="F41" s="10" t="s">
        <v>151</v>
      </c>
      <c r="G41" s="19"/>
    </row>
    <row r="42" customFormat="false" ht="68.65" hidden="false" customHeight="false" outlineLevel="0" collapsed="false">
      <c r="A42" s="10" t="n">
        <v>8</v>
      </c>
      <c r="B42" s="11" t="s">
        <v>155</v>
      </c>
      <c r="C42" s="19" t="s">
        <v>322</v>
      </c>
      <c r="D42" s="19" t="s">
        <v>323</v>
      </c>
      <c r="E42" s="14" t="n">
        <f aca="false">T8</f>
        <v>1.02404118081085</v>
      </c>
      <c r="F42" s="10" t="s">
        <v>122</v>
      </c>
      <c r="G42" s="19" t="s">
        <v>324</v>
      </c>
    </row>
    <row r="43" customFormat="false" ht="102.2" hidden="false" customHeight="false" outlineLevel="0" collapsed="false">
      <c r="A43" s="10" t="n">
        <v>9</v>
      </c>
      <c r="B43" s="11" t="s">
        <v>155</v>
      </c>
      <c r="C43" s="19" t="s">
        <v>325</v>
      </c>
      <c r="D43" s="19" t="s">
        <v>326</v>
      </c>
      <c r="E43" s="14" t="n">
        <f aca="false">(C12*100/D12)/(F12*100/G12)-1</f>
        <v>-0.131437967458102</v>
      </c>
      <c r="F43" s="10" t="s">
        <v>122</v>
      </c>
      <c r="G43" s="19" t="s">
        <v>327</v>
      </c>
    </row>
    <row r="44" customFormat="false" ht="102.2" hidden="false" customHeight="false" outlineLevel="0" collapsed="false">
      <c r="A44" s="10" t="n">
        <v>10</v>
      </c>
      <c r="B44" s="11" t="s">
        <v>155</v>
      </c>
      <c r="C44" s="19" t="s">
        <v>328</v>
      </c>
      <c r="D44" s="19" t="s">
        <v>329</v>
      </c>
      <c r="E44" s="20" t="n">
        <f aca="false">C19</f>
        <v>8696.61</v>
      </c>
      <c r="F44" s="10" t="s">
        <v>117</v>
      </c>
      <c r="G44" s="19" t="s">
        <v>330</v>
      </c>
    </row>
    <row r="46" customFormat="false" ht="15" hidden="false" customHeight="false" outlineLevel="0" collapsed="false">
      <c r="A46" s="5" t="s">
        <v>165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customFormat="false" ht="69.75" hidden="false" customHeight="true" outlineLevel="0" collapsed="false">
      <c r="A47" s="22" t="s">
        <v>331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9" customFormat="false" ht="15" hidden="false" customHeight="false" outlineLevel="0" collapsed="false">
      <c r="A49" s="4" t="s">
        <v>2</v>
      </c>
    </row>
  </sheetData>
  <mergeCells count="1">
    <mergeCell ref="A47:T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24"/>
    <col collapsed="false" customWidth="true" hidden="false" outlineLevel="0" max="6" min="6" style="1" width="78"/>
  </cols>
  <sheetData>
    <row r="1" customFormat="false" ht="17.35" hidden="false" customHeight="false" outlineLevel="0" collapsed="false">
      <c r="A1" s="2" t="s">
        <v>332</v>
      </c>
    </row>
    <row r="2" customFormat="false" ht="15" hidden="false" customHeight="false" outlineLevel="0" collapsed="false">
      <c r="A2" s="3" t="s">
        <v>168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169</v>
      </c>
      <c r="B5" s="6"/>
      <c r="C5" s="6"/>
      <c r="D5" s="6"/>
      <c r="E5" s="6"/>
      <c r="F5" s="6"/>
    </row>
    <row r="6" customFormat="false" ht="15" hidden="false" customHeight="false" outlineLevel="0" collapsed="false">
      <c r="B6" s="23" t="s">
        <v>170</v>
      </c>
      <c r="C6" s="23" t="s">
        <v>171</v>
      </c>
      <c r="D6" s="23"/>
      <c r="E6" s="23"/>
      <c r="F6" s="23"/>
    </row>
    <row r="7" customFormat="false" ht="15" hidden="false" customHeight="true" outlineLevel="0" collapsed="false">
      <c r="B7" s="11" t="s">
        <v>333</v>
      </c>
      <c r="C7" s="19" t="s">
        <v>334</v>
      </c>
      <c r="D7" s="19"/>
      <c r="E7" s="19"/>
      <c r="F7" s="19"/>
    </row>
    <row r="8" customFormat="false" ht="15" hidden="false" customHeight="true" outlineLevel="0" collapsed="false">
      <c r="B8" s="11" t="s">
        <v>335</v>
      </c>
      <c r="C8" s="19" t="s">
        <v>336</v>
      </c>
      <c r="D8" s="19"/>
      <c r="E8" s="19"/>
      <c r="F8" s="19"/>
    </row>
    <row r="9" customFormat="false" ht="15" hidden="false" customHeight="true" outlineLevel="0" collapsed="false">
      <c r="B9" s="11" t="s">
        <v>337</v>
      </c>
      <c r="C9" s="19" t="s">
        <v>338</v>
      </c>
      <c r="D9" s="19"/>
      <c r="E9" s="19"/>
      <c r="F9" s="19"/>
    </row>
    <row r="10" customFormat="false" ht="15" hidden="false" customHeight="true" outlineLevel="0" collapsed="false">
      <c r="B10" s="11" t="s">
        <v>339</v>
      </c>
      <c r="C10" s="19" t="s">
        <v>340</v>
      </c>
      <c r="D10" s="19"/>
      <c r="E10" s="19"/>
      <c r="F10" s="19"/>
    </row>
    <row r="11" customFormat="false" ht="15" hidden="false" customHeight="true" outlineLevel="0" collapsed="false">
      <c r="B11" s="11" t="s">
        <v>341</v>
      </c>
      <c r="C11" s="19" t="s">
        <v>342</v>
      </c>
      <c r="D11" s="19"/>
      <c r="E11" s="19"/>
      <c r="F11" s="19"/>
    </row>
    <row r="12" customFormat="false" ht="15" hidden="false" customHeight="true" outlineLevel="0" collapsed="false">
      <c r="B12" s="11" t="s">
        <v>343</v>
      </c>
      <c r="C12" s="19" t="s">
        <v>344</v>
      </c>
      <c r="D12" s="19"/>
      <c r="E12" s="19"/>
      <c r="F12" s="19"/>
    </row>
    <row r="13" customFormat="false" ht="15" hidden="false" customHeight="true" outlineLevel="0" collapsed="false">
      <c r="B13" s="11" t="s">
        <v>184</v>
      </c>
      <c r="C13" s="19" t="s">
        <v>345</v>
      </c>
      <c r="D13" s="19"/>
      <c r="E13" s="19"/>
      <c r="F13" s="19"/>
    </row>
    <row r="14" customFormat="false" ht="15" hidden="false" customHeight="true" outlineLevel="0" collapsed="false">
      <c r="B14" s="11" t="s">
        <v>186</v>
      </c>
      <c r="C14" s="19" t="s">
        <v>346</v>
      </c>
      <c r="D14" s="19"/>
      <c r="E14" s="19"/>
      <c r="F14" s="19"/>
    </row>
    <row r="15" customFormat="false" ht="15" hidden="false" customHeight="true" outlineLevel="0" collapsed="false">
      <c r="B15" s="11" t="s">
        <v>188</v>
      </c>
      <c r="C15" s="19" t="s">
        <v>347</v>
      </c>
      <c r="D15" s="19"/>
      <c r="E15" s="19"/>
      <c r="F15" s="19"/>
    </row>
    <row r="16" customFormat="false" ht="15" hidden="false" customHeight="false" outlineLevel="0" collapsed="false">
      <c r="B16" s="24" t="s">
        <v>348</v>
      </c>
    </row>
    <row r="18" customFormat="false" ht="15" hidden="false" customHeight="false" outlineLevel="0" collapsed="false">
      <c r="A18" s="5" t="s">
        <v>193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9" t="s">
        <v>37</v>
      </c>
      <c r="B19" s="9" t="s">
        <v>194</v>
      </c>
      <c r="C19" s="9" t="s">
        <v>195</v>
      </c>
      <c r="D19" s="9" t="s">
        <v>196</v>
      </c>
      <c r="E19" s="9" t="s">
        <v>197</v>
      </c>
      <c r="F19" s="9" t="s">
        <v>198</v>
      </c>
    </row>
    <row r="20" customFormat="false" ht="15" hidden="false" customHeight="false" outlineLevel="0" collapsed="false">
      <c r="A20" s="10" t="n">
        <v>1</v>
      </c>
      <c r="B20" s="19" t="s">
        <v>199</v>
      </c>
      <c r="C20" s="19" t="s">
        <v>349</v>
      </c>
      <c r="D20" s="19" t="s">
        <v>333</v>
      </c>
      <c r="E20" s="19" t="s">
        <v>350</v>
      </c>
      <c r="F20" s="25" t="str">
        <f aca="false">"Deposits "&amp;TEXT(B2_Liability_MEB!C8,"#,##0.00;-#,##0.00;0.00")&amp;" / "&amp;TEXT(B2_Liability_MEB!F8,"#,##0.00;-#,##0.00;0.00")&amp;" / "&amp;TEXT(B2_Liability_MEB!I8,"#,##0.00;-#,##0.00;0.00")&amp;"; SA "&amp;TEXT(B2_Liability_MEB!C10,"#,##0.00;-#,##0.00;0.00")&amp;" / "&amp;TEXT(B2_Liability_MEB!F10,"#,##0.00;-#,##0.00;0.00")&amp;" / "&amp;TEXT(B2_Liability_MEB!I10,"#,##0.00;-#,##0.00;0.00")</f>
        <v>Deposits 81,230.06 / 65,244.74 / 57,566.67; SA 15,061.87 / 14,951.75 / 15,288.43</v>
      </c>
    </row>
    <row r="21" customFormat="false" ht="15" hidden="false" customHeight="false" outlineLevel="0" collapsed="false">
      <c r="A21" s="10" t="n">
        <v>2</v>
      </c>
      <c r="B21" s="19" t="s">
        <v>199</v>
      </c>
      <c r="C21" s="19" t="s">
        <v>175</v>
      </c>
      <c r="D21" s="19" t="s">
        <v>351</v>
      </c>
      <c r="E21" s="19" t="s">
        <v>352</v>
      </c>
      <c r="F21" s="25" t="str">
        <f aca="false">"SA accounts "&amp;TEXT(B2_Liability_MEB!D10,"#,##0")&amp;" / "&amp;TEXT(B2_Liability_MEB!G10,"#,##0")&amp;" / "&amp;TEXT(B2_Liability_MEB!J10,"#,##0")&amp;"; Deposits customers "&amp;TEXT(B2_Liability_MEB!E8,"#,##0")&amp;" / "&amp;TEXT(B2_Liability_MEB!H8,"#,##0")</f>
        <v>SA accounts 1,508,338 / 1,500,369 / 1,549,583; Deposits customers 215,707 / 213,983</v>
      </c>
    </row>
    <row r="22" customFormat="false" ht="15" hidden="false" customHeight="false" outlineLevel="0" collapsed="false">
      <c r="A22" s="10" t="n">
        <v>3</v>
      </c>
      <c r="B22" s="19" t="s">
        <v>205</v>
      </c>
      <c r="C22" s="19" t="s">
        <v>353</v>
      </c>
      <c r="D22" s="19" t="s">
        <v>354</v>
      </c>
      <c r="E22" s="19" t="s">
        <v>245</v>
      </c>
      <c r="F22" s="25" t="str">
        <f aca="false">TEXT(B2_Liability_MEB!C15,"#,##0.00;-#,##0.00;0.00")&amp;" / "&amp;TEXT(B2_Liability_MEB!F15,"#,##0.00;-#,##0.00;0.00")&amp;" / "&amp;TEXT(B2_Liability_MEB!I15,"#,##0.00;-#,##0.00;0.00")</f>
        <v>-0.01 / 0.00 / -0.02</v>
      </c>
    </row>
    <row r="23" customFormat="false" ht="15" hidden="false" customHeight="false" outlineLevel="0" collapsed="false">
      <c r="A23" s="10" t="n">
        <v>4</v>
      </c>
      <c r="B23" s="19" t="s">
        <v>233</v>
      </c>
      <c r="C23" s="19" t="s">
        <v>355</v>
      </c>
      <c r="D23" s="19" t="s">
        <v>356</v>
      </c>
      <c r="E23" s="19" t="s">
        <v>245</v>
      </c>
      <c r="F23" s="25" t="str">
        <f aca="false">"CASA "&amp;TEXT(B2_Liability_MEB!C16,"#,##0.00;-#,##0.00;0.00")&amp;" / "&amp;TEXT(B2_Liability_MEB!F16,"#,##0.00;-#,##0.00;0.00")&amp;" / "&amp;TEXT(B2_Liability_MEB!I16,"#,##0.00;-#,##0.00;0.00")&amp;"; ratio "&amp;TEXT(B2_Liability_MEB!C17,"0.0%")&amp;" / "&amp;TEXT(B2_Liability_MEB!F17,"0.0%")&amp;" / "&amp;TEXT(B2_Liability_MEB!I17,"0.0%")</f>
        <v>CASA 22,166.26 / 22,492.32 / 23,347.63; ratio 20.8% / 24.7% / 27.9%</v>
      </c>
    </row>
    <row r="24" customFormat="false" ht="15" hidden="false" customHeight="false" outlineLevel="0" collapsed="false">
      <c r="A24" s="10" t="n">
        <v>5</v>
      </c>
      <c r="B24" s="19" t="s">
        <v>233</v>
      </c>
      <c r="C24" s="19" t="s">
        <v>357</v>
      </c>
      <c r="D24" s="19" t="s">
        <v>358</v>
      </c>
      <c r="E24" s="19" t="s">
        <v>359</v>
      </c>
      <c r="F24" s="25" t="str">
        <f aca="false">"Deposits "&amp;TEXT(B2_Liability_MEB!Q8,"0.0%")&amp;" / "&amp;TEXT(B2_Liability_MEB!R8,"0.0%")&amp;"; SA "&amp;TEXT(B2_Liability_MEB!Q10,"0.0%")&amp;" / "&amp;TEXT(B2_Liability_MEB!R10,"0.0%")&amp;"; CA "&amp;TEXT(B2_Liability_MEB!Q7,"0.0%")&amp;" / "&amp;TEXT(B2_Liability_MEB!R7,"0.0%")</f>
        <v>Deposits 76.1% / 68.8%; SA 14.1% / 18.3%; CA 5.7% / 8.3%</v>
      </c>
    </row>
    <row r="25" customFormat="false" ht="15" hidden="false" customHeight="false" outlineLevel="0" collapsed="false">
      <c r="A25" s="10" t="n">
        <v>6</v>
      </c>
      <c r="B25" s="19" t="s">
        <v>233</v>
      </c>
      <c r="C25" s="19" t="s">
        <v>360</v>
      </c>
      <c r="D25" s="19" t="s">
        <v>361</v>
      </c>
      <c r="E25" s="19" t="s">
        <v>359</v>
      </c>
      <c r="F25" s="25" t="str">
        <f aca="false">TEXT(B2_Liability_MEB!S7,"+0.0"" pp"";-0.0"" pp"";0.0"" pp""")&amp;" / "&amp;TEXT(B2_Liability_MEB!S8,"+0.0"" pp"";-0.0"" pp"";0.0"" pp""")&amp;" / "&amp;TEXT(B2_Liability_MEB!S9,"+0.0"" pp"";-0.0"" pp"";0.0"" pp""")&amp;" / "&amp;TEXT(B2_Liability_MEB!S10,"+0.0"" pp"";-0.0"" pp"";0.0"" pp""")&amp;" / "&amp;TEXT(B2_Liability_MEB!S11,"+0.0"" pp"";-0.0"" pp"";0.0"" pp""")&amp;" / "&amp;TEXT(B2_Liability_MEB!S12,"+0.0"" pp"";-0.0"" pp"";0.0"" pp""")&amp;" (CA / Dep / NR / SA / SA Dig / Salary)"</f>
        <v>-2.6 pp / +7.3 pp / -0.1 pp / -4.2 pp / -0.1 pp / -0.3 pp (CA / Dep / NR / SA / SA Dig / Salary)</v>
      </c>
    </row>
    <row r="26" customFormat="false" ht="15" hidden="false" customHeight="false" outlineLevel="0" collapsed="false">
      <c r="A26" s="10" t="n">
        <v>7</v>
      </c>
      <c r="B26" s="19" t="s">
        <v>217</v>
      </c>
      <c r="C26" s="19" t="s">
        <v>218</v>
      </c>
      <c r="D26" s="19" t="s">
        <v>362</v>
      </c>
      <c r="E26" s="19" t="s">
        <v>363</v>
      </c>
      <c r="F26" s="25" t="str">
        <f aca="false">"GT "&amp;TEXT(B2_Liability_MEB!K13,"+0.0%;-0.0%;0.0%")&amp;" / "&amp;TEXT(B2_Liability_MEB!L13,"+0.0%;-0.0%;0.0%")&amp;"; Deposits "&amp;TEXT(B2_Liability_MEB!K8,"+0.0%;-0.0%;0.0%")&amp;" / "&amp;TEXT(B2_Liability_MEB!L8,"+0.0%;-0.0%;0.0%")&amp;"; CA "&amp;TEXT(B2_Liability_MEB!K7,"+0.0%;-0.0%;0.0%")&amp;" / "&amp;TEXT(B2_Liability_MEB!L7,"+0.0%;-0.0%;0.0%")</f>
        <v>GT +17.4% / +8.7%; Deposits +24.5% / +13.3%; CA -4.9% / -7.9%</v>
      </c>
    </row>
    <row r="27" customFormat="false" ht="15" hidden="false" customHeight="false" outlineLevel="0" collapsed="false">
      <c r="A27" s="10" t="n">
        <v>8</v>
      </c>
      <c r="B27" s="19" t="s">
        <v>217</v>
      </c>
      <c r="C27" s="19" t="s">
        <v>364</v>
      </c>
      <c r="D27" s="19" t="s">
        <v>319</v>
      </c>
      <c r="E27" s="19" t="s">
        <v>363</v>
      </c>
      <c r="F27" s="25" t="str">
        <f aca="false">TEXT(B2_Liability_MEB!M7,"+0.0%;-0.0%;0.0%")&amp;" / "&amp;TEXT(B2_Liability_MEB!M8,"+0.0%;-0.0%;0.0%")&amp;" / "&amp;TEXT(B2_Liability_MEB!M9,"+0.0%;-0.0%;0.0%")&amp;" / "&amp;TEXT(B2_Liability_MEB!M10,"+0.0%;-0.0%;0.0%")&amp;" / "&amp;TEXT(B2_Liability_MEB!M11,"+0.0%;-0.0%;0.0%")&amp;" / "&amp;TEXT(B2_Liability_MEB!M12,"+0.0%;-0.0%;0.0%")&amp;" / "&amp;TEXT(B2_Liability_MEB!M13,"+0.0%;-0.0%;0.0%")</f>
        <v>-12.5% / +41.1% / +22.9% / -1.5% / -4.4% / -8.4% / +27.6%</v>
      </c>
    </row>
    <row r="28" customFormat="false" ht="15" hidden="false" customHeight="false" outlineLevel="0" collapsed="false">
      <c r="A28" s="10" t="n">
        <v>9</v>
      </c>
      <c r="B28" s="19" t="s">
        <v>217</v>
      </c>
      <c r="C28" s="19" t="s">
        <v>365</v>
      </c>
      <c r="D28" s="19" t="s">
        <v>228</v>
      </c>
      <c r="E28" s="19" t="s">
        <v>363</v>
      </c>
      <c r="F28" s="25" t="str">
        <f aca="false">"GT "&amp;TEXT(B2_Liability_MEB!U13,"#,##0")&amp;"; SA "&amp;TEXT(B2_Liability_MEB!U10,"#,##0")&amp;"; Salary "&amp;TEXT(B2_Liability_MEB!U12,"#,##0")&amp;"; SA Digital "&amp;TEXT(B2_Liability_MEB!U11,"#,##0")</f>
        <v>GT 25,766; SA 7,969; Salary 3,765; SA Digital 6,760</v>
      </c>
    </row>
    <row r="29" customFormat="false" ht="15" hidden="false" customHeight="false" outlineLevel="0" collapsed="false">
      <c r="A29" s="10" t="n">
        <v>10</v>
      </c>
      <c r="B29" s="19" t="s">
        <v>230</v>
      </c>
      <c r="C29" s="19" t="s">
        <v>366</v>
      </c>
      <c r="D29" s="19" t="s">
        <v>367</v>
      </c>
      <c r="E29" s="19" t="s">
        <v>359</v>
      </c>
      <c r="F29" s="25" t="str">
        <f aca="false">TEXT(B2_Liability_MEB!T7,"0.0%")&amp;" / "&amp;TEXT(B2_Liability_MEB!T8,"0.0%")&amp;" / "&amp;TEXT(B2_Liability_MEB!T9,"0.0%")&amp;" / "&amp;TEXT(B2_Liability_MEB!T10,"0.0%")&amp;" / "&amp;TEXT(B2_Liability_MEB!T11,"0.0%")&amp;" / "&amp;TEXT(B2_Liability_MEB!T12,"0.0%")</f>
        <v>-3.8% / 102.4% / 2.7% / -1.0% / 0.0% / -0.3%</v>
      </c>
    </row>
    <row r="30" customFormat="false" ht="15" hidden="false" customHeight="false" outlineLevel="0" collapsed="false">
      <c r="A30" s="10" t="n">
        <v>11</v>
      </c>
      <c r="B30" s="19" t="s">
        <v>241</v>
      </c>
      <c r="C30" s="19" t="s">
        <v>368</v>
      </c>
      <c r="D30" s="19" t="s">
        <v>369</v>
      </c>
      <c r="E30" s="19" t="s">
        <v>363</v>
      </c>
      <c r="F30" s="25" t="str">
        <f aca="false">"CA "&amp;TEXT(B2_Liability_MEB!N7,"#,##0.00")&amp;" / "&amp;TEXT(B2_Liability_MEB!O7,"#,##0.00")&amp;"; Deposits "&amp;TEXT(B2_Liability_MEB!N8,"#,##0.00")&amp;" / "&amp;TEXT(B2_Liability_MEB!O8,"#,##0.00")&amp;"; SA "&amp;TEXT(B2_Liability_MEB!N10,"#,##0.00")&amp;" / "&amp;TEXT(B2_Liability_MEB!O10,"#,##0.00")&amp;" ₹ lakh"</f>
        <v>CA 3.84 / 4.26; Deposits 12.29 / 8.86; SA 1.00 / 0.99 ₹ lakh</v>
      </c>
    </row>
    <row r="31" customFormat="false" ht="15" hidden="false" customHeight="false" outlineLevel="0" collapsed="false">
      <c r="A31" s="10" t="n">
        <v>12</v>
      </c>
      <c r="B31" s="19" t="s">
        <v>241</v>
      </c>
      <c r="C31" s="19" t="s">
        <v>246</v>
      </c>
      <c r="D31" s="19" t="s">
        <v>370</v>
      </c>
      <c r="E31" s="19" t="s">
        <v>363</v>
      </c>
      <c r="F31" s="25" t="str">
        <f aca="false">"Deposits "&amp;TEXT(B2_Liability_MEB!P8,"0.00""x""")&amp;"; NR "&amp;TEXT(B2_Liability_MEB!P9,"0.00""x""")&amp;"; SA "&amp;TEXT(B2_Liability_MEB!P10,"0.00""x""")&amp;"; GT "&amp;TEXT(B2_Liability_MEB!P13,"0.00""x""")</f>
        <v>Deposits 3.07x; NR 1.61x; SA 1.01x; GT 1.19x</v>
      </c>
    </row>
    <row r="32" customFormat="false" ht="15" hidden="false" customHeight="false" outlineLevel="0" collapsed="false">
      <c r="A32" s="10" t="n">
        <v>13</v>
      </c>
      <c r="B32" s="19" t="s">
        <v>241</v>
      </c>
      <c r="C32" s="19" t="s">
        <v>371</v>
      </c>
      <c r="D32" s="19" t="s">
        <v>372</v>
      </c>
      <c r="E32" s="19" t="s">
        <v>373</v>
      </c>
      <c r="F32" s="25" t="str">
        <f aca="false">TEXT(B2_Liability_MEB!C8*100/B2_Liability_MEB!E8,"#,##0.00")&amp;" / "&amp;TEXT(B2_Liability_MEB!F8*100/B2_Liability_MEB!H8,"#,##0.00")&amp;" ₹ lakh"</f>
        <v>37.66 / 30.49 ₹ lakh</v>
      </c>
    </row>
    <row r="33" customFormat="false" ht="15" hidden="false" customHeight="false" outlineLevel="0" collapsed="false">
      <c r="A33" s="10" t="n">
        <v>14</v>
      </c>
      <c r="B33" s="19" t="s">
        <v>254</v>
      </c>
      <c r="C33" s="19" t="s">
        <v>374</v>
      </c>
      <c r="D33" s="19" t="s">
        <v>375</v>
      </c>
      <c r="E33" s="19" t="s">
        <v>265</v>
      </c>
      <c r="F33" s="25" t="str">
        <f aca="false">TEXT(B2_Liability_MEB!C19,"#,##0.00;-#,##0.00;0.00")</f>
        <v>8,696.61</v>
      </c>
    </row>
    <row r="34" customFormat="false" ht="15" hidden="false" customHeight="false" outlineLevel="0" collapsed="false">
      <c r="A34" s="10" t="n">
        <v>15</v>
      </c>
      <c r="B34" s="19" t="s">
        <v>254</v>
      </c>
      <c r="C34" s="19" t="s">
        <v>376</v>
      </c>
      <c r="D34" s="19" t="s">
        <v>377</v>
      </c>
      <c r="E34" s="19" t="s">
        <v>265</v>
      </c>
      <c r="F34" s="25" t="str">
        <f aca="false">TEXT(B2_Liability_MEB!C20,"#,##0.00;-#,##0.00;0.00")</f>
        <v>6,357.78</v>
      </c>
    </row>
    <row r="35" customFormat="false" ht="15" hidden="false" customHeight="false" outlineLevel="0" collapsed="false">
      <c r="A35" s="10" t="n">
        <v>16</v>
      </c>
      <c r="B35" s="19" t="s">
        <v>262</v>
      </c>
      <c r="C35" s="19" t="s">
        <v>378</v>
      </c>
      <c r="D35" s="19" t="s">
        <v>379</v>
      </c>
      <c r="E35" s="19" t="s">
        <v>265</v>
      </c>
      <c r="F35" s="19" t="s">
        <v>380</v>
      </c>
    </row>
    <row r="36" customFormat="false" ht="15" hidden="false" customHeight="false" outlineLevel="0" collapsed="false">
      <c r="A36" s="10" t="n">
        <v>17</v>
      </c>
      <c r="B36" s="19" t="s">
        <v>262</v>
      </c>
      <c r="C36" s="19" t="s">
        <v>381</v>
      </c>
      <c r="D36" s="19" t="s">
        <v>382</v>
      </c>
      <c r="E36" s="19" t="s">
        <v>273</v>
      </c>
      <c r="F36" s="25" t="str">
        <f aca="false">TEXT(B2_Liability_MEB!N11,"#,##0.00")&amp;" ₹ lakh per account — near-dormant digital accounts"</f>
        <v>0.05 ₹ lakh per account — near-dormant digital accounts</v>
      </c>
    </row>
    <row r="38" customFormat="false" ht="15" hidden="false" customHeight="false" outlineLevel="0" collapsed="false">
      <c r="A38" s="4" t="s">
        <v>2</v>
      </c>
    </row>
  </sheetData>
  <mergeCells count="10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2026-10-12T09:00:09Z</dcterms:created>
  <dc:creator>openpyxl</dc:creator>
  <dc:description/>
  <dc:language>en-US</dc:language>
  <cp:lastModifiedBy/>
  <dcterms:modified xsi:type="dcterms:W3CDTF">2026-10-12T09:00:09Z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