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PreNPA_Resolution" sheetId="2" state="visible" r:id="rId4"/>
    <sheet name="B1_Metrics" sheetId="3" state="visible" r:id="rId5"/>
    <sheet name="B2_NPA_TWO_Recovery" sheetId="4" state="visible" r:id="rId6"/>
    <sheet name="B2_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<sst xmlns="http://schemas.openxmlformats.org/spreadsheetml/2006/main" count="536" uniqueCount="345">
  <si>
    <t xml:space="preserve">RBL Bank — Credit Card Daily Collections (BAU + Supercards): page-wise metric extraction</t>
  </si>
  <si>
    <t xml:space="preserve">Source: 13_Collection_Daily_Refresh.pdf (1 page; data to 27-08-2026, cycles closed to 26 EOD) | ₹ Cr, % | Jul'26 vs Aug'26 closing cycles</t>
  </si>
  <si>
    <t xml:space="preserve">⚠ DRAFT ONLY — Requires review and approval by a qualified Alvarez and Marsal professional before use.</t>
  </si>
  <si>
    <t xml:space="preserve">Sheet map</t>
  </si>
  <si>
    <t xml:space="preserve">B1_PreNPA_Resolution</t>
  </si>
  <si>
    <t xml:space="preserve">Block 1 — Pre-NPA (B1–B3) bucket-wise resolution, normalisation, roll-back and stabilisation by balance band (Jul vs Aug), with weighted-average checks and headline-claim checks</t>
  </si>
  <si>
    <t xml:space="preserve">B1_Metrics</t>
  </si>
  <si>
    <t xml:space="preserve">Notation + metrics for Block 1</t>
  </si>
  <si>
    <t xml:space="preserve">B2_NPA_TWO_Recovery</t>
  </si>
  <si>
    <t xml:space="preserve">Block 2 — NPA (90–120 DPD) and TWO (120+ DPD, tech write-off) allocated balance and money collected by balance band, MTD Jul vs Aug</t>
  </si>
  <si>
    <t xml:space="preserve">B2_Metrics</t>
  </si>
  <si>
    <t xml:space="preserve">Notation + metrics for Block 2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</si>
  <si>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</si>
  <si>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</si>
  <si>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</si>
  <si>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</si>
  <si>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</si>
  <si>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</si>
  <si>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</si>
  <si>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</si>
  <si>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</si>
  <si>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</si>
  <si>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</si>
  <si>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</si>
  <si>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</si>
  <si>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B1 / B2 / B3 are the 1–30 / 31–60 / 61–90 DPD card buckets ('Pre-NPA'); Resolution % ≈ Normalisation + Roll-back + Stabilisation (ties within 0.1 pp, rounding of one-decimal prints).</t>
  </si>
  <si>
    <t xml:space="preserve">2</t>
  </si>
  <si>
    <t xml:space="preserve">Band totals are balance-weighted averages of the bands (verified live); 'Var' = Aug − Jul in pp, signed as printed (red down-arrows are negatives).</t>
  </si>
  <si>
    <t xml:space="preserve">3</t>
  </si>
  <si>
    <t xml:space="preserve">Aug'26 is an in-progress month (cycles to 26 EOD) compared with Jul'26 full closing cycles — part of the 'dip' may be timing. NPA and TWO figures are MTD money collected vs allocated balance; the page notes NPA / TWO numbers refresh after the 10th.</t>
  </si>
  <si>
    <t xml:space="preserve">4</t>
  </si>
  <si>
    <t xml:space="preserve">Headline claims on the page are re-tested live: B1/B2/B3 resolution dips of 5.00 / 2.67 / 2.02 pp, NPA collection dip ₹1.805 Cr (printed −1.81), W-off recovery up ₹0.67 Cr (67.16 lakh).</t>
  </si>
  <si>
    <t xml:space="preserve">Confidentiality</t>
  </si>
  <si>
    <t xml:space="preserve">Client-confidential RBL Bank data (credit-card collections).</t>
  </si>
  <si>
    <t xml:space="preserve">Block 1 — Pre-NPA card buckets B1–B3: resolution by balance band</t>
  </si>
  <si>
    <t xml:space="preserve">Source: Collection Daily Refresh.pdf | Currbal ₹ Cr; rates in %; Var in pp (signed as printed) | Jul'26 vs Aug'26 closing cycles</t>
  </si>
  <si>
    <t xml:space="preserve">A. Source data (blue) with live checks</t>
  </si>
  <si>
    <t xml:space="preserve">#</t>
  </si>
  <si>
    <t xml:space="preserve">Bucket</t>
  </si>
  <si>
    <t xml:space="preserve">Balance band</t>
  </si>
  <si>
    <t xml:space="preserve">Currbal Jul</t>
  </si>
  <si>
    <t xml:space="preserve">Currbal Aug</t>
  </si>
  <si>
    <t xml:space="preserve">Res % Jul</t>
  </si>
  <si>
    <t xml:space="preserve">Res % Aug</t>
  </si>
  <si>
    <t xml:space="preserve">Res Var (pp)</t>
  </si>
  <si>
    <t xml:space="preserve">Norm % Jul</t>
  </si>
  <si>
    <t xml:space="preserve">Norm % Aug</t>
  </si>
  <si>
    <t xml:space="preserve">Norm Var</t>
  </si>
  <si>
    <t xml:space="preserve">RB % Jul</t>
  </si>
  <si>
    <t xml:space="preserve">RB % Aug</t>
  </si>
  <si>
    <t xml:space="preserve">RB Var</t>
  </si>
  <si>
    <t xml:space="preserve">Stab % Jul</t>
  </si>
  <si>
    <t xml:space="preserve">Stab % Aug</t>
  </si>
  <si>
    <t xml:space="preserve">Stab Var</t>
  </si>
  <si>
    <t xml:space="preserve">Res Var computed</t>
  </si>
  <si>
    <t xml:space="preserve">Var check (pp)</t>
  </si>
  <si>
    <t xml:space="preserve">Norm+RB+Stab − Res (Aug, pp)</t>
  </si>
  <si>
    <t xml:space="preserve">Resolved ₹ Cr Jul</t>
  </si>
  <si>
    <t xml:space="preserve">Resolved ₹ Cr Aug</t>
  </si>
  <si>
    <t xml:space="preserve">Δ resolved ₹ Cr</t>
  </si>
  <si>
    <t xml:space="preserve">Band share of bucket Aug</t>
  </si>
  <si>
    <t xml:space="preserve">Currbal MoM</t>
  </si>
  <si>
    <t xml:space="preserve">Wtd-avg check (Totals, pp)</t>
  </si>
  <si>
    <t xml:space="preserve">B1</t>
  </si>
  <si>
    <t xml:space="preserve">&lt; 1L</t>
  </si>
  <si>
    <t xml:space="preserve">1L -2L</t>
  </si>
  <si>
    <t xml:space="preserve">2L -5L</t>
  </si>
  <si>
    <t xml:space="preserve">&gt;5L</t>
  </si>
  <si>
    <t xml:space="preserve">Total</t>
  </si>
  <si>
    <t xml:space="preserve">B2</t>
  </si>
  <si>
    <t xml:space="preserve">B3</t>
  </si>
  <si>
    <t xml:space="preserve">B. Bucket roll-up (Totals) and page headline checks</t>
  </si>
  <si>
    <t xml:space="preserve">Item</t>
  </si>
  <si>
    <t xml:space="preserve">Jul</t>
  </si>
  <si>
    <t xml:space="preserve">Aug</t>
  </si>
  <si>
    <t xml:space="preserve">Δ / check</t>
  </si>
  <si>
    <t xml:space="preserve">Pre-NPA currbal B1 + B2 + B3 (₹ Cr)</t>
  </si>
  <si>
    <t xml:space="preserve">Σ band currbal − Total (max |gap|, all buckets)</t>
  </si>
  <si>
    <t xml:space="preserve">Resolved ₹ Cr across B1–B3</t>
  </si>
  <si>
    <t xml:space="preserve">Blended pre-NPA resolution % (balance-weighted)</t>
  </si>
  <si>
    <t xml:space="preserve">B3 share of pre-NPA currbal</t>
  </si>
  <si>
    <t xml:space="preserve">Headline check: B1 resolution dip printed 5.00 pp vs computed</t>
  </si>
  <si>
    <t xml:space="preserve">Headline check: B2 resolution dip printed 2.67 pp vs computed</t>
  </si>
  <si>
    <t xml:space="preserve">Headline check: B3 resolution dip printed 2.02 pp vs computed</t>
  </si>
  <si>
    <t xml:space="preserve">Max |printed Var − computed Var| across all 15 rows (pp)</t>
  </si>
  <si>
    <t xml:space="preserve">Max |Norm + RB + Stab − Res| (Aug, pp)</t>
  </si>
  <si>
    <t xml:space="preserve">Max |Total − balance-weighted bands| (Aug, pp)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</si>
  <si>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</si>
  <si>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</si>
  <si>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</si>
  <si>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</si>
  <si>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</si>
  <si>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B3 current balance doubled in a month (₹267 Cr → ₹536 Cr) while its resolution fell to 1.4% — the roll from B2 into B3 is accelerating and almost nothing cures once in B3.</t>
  </si>
  <si>
    <t xml:space="preserve">%</t>
  </si>
  <si>
    <t xml:space="preserve">This is the lead indicator for card NPA formation next month.</t>
  </si>
  <si>
    <t xml:space="preserve">Resolution fell in every band of every bucket (all 15 rows, 12 bands + 3 totals, negative); B1 bands dipped 4.4–6.7 pp.</t>
  </si>
  <si>
    <t xml:space="preserve">count</t>
  </si>
  <si>
    <t xml:space="preserve">Broad-based deterioration, not a single-band effect.</t>
  </si>
  <si>
    <t xml:space="preserve">B1 is the only bucket where stabilisation (9.9%) still exceeds normalisation (8.5%); in B3 roll-back and normalisation are near zero.</t>
  </si>
  <si>
    <t xml:space="preserve">Collections capacity should sit in B1 — the only bucket with meaningful cure.</t>
  </si>
  <si>
    <t xml:space="preserve">Pre-NPA currbal grew ₹287 Cr (+24%) MoM; blended resolution fell from 15.9% to 10.2%.</t>
  </si>
  <si>
    <t xml:space="preserve">pp</t>
  </si>
  <si>
    <t xml:space="preserve">Both stock and cure moved the wrong way.</t>
  </si>
  <si>
    <t xml:space="preserve">Printed Var ties to Aug − Jul within rounding (max gap, pp); Norm + RB + Stab ties to Res within 0.1 pp; Totals are balance-weighted.</t>
  </si>
  <si>
    <t xml:space="preserve">Table is internally consistent; 'Var' is signed (negative = dip).</t>
  </si>
  <si>
    <t xml:space="preserve">Aug'26 cycles are closed only to 26 EOD vs full Jul'26 closing cycles.</t>
  </si>
  <si>
    <t xml:space="preserve">text</t>
  </si>
  <si>
    <t xml:space="preserve">Part of the dip is timing; re-check after month-end.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</si>
  <si>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</si>
  <si>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</si>
  <si>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</si>
  <si>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</si>
  <si>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</si>
  <si>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</si>
  <si>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</si>
  <si>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</si>
  <si>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the B1 current balance in Aug'26?</t>
  </si>
  <si>
    <t xml:space="preserve">Lookup</t>
  </si>
  <si>
    <t xml:space="preserve">What is B2 resolution % in Aug'26?</t>
  </si>
  <si>
    <t xml:space="preserve">What is the B1 &gt; 5L band resolution dip (pp)?</t>
  </si>
  <si>
    <t xml:space="preserve">Medium</t>
  </si>
  <si>
    <t xml:space="preserve">What is the total pre-NPA balance (B1 + B2 + B3) in Aug and its MoM growth?</t>
  </si>
  <si>
    <t xml:space="preserve">Σ Totals; Aug ÷ Jul − 1</t>
  </si>
  <si>
    <t xml:space="preserve">What is the blended pre-NPA resolution % in Aug?</t>
  </si>
  <si>
    <t xml:space="preserve">Σ currbal × res ÷ Σ currbal</t>
  </si>
  <si>
    <t xml:space="preserve">Which B1 band resolves best in Aug?</t>
  </si>
  <si>
    <t xml:space="preserve">MAX res %</t>
  </si>
  <si>
    <t xml:space="preserve">How much money (₹ Cr) was resolved in B1 in Aug vs Jul?</t>
  </si>
  <si>
    <t xml:space="preserve">Currbal × Res %</t>
  </si>
  <si>
    <t xml:space="preserve">₹ Cr</t>
  </si>
  <si>
    <t xml:space="preserve">High</t>
  </si>
  <si>
    <t xml:space="preserve">Decompose the B1 resolution dip (−5.0 pp): normalisation vs stabilisation vs roll-back.</t>
  </si>
  <si>
    <t xml:space="preserve">Var by component</t>
  </si>
  <si>
    <t xml:space="preserve">Normalisation −2.66 pp and stabilisation −2.33 pp; roll-back nil — customers are neither paying up nor paying minimums.</t>
  </si>
  <si>
    <t xml:space="preserve">B3 balance doubled: what is the change in resolved rupees in B3 despite the higher stock?</t>
  </si>
  <si>
    <t xml:space="preserve">V − U</t>
  </si>
  <si>
    <t xml:space="preserve">Resolved money fell from ₹9.4 Cr to ₹7.5 Cr while the stock doubled — cure rate collapsed faster than stock grew.</t>
  </si>
  <si>
    <t xml:space="preserve">Do the printed Var columns, component sums and weighted totals all reconcile?</t>
  </si>
  <si>
    <t xml:space="preserve">Max of the three check rows (pp)</t>
  </si>
  <si>
    <t xml:space="preserve">Within 0.1 pp — rounding of one-decimal rates only.</t>
  </si>
  <si>
    <t xml:space="preserve">What this page cannot support (feeds the data request)</t>
  </si>
  <si>
    <t xml:space="preserve">Not derivable: account counts and ATS by band, flow-rate matrix between buckets, promise-to-pay and contact rates, channel / agency split, BAU vs Supercards split, daily trajectory within the month, and the full-month Aug outcome (cycles to 26 EOD only).</t>
  </si>
  <si>
    <t xml:space="preserve">Pre-NPA card resolution by band: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</si>
  <si>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</si>
  <si>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</si>
  <si>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</si>
  <si>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</si>
  <si>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CB(b,k,m)</t>
  </si>
  <si>
    <t xml:space="preserve">Current balance ₹ Cr of bucket b (B1–B3) and band k (&lt; 1L, 1L–2L, 2L–5L, &gt; 5L) for month m (Jul'26 / Aug'26 closing cycles)</t>
  </si>
  <si>
    <t xml:space="preserve">Res, Norm, RB, Stab</t>
  </si>
  <si>
    <t xml:space="preserve">Resolution, normalisation, roll-back, stabilisation rates (%); Res ≈ Norm + RB + Stab</t>
  </si>
  <si>
    <t xml:space="preserve">Var</t>
  </si>
  <si>
    <t xml:space="preserve">Aug − Jul in pp, signed as printed</t>
  </si>
  <si>
    <t xml:space="preserve">Res₹</t>
  </si>
  <si>
    <t xml:space="preserve">Resolved rupees = CB × Res</t>
  </si>
  <si>
    <t xml:space="preserve">Tot(b)</t>
  </si>
  <si>
    <t xml:space="preserve">Bucket total = balance-weighted average of bands</t>
  </si>
  <si>
    <t xml:space="preserve">Blended</t>
  </si>
  <si>
    <t xml:space="preserve">Σ Res₹ ÷ Σ CB across B1–B3</t>
  </si>
  <si>
    <t xml:space="preserve">sh(k|b)</t>
  </si>
  <si>
    <t xml:space="preserve">CB(b,k) ÷ CB(b)</t>
  </si>
  <si>
    <t xml:space="preserve">Balances ₹ Cr; rates in %; Var in pp (signed as printed).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</si>
  <si>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</si>
  <si>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</si>
  <si>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</si>
  <si>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</si>
  <si>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</si>
  <si>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</si>
  <si>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</si>
  <si>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Current balance</t>
  </si>
  <si>
    <t xml:space="preserve">15 rows × 2 months</t>
  </si>
  <si>
    <t xml:space="preserve">Rates</t>
  </si>
  <si>
    <t xml:space="preserve">Res, Norm, RB, Stab (Jul, Aug)</t>
  </si>
  <si>
    <t xml:space="preserve">15 rows × 4 × 2</t>
  </si>
  <si>
    <t xml:space="preserve">Printed Var</t>
  </si>
  <si>
    <t xml:space="preserve">Var (pp)</t>
  </si>
  <si>
    <t xml:space="preserve">15 × 4</t>
  </si>
  <si>
    <t xml:space="preserve">Roll-up check</t>
  </si>
  <si>
    <t xml:space="preserve">Printed vs computed Var</t>
  </si>
  <si>
    <t xml:space="preserve">Var − (Aug − Jul)</t>
  </si>
  <si>
    <t xml:space="preserve">15 rows</t>
  </si>
  <si>
    <t xml:space="preserve">Component identity</t>
  </si>
  <si>
    <t xml:space="preserve">Norm + RB + Stab − Res (Aug)</t>
  </si>
  <si>
    <t xml:space="preserve">Weighted totals</t>
  </si>
  <si>
    <t xml:space="preserve">Tot(b) − Σ CB × Res ÷ Σ CB</t>
  </si>
  <si>
    <t xml:space="preserve">3 buckets</t>
  </si>
  <si>
    <t xml:space="preserve">Bands to bucket total (currbal)</t>
  </si>
  <si>
    <t xml:space="preserve">Σ bands − Total</t>
  </si>
  <si>
    <t xml:space="preserve">3 × 2</t>
  </si>
  <si>
    <t xml:space="preserve">Resolution</t>
  </si>
  <si>
    <t xml:space="preserve">Bucket resolution %</t>
  </si>
  <si>
    <t xml:space="preserve">Res(b)</t>
  </si>
  <si>
    <t xml:space="preserve">3 buckets × 2</t>
  </si>
  <si>
    <t xml:space="preserve">Resolution dip</t>
  </si>
  <si>
    <t xml:space="preserve">Var(Res)</t>
  </si>
  <si>
    <t xml:space="preserve">3 buckets + 12 bands</t>
  </si>
  <si>
    <t xml:space="preserve">Component split of dip</t>
  </si>
  <si>
    <t xml:space="preserve">Var(Norm), Var(RB), Var(Stab)</t>
  </si>
  <si>
    <t xml:space="preserve">Component mix of resolution (Aug)</t>
  </si>
  <si>
    <t xml:space="preserve">Norm ÷ Res, Stab ÷ Res</t>
  </si>
  <si>
    <t xml:space="preserve">Band resolution (Aug)</t>
  </si>
  <si>
    <t xml:space="preserve">Res(b,k)</t>
  </si>
  <si>
    <t xml:space="preserve">12 bands</t>
  </si>
  <si>
    <t xml:space="preserve">Blended pre-NPA resolution</t>
  </si>
  <si>
    <t xml:space="preserve">Σ Res₹ ÷ Σ CB</t>
  </si>
  <si>
    <t xml:space="preserve">2 months</t>
  </si>
  <si>
    <t xml:space="preserve">Resolved rupees</t>
  </si>
  <si>
    <t xml:space="preserve">Res₹(b)</t>
  </si>
  <si>
    <t xml:space="preserve">Change in resolved rupees</t>
  </si>
  <si>
    <t xml:space="preserve">Res₹(Aug) − Res₹(Jul)</t>
  </si>
  <si>
    <t xml:space="preserve">Stock</t>
  </si>
  <si>
    <t xml:space="preserve">Pre-NPA stock and MoM</t>
  </si>
  <si>
    <t xml:space="preserve">Σ CB; Aug ÷ Jul − 1</t>
  </si>
  <si>
    <t xml:space="preserve">Bucket MoM</t>
  </si>
  <si>
    <t xml:space="preserve">CB(b, Aug) ÷ CB(b, Jul) − 1</t>
  </si>
  <si>
    <t xml:space="preserve">B3 share of pre-NPA stock</t>
  </si>
  <si>
    <t xml:space="preserve">CB(B3) ÷ Σ CB</t>
  </si>
  <si>
    <t xml:space="preserve">Band mix within bucket (Aug)</t>
  </si>
  <si>
    <t xml:space="preserve">Band MoM (B3)</t>
  </si>
  <si>
    <t xml:space="preserve">CB(B3,k) Aug ÷ Jul − 1</t>
  </si>
  <si>
    <t xml:space="preserve">4 bands</t>
  </si>
  <si>
    <t xml:space="preserve">Headline checks</t>
  </si>
  <si>
    <t xml:space="preserve">Page claims vs computed</t>
  </si>
  <si>
    <t xml:space="preserve">Printed dip − computed</t>
  </si>
  <si>
    <t xml:space="preserve">B1, B2, B3</t>
  </si>
  <si>
    <t xml:space="preserve">Data integrity</t>
  </si>
  <si>
    <t xml:space="preserve">Negative-rate rows</t>
  </si>
  <si>
    <t xml:space="preserve">COUNT Var(Res) &lt; 0</t>
  </si>
  <si>
    <t xml:space="preserve">Timing</t>
  </si>
  <si>
    <t xml:space="preserve">Aug cycles to 26 EOD vs full Jul</t>
  </si>
  <si>
    <t xml:space="preserve">Page</t>
  </si>
  <si>
    <t xml:space="preserve">Dip partly timing; re-run after month-end</t>
  </si>
  <si>
    <t xml:space="preserve">Block 2 — NPA (90–120 DPD) and TWO (120+ DPD) collections by balance band</t>
  </si>
  <si>
    <t xml:space="preserve">Source: Collection Daily Refresh.pdf | Allocated balance and money collected ₹ Cr, MTD | Jul'26 vs Aug'26</t>
  </si>
  <si>
    <t xml:space="preserve">A. NPA portfolio (90–120 DPD)</t>
  </si>
  <si>
    <t xml:space="preserve">Allocated Jul</t>
  </si>
  <si>
    <t xml:space="preserve">Allocated Aug</t>
  </si>
  <si>
    <t xml:space="preserve">Collected Jul</t>
  </si>
  <si>
    <t xml:space="preserve">Collected Aug</t>
  </si>
  <si>
    <t xml:space="preserve">Var ₹ Cr (printed)</t>
  </si>
  <si>
    <t xml:space="preserve">Var computed</t>
  </si>
  <si>
    <t xml:space="preserve">Var check</t>
  </si>
  <si>
    <t xml:space="preserve">Collection rate Jul</t>
  </si>
  <si>
    <t xml:space="preserve">Collection rate Aug</t>
  </si>
  <si>
    <t xml:space="preserve">Rate Δ (pp)</t>
  </si>
  <si>
    <t xml:space="preserve">Allocated MoM</t>
  </si>
  <si>
    <t xml:space="preserve">Band share of allocated Aug</t>
  </si>
  <si>
    <t xml:space="preserve">Band share of collected Aug</t>
  </si>
  <si>
    <t xml:space="preserve">Rate Aug × allocated Jul (volume-neutral collection)</t>
  </si>
  <si>
    <t xml:space="preserve">2L -3L</t>
  </si>
  <si>
    <t xml:space="preserve">3L -4L</t>
  </si>
  <si>
    <t xml:space="preserve">4L -5L</t>
  </si>
  <si>
    <t xml:space="preserve">NPA Total</t>
  </si>
  <si>
    <t xml:space="preserve">Σ bands − Total (allocated Jul / Aug; collected Jul / Aug)</t>
  </si>
  <si>
    <t xml:space="preserve">Weighted-rate check: Total rate − Σ collected ÷ Σ allocated (pp)</t>
  </si>
  <si>
    <t xml:space="preserve">B. TWO portfolio (120+ DPD, tech write-off)</t>
  </si>
  <si>
    <t xml:space="preserve">W-off Recovery Total</t>
  </si>
  <si>
    <t xml:space="preserve">NPA allocated balance fell 34% MoM (₹467 Cr → ₹307 Cr) but money collected fell only 18%: the collection rate improved from 2.18% to 2.73%.</t>
  </si>
  <si>
    <t xml:space="preserve">The 'dip of ₹1.8 Cr' is a smaller pool, not worse collection — report the rate.</t>
  </si>
  <si>
    <t xml:space="preserve">W-off recovery rate rose from 0.64% to 0.77% on a 15% smaller pool; absolute recovery up ₹0.67 Cr as printed.</t>
  </si>
  <si>
    <t xml:space="preserve">Recovery is improving modestly; still &lt; 1% of pool per month.</t>
  </si>
  <si>
    <t xml:space="preserve">Printed Var equals Aug − Jul collected (max |gap|):</t>
  </si>
  <si>
    <t xml:space="preserve">Signed as printed; red arrows = negative.</t>
  </si>
  <si>
    <t xml:space="preserve">Bands add to totals (max |gap|):</t>
  </si>
  <si>
    <t xml:space="preserve">Tables roll up.</t>
  </si>
  <si>
    <t xml:space="preserve">Small-ticket (&lt; 1L) dominates: 44% of TWO pool but 65% of TWO recovery; in NPA the &lt; 1L band collects at 3.9% vs 1.4% for &gt; 5L.</t>
  </si>
  <si>
    <t xml:space="preserve">Recovery effort is most productive on small tickets.</t>
  </si>
  <si>
    <t xml:space="preserve">Headline 'NPA money collection dip by 1.805 Cr' vs printed Var −1.81 and computed:</t>
  </si>
  <si>
    <t xml:space="preserve">Consistent (rounding).</t>
  </si>
  <si>
    <t xml:space="preserve">Notation and exhaustive metrics table for this block: see sheet B2_Metrics</t>
  </si>
  <si>
    <t xml:space="preserve">What is the NPA allocated balance in Aug'26 MTD?</t>
  </si>
  <si>
    <t xml:space="preserve">How much was recovered from the TWO pool in Aug MTD?</t>
  </si>
  <si>
    <t xml:space="preserve">What is the TWO &lt; 1L allocated balance in Jul?</t>
  </si>
  <si>
    <t xml:space="preserve">What is the NPA collection rate in Aug vs Jul?</t>
  </si>
  <si>
    <t xml:space="preserve">Collected ÷ allocated</t>
  </si>
  <si>
    <t xml:space="preserve">What is the W-off recovery rate in Aug?</t>
  </si>
  <si>
    <t xml:space="preserve">What share of NPA allocated balance is in the &lt; 1L band?</t>
  </si>
  <si>
    <t xml:space="preserve">Band ÷ total</t>
  </si>
  <si>
    <t xml:space="preserve">By how much did the NPA pool shrink MoM?</t>
  </si>
  <si>
    <t xml:space="preserve">Aug ÷ Jul − 1</t>
  </si>
  <si>
    <t xml:space="preserve">Is the NPA collection 'dip' a performance or a pool effect? Compute collections at Aug's rate on Jul's pool.</t>
  </si>
  <si>
    <t xml:space="preserve">Rate Aug × allocated Jul</t>
  </si>
  <si>
    <t xml:space="preserve">₹12.8 Cr vs ₹10.2 Cr actually collected in Jul — at constant pool, August would have beaten July.</t>
  </si>
  <si>
    <t xml:space="preserve">Which TWO band shows the largest improvement in recovery rate (pp)?</t>
  </si>
  <si>
    <t xml:space="preserve">MAX rate Δ</t>
  </si>
  <si>
    <t xml:space="preserve">The &gt; 5L band improved most (+0.3 pp, doubling from a small base); 3L–4L +0.2 pp; the &lt; 1L band, 44% of the pool, barely moved.</t>
  </si>
  <si>
    <t xml:space="preserve">Do printed Var, band sums and weighted totals reconcile in both tables?</t>
  </si>
  <si>
    <t xml:space="preserve">Max of the check rows</t>
  </si>
  <si>
    <t xml:space="preserve">Within rounding of one-decimal prints.</t>
  </si>
  <si>
    <t xml:space="preserve">Not derivable: account counts per band, settlement vs regular collection split, agency vs in-house recovery, cost of collection, why the NPA pool fell 34% in a month (write-off / upgrade / sale), and the full-month Aug outcome (MTD).</t>
  </si>
  <si>
    <t xml:space="preserve">NPA and TWO card collections by band: notation and metrics</t>
  </si>
  <si>
    <t xml:space="preserve">AB(k,m)</t>
  </si>
  <si>
    <t xml:space="preserve">Allocated balance ₹ Cr in band k for month m (Jul / Aug MTD)</t>
  </si>
  <si>
    <t xml:space="preserve">MC(k,m)</t>
  </si>
  <si>
    <t xml:space="preserve">Money collected ₹ Cr MTD</t>
  </si>
  <si>
    <t xml:space="preserve">MC(Aug) − MC(Jul), signed as printed</t>
  </si>
  <si>
    <t xml:space="preserve">CR</t>
  </si>
  <si>
    <t xml:space="preserve">Collection / recovery rate = MC ÷ AB</t>
  </si>
  <si>
    <t xml:space="preserve">NPA / TWO</t>
  </si>
  <si>
    <t xml:space="preserve">90–120 DPD pool / 120+ DPD tech write-off pool</t>
  </si>
  <si>
    <t xml:space="preserve">VN</t>
  </si>
  <si>
    <t xml:space="preserve">Volume-neutral collection = CR(Aug) × AB(Jul)</t>
  </si>
  <si>
    <t xml:space="preserve">sh</t>
  </si>
  <si>
    <t xml:space="preserve">Band share of pool total</t>
  </si>
  <si>
    <t xml:space="preserve">Amounts ₹ Cr MTD; rates in %; Var in ₹ Cr (signed as printed).</t>
  </si>
  <si>
    <t xml:space="preserve">Allocated balance and collected</t>
  </si>
  <si>
    <t xml:space="preserve">AB, MC</t>
  </si>
  <si>
    <t xml:space="preserve">2 pools × 6 bands × 2 months</t>
  </si>
  <si>
    <t xml:space="preserve">Printed Var vs computed</t>
  </si>
  <si>
    <t xml:space="preserve">Var − (MC Aug − MC Jul)</t>
  </si>
  <si>
    <t xml:space="preserve">14 rows</t>
  </si>
  <si>
    <t xml:space="preserve">Bands to total</t>
  </si>
  <si>
    <t xml:space="preserve">2 pools × 4 columns</t>
  </si>
  <si>
    <t xml:space="preserve">Total rate is weighted</t>
  </si>
  <si>
    <t xml:space="preserve">CR(Total) − Σ MC ÷ Σ AB</t>
  </si>
  <si>
    <t xml:space="preserve">2 pools</t>
  </si>
  <si>
    <t xml:space="preserve">Recovery</t>
  </si>
  <si>
    <t xml:space="preserve">Collection rate</t>
  </si>
  <si>
    <t xml:space="preserve">CR(Total), Jul / Aug</t>
  </si>
  <si>
    <t xml:space="preserve">Rate change</t>
  </si>
  <si>
    <t xml:space="preserve">CR(Aug) − CR(Jul)</t>
  </si>
  <si>
    <t xml:space="preserve">2 pools + 12 bands</t>
  </si>
  <si>
    <t xml:space="preserve">Band collection rate (Aug)</t>
  </si>
  <si>
    <t xml:space="preserve">CR(k)</t>
  </si>
  <si>
    <t xml:space="preserve">Annualised recovery rate</t>
  </si>
  <si>
    <t xml:space="preserve">CR × 12</t>
  </si>
  <si>
    <t xml:space="preserve">Volume-neutral collection</t>
  </si>
  <si>
    <t xml:space="preserve">VN = CR(Aug) × AB(Jul)</t>
  </si>
  <si>
    <t xml:space="preserve">Pool vs rate decomposition of Var</t>
  </si>
  <si>
    <t xml:space="preserve">Pool effect = (AB Aug − AB Jul) × CR Jul; rate effect = Var − pool effect</t>
  </si>
  <si>
    <t xml:space="preserve">Pool MoM</t>
  </si>
  <si>
    <t xml:space="preserve">AB(Aug) ÷ AB(Jul) − 1</t>
  </si>
  <si>
    <t xml:space="preserve">2 pools + bands</t>
  </si>
  <si>
    <t xml:space="preserve">Band mix (Aug)</t>
  </si>
  <si>
    <t xml:space="preserve">sh(k) of allocated; of collected</t>
  </si>
  <si>
    <t xml:space="preserve">TWO ÷ NPA pool ratio</t>
  </si>
  <si>
    <t xml:space="preserve">AB(TWO) ÷ AB(NPA)</t>
  </si>
  <si>
    <t xml:space="preserve">Concentration</t>
  </si>
  <si>
    <t xml:space="preserve">Small-ticket share of recovery</t>
  </si>
  <si>
    <t xml:space="preserve">MC(&lt; 1L) ÷ MC(Total)</t>
  </si>
  <si>
    <t xml:space="preserve">Page claims</t>
  </si>
  <si>
    <t xml:space="preserve">NPA dip 1.805; W-off up 67.16 lakh</t>
  </si>
  <si>
    <t xml:space="preserve">2 claims</t>
  </si>
  <si>
    <t xml:space="preserve">Pool drop</t>
  </si>
  <si>
    <t xml:space="preserve">NPA AB −34% MoM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</si>
</sst>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.00%;\-0.00%;0.00%"/>
    <numFmt numFmtId="167" formatCode="\+0.0&quot; pp&quot;;\-0.0&quot; pp&quot;;0.0&quot; pp&quot;"/>
    <numFmt numFmtId="168" formatCode="#,##0.00;\(#,##0.00\);\-"/>
    <numFmt numFmtId="169" formatCode="0.0%;\-0.0%;0.0%"/>
    <numFmt numFmtId="170" formatCode="#,##0"/>
    <numFmt numFmtId="171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23.85" hidden="false" customHeight="false" outlineLevel="0" collapsed="false">
      <c r="A6" s="7" t="s">
        <v>4</v>
      </c>
      <c r="B6" s="8" t="s">
        <v>5</v>
      </c>
    </row>
    <row r="7" customFormat="false" ht="15" hidden="false" customHeight="false" outlineLevel="0" collapsed="false">
      <c r="A7" s="7" t="s">
        <v>6</v>
      </c>
      <c r="B7" s="8" t="s">
        <v>7</v>
      </c>
    </row>
    <row r="8" customFormat="false" ht="23.85" hidden="false" customHeight="false" outlineLevel="0" collapsed="false">
      <c r="A8" s="7" t="s">
        <v>8</v>
      </c>
      <c r="B8" s="8" t="s">
        <v>9</v>
      </c>
    </row>
    <row r="9" customFormat="false" ht="15" hidden="false" customHeight="false" outlineLevel="0" collapsed="false">
      <c r="A9" s="7" t="s">
        <v>10</v>
      </c>
      <c r="B9" s="8" t="s">
        <v>11</v>
      </c>
    </row>
    <row r="10" customFormat="false" ht="15" hidden="false" customHeight="false" outlineLevel="0" collapsed="false">
      <c r="A10" s="7"/>
      <c r="B10" s="8"/>
    </row>
    <row r="11" customFormat="false" ht="15" hidden="false" customHeight="false" outlineLevel="0" collapsed="false">
      <c r="A11" s="5" t="s">
        <v>12</v>
      </c>
      <c r="B11" s="6"/>
    </row>
    <row r="12" customFormat="false" ht="15" hidden="false" customHeight="false" outlineLevel="0" collapsed="false">
      <c r="A12" s="7" t="s">
        <v>13</v>
      </c>
      <c r="B12" s="8" t="s">
        <v>14</v>
      </c>
    </row>
    <row r="13" customFormat="false" ht="15" hidden="false" customHeight="false" outlineLevel="0" collapsed="false">
      <c r="A13" s="7" t="s">
        <v>15</v>
      </c>
      <c r="B13" s="8" t="s">
        <v>16</v>
      </c>
    </row>
    <row r="14" customFormat="false" ht="15" hidden="false" customHeight="false" outlineLevel="0" collapsed="false">
      <c r="A14" s="7" t="s">
        <v>17</v>
      </c>
      <c r="B14" s="8" t="s">
        <v>18</v>
      </c>
    </row>
    <row r="15" customFormat="false" ht="15" hidden="false" customHeight="false" outlineLevel="0" collapsed="false">
      <c r="A15" s="7" t="s">
        <v>19</v>
      </c>
      <c r="B15" s="8" t="s">
        <v>20</v>
      </c>
    </row>
    <row r="16" customFormat="false" ht="15" hidden="false" customHeight="false" outlineLevel="0" collapsed="false">
      <c r="A16" s="7" t="s">
        <v>21</v>
      </c>
      <c r="B16" s="8" t="s">
        <v>22</v>
      </c>
    </row>
    <row r="17" customFormat="false" ht="15" hidden="false" customHeight="false" outlineLevel="0" collapsed="false">
      <c r="A17" s="7"/>
      <c r="B17" s="8"/>
    </row>
    <row r="18" customFormat="false" ht="15" hidden="false" customHeight="false" outlineLevel="0" collapsed="false">
      <c r="A18" s="5" t="s">
        <v>23</v>
      </c>
      <c r="B18" s="6"/>
    </row>
    <row r="19" customFormat="false" ht="23.85" hidden="false" customHeight="false" outlineLevel="0" collapsed="false">
      <c r="A19" s="7" t="s">
        <v>24</v>
      </c>
      <c r="B19" s="8" t="s">
        <v>25</v>
      </c>
    </row>
    <row r="20" customFormat="false" ht="23.85" hidden="false" customHeight="false" outlineLevel="0" collapsed="false">
      <c r="A20" s="7" t="s">
        <v>26</v>
      </c>
      <c r="B20" s="8" t="s">
        <v>27</v>
      </c>
    </row>
    <row r="21" customFormat="false" ht="23.85" hidden="false" customHeight="false" outlineLevel="0" collapsed="false">
      <c r="A21" s="7" t="s">
        <v>28</v>
      </c>
      <c r="B21" s="8" t="s">
        <v>29</v>
      </c>
    </row>
    <row r="22" customFormat="false" ht="23.85" hidden="false" customHeight="false" outlineLevel="0" collapsed="false">
      <c r="A22" s="7" t="s">
        <v>30</v>
      </c>
      <c r="B22" s="8" t="s">
        <v>31</v>
      </c>
    </row>
    <row r="23" customFormat="false" ht="15" hidden="false" customHeight="false" outlineLevel="0" collapsed="false">
      <c r="A23" s="7" t="s">
        <v>32</v>
      </c>
      <c r="B23" s="8" t="s">
        <v>33</v>
      </c>
    </row>
    <row r="25" customFormat="false" ht="15" hidden="false" customHeight="false" outlineLevel="0" collapsed="false">
      <c r="A25" s="4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26" min="4" style="1" width="11"/>
  </cols>
  <sheetData>
    <row r="1" customFormat="false" ht="17.35" hidden="false" customHeight="false" outlineLevel="0" collapsed="false">
      <c r="A1" s="2" t="s">
        <v>34</v>
      </c>
    </row>
    <row r="2" customFormat="false" ht="15" hidden="false" customHeight="false" outlineLevel="0" collapsed="false">
      <c r="A2" s="3" t="s">
        <v>35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35.05" hidden="false" customHeight="false" outlineLevel="0" collapsed="false">
      <c r="A6" s="9" t="s">
        <v>37</v>
      </c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  <c r="L6" s="9" t="s">
        <v>48</v>
      </c>
      <c r="M6" s="9" t="s">
        <v>49</v>
      </c>
      <c r="N6" s="9" t="s">
        <v>50</v>
      </c>
      <c r="O6" s="9" t="s">
        <v>51</v>
      </c>
      <c r="P6" s="9" t="s">
        <v>52</v>
      </c>
      <c r="Q6" s="9" t="s">
        <v>53</v>
      </c>
      <c r="R6" s="9" t="s">
        <v>54</v>
      </c>
      <c r="S6" s="9" t="s">
        <v>55</v>
      </c>
      <c r="T6" s="9" t="s">
        <v>56</v>
      </c>
      <c r="U6" s="9" t="s">
        <v>57</v>
      </c>
      <c r="V6" s="9" t="s">
        <v>58</v>
      </c>
      <c r="W6" s="9" t="s">
        <v>59</v>
      </c>
      <c r="X6" s="9" t="s">
        <v>60</v>
      </c>
      <c r="Y6" s="9" t="s">
        <v>61</v>
      </c>
      <c r="Z6" s="9" t="s">
        <v>62</v>
      </c>
    </row>
    <row r="7" customFormat="false" ht="15" hidden="false" customHeight="false" outlineLevel="0" collapsed="false">
      <c r="A7" s="10" t="n">
        <v>1</v>
      </c>
      <c r="B7" s="10" t="s">
        <v>63</v>
      </c>
      <c r="C7" s="10" t="s">
        <v>64</v>
      </c>
      <c r="D7" s="11" t="n">
        <v>298</v>
      </c>
      <c r="E7" s="11" t="n">
        <v>318.9</v>
      </c>
      <c r="F7" s="12" t="n">
        <v>0.261</v>
      </c>
      <c r="G7" s="12" t="n">
        <v>0.217</v>
      </c>
      <c r="H7" s="13" t="n">
        <v>-4.36</v>
      </c>
      <c r="I7" s="12" t="n">
        <v>0.127</v>
      </c>
      <c r="J7" s="12" t="n">
        <v>0.104</v>
      </c>
      <c r="K7" s="13" t="n">
        <v>-2.29</v>
      </c>
      <c r="L7" s="12" t="n">
        <v>0</v>
      </c>
      <c r="M7" s="12" t="n">
        <v>0</v>
      </c>
      <c r="N7" s="13" t="n">
        <v>0</v>
      </c>
      <c r="O7" s="12" t="n">
        <v>0.134</v>
      </c>
      <c r="P7" s="12" t="n">
        <v>0.113</v>
      </c>
      <c r="Q7" s="13" t="n">
        <v>-2.07</v>
      </c>
      <c r="R7" s="14" t="n">
        <f aca="false">(G7-F7)*100</f>
        <v>-4.4</v>
      </c>
      <c r="S7" s="14" t="n">
        <f aca="false">R7-H7</f>
        <v>-0.0400000000000009</v>
      </c>
      <c r="T7" s="14" t="n">
        <f aca="false">(J7+M7+P7-G7)*100</f>
        <v>0</v>
      </c>
      <c r="U7" s="15" t="n">
        <f aca="false">D7*F7</f>
        <v>77.778</v>
      </c>
      <c r="V7" s="15" t="n">
        <f aca="false">E7*G7</f>
        <v>69.2013</v>
      </c>
      <c r="W7" s="15" t="n">
        <f aca="false">V7-U7</f>
        <v>-8.57670000000002</v>
      </c>
      <c r="X7" s="16" t="n">
        <f aca="false">E7/E$11</f>
        <v>0.455441302485004</v>
      </c>
      <c r="Y7" s="16" t="n">
        <f aca="false">E7/D7-1</f>
        <v>0.0701342281879194</v>
      </c>
    </row>
    <row r="8" customFormat="false" ht="15" hidden="false" customHeight="false" outlineLevel="0" collapsed="false">
      <c r="A8" s="10" t="n">
        <v>2</v>
      </c>
      <c r="B8" s="10" t="s">
        <v>63</v>
      </c>
      <c r="C8" s="10" t="s">
        <v>65</v>
      </c>
      <c r="D8" s="11" t="n">
        <v>150.7</v>
      </c>
      <c r="E8" s="11" t="n">
        <v>159.3</v>
      </c>
      <c r="F8" s="12" t="n">
        <v>0.215</v>
      </c>
      <c r="G8" s="12" t="n">
        <v>0.159</v>
      </c>
      <c r="H8" s="13" t="n">
        <v>-5.6</v>
      </c>
      <c r="I8" s="12" t="n">
        <v>0.094</v>
      </c>
      <c r="J8" s="12" t="n">
        <v>0.067</v>
      </c>
      <c r="K8" s="13" t="n">
        <v>-2.68</v>
      </c>
      <c r="L8" s="12" t="n">
        <v>0</v>
      </c>
      <c r="M8" s="12" t="n">
        <v>0</v>
      </c>
      <c r="N8" s="13" t="n">
        <v>0</v>
      </c>
      <c r="O8" s="12" t="n">
        <v>0.121</v>
      </c>
      <c r="P8" s="12" t="n">
        <v>0.092</v>
      </c>
      <c r="Q8" s="13" t="n">
        <v>-2.93</v>
      </c>
      <c r="R8" s="14" t="n">
        <f aca="false">(G8-F8)*100</f>
        <v>-5.6</v>
      </c>
      <c r="S8" s="14" t="n">
        <f aca="false">R8-H8</f>
        <v>0</v>
      </c>
      <c r="T8" s="14" t="n">
        <f aca="false">(J8+M8+P8-G8)*100</f>
        <v>0</v>
      </c>
      <c r="U8" s="15" t="n">
        <f aca="false">D8*F8</f>
        <v>32.4005</v>
      </c>
      <c r="V8" s="15" t="n">
        <f aca="false">E8*G8</f>
        <v>25.3287</v>
      </c>
      <c r="W8" s="15" t="n">
        <f aca="false">V8-U8</f>
        <v>-7.07179999999999</v>
      </c>
      <c r="X8" s="16" t="n">
        <f aca="false">E8/E$11</f>
        <v>0.227506426735219</v>
      </c>
      <c r="Y8" s="16" t="n">
        <f aca="false">E8/D8-1</f>
        <v>0.0570670205706703</v>
      </c>
    </row>
    <row r="9" customFormat="false" ht="15" hidden="false" customHeight="false" outlineLevel="0" collapsed="false">
      <c r="A9" s="10" t="n">
        <v>3</v>
      </c>
      <c r="B9" s="10" t="s">
        <v>63</v>
      </c>
      <c r="C9" s="10" t="s">
        <v>66</v>
      </c>
      <c r="D9" s="11" t="n">
        <v>189.3</v>
      </c>
      <c r="E9" s="11" t="n">
        <v>185.7</v>
      </c>
      <c r="F9" s="12" t="n">
        <v>0.207</v>
      </c>
      <c r="G9" s="12" t="n">
        <v>0.152</v>
      </c>
      <c r="H9" s="13" t="n">
        <v>-5.52</v>
      </c>
      <c r="I9" s="12" t="n">
        <v>0.093</v>
      </c>
      <c r="J9" s="12" t="n">
        <v>0.065</v>
      </c>
      <c r="K9" s="13" t="n">
        <v>-2.78</v>
      </c>
      <c r="L9" s="12" t="n">
        <v>0</v>
      </c>
      <c r="M9" s="12" t="n">
        <v>0</v>
      </c>
      <c r="N9" s="13" t="n">
        <v>0</v>
      </c>
      <c r="O9" s="12" t="n">
        <v>0.114</v>
      </c>
      <c r="P9" s="12" t="n">
        <v>0.086</v>
      </c>
      <c r="Q9" s="13" t="n">
        <v>-2.75</v>
      </c>
      <c r="R9" s="14" t="n">
        <f aca="false">(G9-F9)*100</f>
        <v>-5.5</v>
      </c>
      <c r="S9" s="14" t="n">
        <f aca="false">R9-H9</f>
        <v>0.0200000000000005</v>
      </c>
      <c r="T9" s="14" t="n">
        <f aca="false">(J9+M9+P9-G9)*100</f>
        <v>-0.1</v>
      </c>
      <c r="U9" s="15" t="n">
        <f aca="false">D9*F9</f>
        <v>39.1851</v>
      </c>
      <c r="V9" s="15" t="n">
        <f aca="false">E9*G9</f>
        <v>28.2264</v>
      </c>
      <c r="W9" s="15" t="n">
        <f aca="false">V9-U9</f>
        <v>-10.9587</v>
      </c>
      <c r="X9" s="16" t="n">
        <f aca="false">E9/E$11</f>
        <v>0.265209940017138</v>
      </c>
      <c r="Y9" s="16" t="n">
        <f aca="false">E9/D9-1</f>
        <v>-0.0190174326465928</v>
      </c>
    </row>
    <row r="10" customFormat="false" ht="15" hidden="false" customHeight="false" outlineLevel="0" collapsed="false">
      <c r="A10" s="10" t="n">
        <v>4</v>
      </c>
      <c r="B10" s="10" t="s">
        <v>63</v>
      </c>
      <c r="C10" s="10" t="s">
        <v>67</v>
      </c>
      <c r="D10" s="11" t="n">
        <v>39.4</v>
      </c>
      <c r="E10" s="11" t="n">
        <v>36.3</v>
      </c>
      <c r="F10" s="12" t="n">
        <v>0.227</v>
      </c>
      <c r="G10" s="12" t="n">
        <v>0.16</v>
      </c>
      <c r="H10" s="13" t="n">
        <v>-6.72</v>
      </c>
      <c r="I10" s="12" t="n">
        <v>0.151</v>
      </c>
      <c r="J10" s="12" t="n">
        <v>0.094</v>
      </c>
      <c r="K10" s="13" t="n">
        <v>-5.65</v>
      </c>
      <c r="L10" s="12" t="n">
        <v>0</v>
      </c>
      <c r="M10" s="12" t="n">
        <v>0</v>
      </c>
      <c r="N10" s="13" t="n">
        <v>0</v>
      </c>
      <c r="O10" s="12" t="n">
        <v>0.077</v>
      </c>
      <c r="P10" s="12" t="n">
        <v>0.066</v>
      </c>
      <c r="Q10" s="13" t="n">
        <v>-1.07</v>
      </c>
      <c r="R10" s="14" t="n">
        <f aca="false">(G10-F10)*100</f>
        <v>-6.7</v>
      </c>
      <c r="S10" s="14" t="n">
        <f aca="false">R10-H10</f>
        <v>0.0199999999999996</v>
      </c>
      <c r="T10" s="14" t="n">
        <f aca="false">(J10+M10+P10-G10)*100</f>
        <v>0</v>
      </c>
      <c r="U10" s="15" t="n">
        <f aca="false">D10*F10</f>
        <v>8.9438</v>
      </c>
      <c r="V10" s="15" t="n">
        <f aca="false">E10*G10</f>
        <v>5.808</v>
      </c>
      <c r="W10" s="15" t="n">
        <f aca="false">V10-U10</f>
        <v>-3.1358</v>
      </c>
      <c r="X10" s="16" t="n">
        <f aca="false">E10/E$11</f>
        <v>0.0518423307626392</v>
      </c>
      <c r="Y10" s="16" t="n">
        <f aca="false">E10/D10-1</f>
        <v>-0.0786802030456854</v>
      </c>
    </row>
    <row r="11" customFormat="false" ht="15" hidden="false" customHeight="false" outlineLevel="0" collapsed="false">
      <c r="A11" s="10" t="n">
        <v>5</v>
      </c>
      <c r="B11" s="17" t="s">
        <v>63</v>
      </c>
      <c r="C11" s="17" t="s">
        <v>68</v>
      </c>
      <c r="D11" s="11" t="n">
        <v>677.4</v>
      </c>
      <c r="E11" s="11" t="n">
        <v>700.2</v>
      </c>
      <c r="F11" s="12" t="n">
        <v>0.234</v>
      </c>
      <c r="G11" s="12" t="n">
        <v>0.184</v>
      </c>
      <c r="H11" s="13" t="n">
        <v>-5</v>
      </c>
      <c r="I11" s="12" t="n">
        <v>0.111</v>
      </c>
      <c r="J11" s="12" t="n">
        <v>0.085</v>
      </c>
      <c r="K11" s="13" t="n">
        <v>-2.66</v>
      </c>
      <c r="L11" s="12" t="n">
        <v>0</v>
      </c>
      <c r="M11" s="12" t="n">
        <v>0</v>
      </c>
      <c r="N11" s="13" t="n">
        <v>0</v>
      </c>
      <c r="O11" s="12" t="n">
        <v>0.122</v>
      </c>
      <c r="P11" s="12" t="n">
        <v>0.099</v>
      </c>
      <c r="Q11" s="13" t="n">
        <v>-2.33</v>
      </c>
      <c r="R11" s="14" t="n">
        <f aca="false">(G11-F11)*100</f>
        <v>-5</v>
      </c>
      <c r="S11" s="14" t="n">
        <f aca="false">R11-H11</f>
        <v>0</v>
      </c>
      <c r="T11" s="14" t="n">
        <f aca="false">(J11+M11+P11-G11)*100</f>
        <v>0</v>
      </c>
      <c r="U11" s="15" t="n">
        <f aca="false">D11*F11</f>
        <v>158.5116</v>
      </c>
      <c r="V11" s="15" t="n">
        <f aca="false">E11*G11</f>
        <v>128.8368</v>
      </c>
      <c r="W11" s="15" t="n">
        <f aca="false">V11-U11</f>
        <v>-29.6748</v>
      </c>
      <c r="X11" s="16" t="n">
        <f aca="false">SUM(E7:E10)/E11</f>
        <v>1</v>
      </c>
      <c r="Y11" s="16" t="n">
        <f aca="false">E11/D11-1</f>
        <v>0.0336581045172719</v>
      </c>
      <c r="Z11" s="14" t="n">
        <f aca="false">(G11-SUMPRODUCT(E7:E10,G7:G10)/SUM(E7:E10))*100</f>
        <v>0.0389031705227083</v>
      </c>
    </row>
    <row r="12" customFormat="false" ht="15" hidden="false" customHeight="false" outlineLevel="0" collapsed="false">
      <c r="A12" s="10" t="n">
        <v>6</v>
      </c>
      <c r="B12" s="10" t="s">
        <v>69</v>
      </c>
      <c r="C12" s="10" t="s">
        <v>64</v>
      </c>
      <c r="D12" s="11" t="n">
        <v>112.7</v>
      </c>
      <c r="E12" s="11" t="n">
        <v>112</v>
      </c>
      <c r="F12" s="12" t="n">
        <v>0.115</v>
      </c>
      <c r="G12" s="12" t="n">
        <v>0.086</v>
      </c>
      <c r="H12" s="13" t="n">
        <v>-2.94</v>
      </c>
      <c r="I12" s="12" t="n">
        <v>0.033</v>
      </c>
      <c r="J12" s="12" t="n">
        <v>0.023</v>
      </c>
      <c r="K12" s="13" t="n">
        <v>-0.96</v>
      </c>
      <c r="L12" s="12" t="n">
        <v>0.008</v>
      </c>
      <c r="M12" s="12" t="n">
        <v>0.005</v>
      </c>
      <c r="N12" s="13" t="n">
        <v>-0.26</v>
      </c>
      <c r="O12" s="12" t="n">
        <v>0.075</v>
      </c>
      <c r="P12" s="12" t="n">
        <v>0.058</v>
      </c>
      <c r="Q12" s="13" t="n">
        <v>-1.72</v>
      </c>
      <c r="R12" s="14" t="n">
        <f aca="false">(G12-F12)*100</f>
        <v>-2.9</v>
      </c>
      <c r="S12" s="14" t="n">
        <f aca="false">R12-H12</f>
        <v>0.0399999999999987</v>
      </c>
      <c r="T12" s="14" t="n">
        <f aca="false">(J12+M12+P12-G12)*100</f>
        <v>0</v>
      </c>
      <c r="U12" s="15" t="n">
        <f aca="false">D12*F12</f>
        <v>12.9605</v>
      </c>
      <c r="V12" s="15" t="n">
        <f aca="false">E12*G12</f>
        <v>9.632</v>
      </c>
      <c r="W12" s="15" t="n">
        <f aca="false">V12-U12</f>
        <v>-3.3285</v>
      </c>
      <c r="X12" s="16" t="n">
        <f aca="false">E12/E$16</f>
        <v>0.439905734485467</v>
      </c>
      <c r="Y12" s="16" t="n">
        <f aca="false">E12/D12-1</f>
        <v>-0.00621118012422361</v>
      </c>
    </row>
    <row r="13" customFormat="false" ht="15" hidden="false" customHeight="false" outlineLevel="0" collapsed="false">
      <c r="A13" s="10" t="n">
        <v>7</v>
      </c>
      <c r="B13" s="10" t="s">
        <v>69</v>
      </c>
      <c r="C13" s="10" t="s">
        <v>65</v>
      </c>
      <c r="D13" s="11" t="n">
        <v>57.9</v>
      </c>
      <c r="E13" s="11" t="n">
        <v>56.2</v>
      </c>
      <c r="F13" s="12" t="n">
        <v>0.078</v>
      </c>
      <c r="G13" s="12" t="n">
        <v>0.049</v>
      </c>
      <c r="H13" s="13" t="n">
        <v>-2.91</v>
      </c>
      <c r="I13" s="12" t="n">
        <v>0.033</v>
      </c>
      <c r="J13" s="12" t="n">
        <v>0.016</v>
      </c>
      <c r="K13" s="13" t="n">
        <v>-1.68</v>
      </c>
      <c r="L13" s="12" t="n">
        <v>0.009</v>
      </c>
      <c r="M13" s="12" t="n">
        <v>0.006</v>
      </c>
      <c r="N13" s="13" t="n">
        <v>-0.34</v>
      </c>
      <c r="O13" s="12" t="n">
        <v>0.036</v>
      </c>
      <c r="P13" s="12" t="n">
        <v>0.027</v>
      </c>
      <c r="Q13" s="13" t="n">
        <v>-0.89</v>
      </c>
      <c r="R13" s="14" t="n">
        <f aca="false">(G13-F13)*100</f>
        <v>-2.9</v>
      </c>
      <c r="S13" s="14" t="n">
        <f aca="false">R13-H13</f>
        <v>0.0100000000000002</v>
      </c>
      <c r="T13" s="14" t="n">
        <f aca="false">(J13+M13+P13-G13)*100</f>
        <v>0</v>
      </c>
      <c r="U13" s="15" t="n">
        <f aca="false">D13*F13</f>
        <v>4.5162</v>
      </c>
      <c r="V13" s="15" t="n">
        <f aca="false">E13*G13</f>
        <v>2.7538</v>
      </c>
      <c r="W13" s="15" t="n">
        <f aca="false">V13-U13</f>
        <v>-1.7624</v>
      </c>
      <c r="X13" s="16" t="n">
        <f aca="false">E13/E$16</f>
        <v>0.220738413197172</v>
      </c>
      <c r="Y13" s="16" t="n">
        <f aca="false">E13/D13-1</f>
        <v>-0.0293609671848013</v>
      </c>
    </row>
    <row r="14" customFormat="false" ht="15" hidden="false" customHeight="false" outlineLevel="0" collapsed="false">
      <c r="A14" s="10" t="n">
        <v>8</v>
      </c>
      <c r="B14" s="10" t="s">
        <v>69</v>
      </c>
      <c r="C14" s="10" t="s">
        <v>66</v>
      </c>
      <c r="D14" s="11" t="n">
        <v>69.3</v>
      </c>
      <c r="E14" s="11" t="n">
        <v>70.5</v>
      </c>
      <c r="F14" s="12" t="n">
        <v>0.06</v>
      </c>
      <c r="G14" s="12" t="n">
        <v>0.044</v>
      </c>
      <c r="H14" s="13" t="n">
        <v>-1.62</v>
      </c>
      <c r="I14" s="12" t="n">
        <v>0.026</v>
      </c>
      <c r="J14" s="12" t="n">
        <v>0.017</v>
      </c>
      <c r="K14" s="13" t="n">
        <v>-0.98</v>
      </c>
      <c r="L14" s="12" t="n">
        <v>0.005</v>
      </c>
      <c r="M14" s="12" t="n">
        <v>0.007</v>
      </c>
      <c r="N14" s="13" t="n">
        <v>0.15</v>
      </c>
      <c r="O14" s="12" t="n">
        <v>0.028</v>
      </c>
      <c r="P14" s="12" t="n">
        <v>0.021</v>
      </c>
      <c r="Q14" s="13" t="n">
        <v>-0.78</v>
      </c>
      <c r="R14" s="14" t="n">
        <f aca="false">(G14-F14)*100</f>
        <v>-1.6</v>
      </c>
      <c r="S14" s="14" t="n">
        <f aca="false">R14-H14</f>
        <v>0.02</v>
      </c>
      <c r="T14" s="14" t="n">
        <f aca="false">(J14+M14+P14-G14)*100</f>
        <v>0.1</v>
      </c>
      <c r="U14" s="15" t="n">
        <f aca="false">D14*F14</f>
        <v>4.158</v>
      </c>
      <c r="V14" s="15" t="n">
        <f aca="false">E14*G14</f>
        <v>3.102</v>
      </c>
      <c r="W14" s="15" t="n">
        <f aca="false">V14-U14</f>
        <v>-1.056</v>
      </c>
      <c r="X14" s="16" t="n">
        <f aca="false">E14/E$16</f>
        <v>0.276904948939513</v>
      </c>
      <c r="Y14" s="16" t="n">
        <f aca="false">E14/D14-1</f>
        <v>0.0173160173160174</v>
      </c>
    </row>
    <row r="15" customFormat="false" ht="15" hidden="false" customHeight="false" outlineLevel="0" collapsed="false">
      <c r="A15" s="10" t="n">
        <v>9</v>
      </c>
      <c r="B15" s="10" t="s">
        <v>69</v>
      </c>
      <c r="C15" s="10" t="s">
        <v>67</v>
      </c>
      <c r="D15" s="11" t="n">
        <v>18.6</v>
      </c>
      <c r="E15" s="11" t="n">
        <v>15.9</v>
      </c>
      <c r="F15" s="12" t="n">
        <v>0.092</v>
      </c>
      <c r="G15" s="12" t="n">
        <v>0.05</v>
      </c>
      <c r="H15" s="13" t="n">
        <v>-4.28</v>
      </c>
      <c r="I15" s="12" t="n">
        <v>0.047</v>
      </c>
      <c r="J15" s="12" t="n">
        <v>0.028</v>
      </c>
      <c r="K15" s="13" t="n">
        <v>-1.88</v>
      </c>
      <c r="L15" s="12" t="n">
        <v>0.005</v>
      </c>
      <c r="M15" s="12" t="n">
        <v>0.01</v>
      </c>
      <c r="N15" s="13" t="n">
        <v>0.44</v>
      </c>
      <c r="O15" s="12" t="n">
        <v>0.04</v>
      </c>
      <c r="P15" s="12" t="n">
        <v>0.011</v>
      </c>
      <c r="Q15" s="13" t="n">
        <v>-2.84</v>
      </c>
      <c r="R15" s="14" t="n">
        <f aca="false">(G15-F15)*100</f>
        <v>-4.2</v>
      </c>
      <c r="S15" s="14" t="n">
        <f aca="false">R15-H15</f>
        <v>0.080000000000001</v>
      </c>
      <c r="T15" s="14" t="n">
        <f aca="false">(J15+M15+P15-G15)*100</f>
        <v>-0.1</v>
      </c>
      <c r="U15" s="15" t="n">
        <f aca="false">D15*F15</f>
        <v>1.7112</v>
      </c>
      <c r="V15" s="15" t="n">
        <f aca="false">E15*G15</f>
        <v>0.795</v>
      </c>
      <c r="W15" s="15" t="n">
        <f aca="false">V15-U15</f>
        <v>-0.9162</v>
      </c>
      <c r="X15" s="16" t="n">
        <f aca="false">E15/E$16</f>
        <v>0.0624509033778476</v>
      </c>
      <c r="Y15" s="16" t="n">
        <f aca="false">E15/D15-1</f>
        <v>-0.145161290322581</v>
      </c>
    </row>
    <row r="16" customFormat="false" ht="15" hidden="false" customHeight="false" outlineLevel="0" collapsed="false">
      <c r="A16" s="10" t="n">
        <v>10</v>
      </c>
      <c r="B16" s="17" t="s">
        <v>69</v>
      </c>
      <c r="C16" s="17" t="s">
        <v>68</v>
      </c>
      <c r="D16" s="11" t="n">
        <v>258.5</v>
      </c>
      <c r="E16" s="11" t="n">
        <v>254.6</v>
      </c>
      <c r="F16" s="12" t="n">
        <v>0.091</v>
      </c>
      <c r="G16" s="12" t="n">
        <v>0.064</v>
      </c>
      <c r="H16" s="13" t="n">
        <v>-2.67</v>
      </c>
      <c r="I16" s="12" t="n">
        <v>0.032</v>
      </c>
      <c r="J16" s="12" t="n">
        <v>0.02</v>
      </c>
      <c r="K16" s="13" t="n">
        <v>-1.2</v>
      </c>
      <c r="L16" s="12" t="n">
        <v>0.007</v>
      </c>
      <c r="M16" s="12" t="n">
        <v>0.006</v>
      </c>
      <c r="N16" s="13" t="n">
        <v>-0.12</v>
      </c>
      <c r="O16" s="12" t="n">
        <v>0.051</v>
      </c>
      <c r="P16" s="12" t="n">
        <v>0.038</v>
      </c>
      <c r="Q16" s="13" t="n">
        <v>-1.34</v>
      </c>
      <c r="R16" s="14" t="n">
        <f aca="false">(G16-F16)*100</f>
        <v>-2.7</v>
      </c>
      <c r="S16" s="14" t="n">
        <f aca="false">R16-H16</f>
        <v>-0.0299999999999998</v>
      </c>
      <c r="T16" s="14" t="n">
        <f aca="false">(J16+M16+P16-G16)*100</f>
        <v>0</v>
      </c>
      <c r="U16" s="15" t="n">
        <f aca="false">D16*F16</f>
        <v>23.5235</v>
      </c>
      <c r="V16" s="15" t="n">
        <f aca="false">E16*G16</f>
        <v>16.2944</v>
      </c>
      <c r="W16" s="15" t="n">
        <f aca="false">V16-U16</f>
        <v>-7.2291</v>
      </c>
      <c r="X16" s="16" t="n">
        <f aca="false">SUM(E12:E15)/E16</f>
        <v>1</v>
      </c>
      <c r="Y16" s="16" t="n">
        <f aca="false">E16/D16-1</f>
        <v>-0.0150870406189555</v>
      </c>
      <c r="Z16" s="14" t="n">
        <f aca="false">(G16-SUMPRODUCT(E12:E15,G12:G15)/SUM(E12:E15))*100</f>
        <v>0.00455616653574353</v>
      </c>
    </row>
    <row r="17" customFormat="false" ht="15" hidden="false" customHeight="false" outlineLevel="0" collapsed="false">
      <c r="A17" s="10" t="n">
        <v>11</v>
      </c>
      <c r="B17" s="10" t="s">
        <v>70</v>
      </c>
      <c r="C17" s="10" t="s">
        <v>64</v>
      </c>
      <c r="D17" s="11" t="n">
        <v>89.9</v>
      </c>
      <c r="E17" s="11" t="n">
        <v>137</v>
      </c>
      <c r="F17" s="12" t="n">
        <v>0.066</v>
      </c>
      <c r="G17" s="12" t="n">
        <v>0.036</v>
      </c>
      <c r="H17" s="13" t="n">
        <v>-3</v>
      </c>
      <c r="I17" s="12" t="n">
        <v>0.013</v>
      </c>
      <c r="J17" s="12" t="n">
        <v>0.008</v>
      </c>
      <c r="K17" s="13" t="n">
        <v>-0.51</v>
      </c>
      <c r="L17" s="12" t="n">
        <v>0.004</v>
      </c>
      <c r="M17" s="12" t="n">
        <v>0.002</v>
      </c>
      <c r="N17" s="13" t="n">
        <v>-0.23</v>
      </c>
      <c r="O17" s="12" t="n">
        <v>0.048</v>
      </c>
      <c r="P17" s="12" t="n">
        <v>0.026</v>
      </c>
      <c r="Q17" s="13" t="n">
        <v>-2.25</v>
      </c>
      <c r="R17" s="14" t="n">
        <f aca="false">(G17-F17)*100</f>
        <v>-3</v>
      </c>
      <c r="S17" s="14" t="n">
        <f aca="false">R17-H17</f>
        <v>0</v>
      </c>
      <c r="T17" s="14" t="n">
        <f aca="false">(J17+M17+P17-G17)*100</f>
        <v>0</v>
      </c>
      <c r="U17" s="15" t="n">
        <f aca="false">D17*F17</f>
        <v>5.9334</v>
      </c>
      <c r="V17" s="15" t="n">
        <f aca="false">E17*G17</f>
        <v>4.932</v>
      </c>
      <c r="W17" s="15" t="n">
        <f aca="false">V17-U17</f>
        <v>-1.0014</v>
      </c>
      <c r="X17" s="16" t="n">
        <f aca="false">E17/E$21</f>
        <v>0.255787901418969</v>
      </c>
      <c r="Y17" s="16" t="n">
        <f aca="false">E17/D17-1</f>
        <v>0.523915461624027</v>
      </c>
    </row>
    <row r="18" customFormat="false" ht="15" hidden="false" customHeight="false" outlineLevel="0" collapsed="false">
      <c r="A18" s="10" t="n">
        <v>12</v>
      </c>
      <c r="B18" s="10" t="s">
        <v>70</v>
      </c>
      <c r="C18" s="10" t="s">
        <v>65</v>
      </c>
      <c r="D18" s="11" t="n">
        <v>67.4</v>
      </c>
      <c r="E18" s="11" t="n">
        <v>137.8</v>
      </c>
      <c r="F18" s="12" t="n">
        <v>0.021</v>
      </c>
      <c r="G18" s="12" t="n">
        <v>0.01</v>
      </c>
      <c r="H18" s="13" t="n">
        <v>-1.11</v>
      </c>
      <c r="I18" s="12" t="n">
        <v>0.004</v>
      </c>
      <c r="J18" s="12" t="n">
        <v>0.002</v>
      </c>
      <c r="K18" s="13" t="n">
        <v>-0.16</v>
      </c>
      <c r="L18" s="12" t="n">
        <v>0.001</v>
      </c>
      <c r="M18" s="12" t="n">
        <v>0.001</v>
      </c>
      <c r="N18" s="13" t="n">
        <v>-0.03</v>
      </c>
      <c r="O18" s="12" t="n">
        <v>0.016</v>
      </c>
      <c r="P18" s="12" t="n">
        <v>0.007</v>
      </c>
      <c r="Q18" s="13" t="n">
        <v>-0.92</v>
      </c>
      <c r="R18" s="14" t="n">
        <f aca="false">(G18-F18)*100</f>
        <v>-1.1</v>
      </c>
      <c r="S18" s="14" t="n">
        <f aca="false">R18-H18</f>
        <v>0.01</v>
      </c>
      <c r="T18" s="14" t="n">
        <f aca="false">(J18+M18+P18-G18)*100</f>
        <v>0</v>
      </c>
      <c r="U18" s="15" t="n">
        <f aca="false">D18*F18</f>
        <v>1.4154</v>
      </c>
      <c r="V18" s="15" t="n">
        <f aca="false">E18*G18</f>
        <v>1.378</v>
      </c>
      <c r="W18" s="15" t="n">
        <f aca="false">V18-U18</f>
        <v>-0.0374000000000001</v>
      </c>
      <c r="X18" s="16" t="n">
        <f aca="false">E18/E$21</f>
        <v>0.257281553398058</v>
      </c>
      <c r="Y18" s="16" t="n">
        <f aca="false">E18/D18-1</f>
        <v>1.04451038575668</v>
      </c>
    </row>
    <row r="19" customFormat="false" ht="15" hidden="false" customHeight="false" outlineLevel="0" collapsed="false">
      <c r="A19" s="10" t="n">
        <v>13</v>
      </c>
      <c r="B19" s="10" t="s">
        <v>70</v>
      </c>
      <c r="C19" s="10" t="s">
        <v>66</v>
      </c>
      <c r="D19" s="11" t="n">
        <v>89.7</v>
      </c>
      <c r="E19" s="11" t="n">
        <v>220</v>
      </c>
      <c r="F19" s="12" t="n">
        <v>0.017</v>
      </c>
      <c r="G19" s="12" t="n">
        <v>0.005</v>
      </c>
      <c r="H19" s="13" t="n">
        <v>-1.18</v>
      </c>
      <c r="I19" s="12" t="n">
        <v>0.003</v>
      </c>
      <c r="J19" s="12" t="n">
        <v>0.002</v>
      </c>
      <c r="K19" s="13" t="n">
        <v>-0.09</v>
      </c>
      <c r="L19" s="12" t="n">
        <v>0.001</v>
      </c>
      <c r="M19" s="12" t="n">
        <v>0</v>
      </c>
      <c r="N19" s="13" t="n">
        <v>-0.13</v>
      </c>
      <c r="O19" s="12" t="n">
        <v>0.013</v>
      </c>
      <c r="P19" s="12" t="n">
        <v>0.003</v>
      </c>
      <c r="Q19" s="13" t="n">
        <v>-0.96</v>
      </c>
      <c r="R19" s="14" t="n">
        <f aca="false">(G19-F19)*100</f>
        <v>-1.2</v>
      </c>
      <c r="S19" s="14" t="n">
        <f aca="false">R19-H19</f>
        <v>-0.02</v>
      </c>
      <c r="T19" s="14" t="n">
        <f aca="false">(J19+M19+P19-G19)*100</f>
        <v>0</v>
      </c>
      <c r="U19" s="15" t="n">
        <f aca="false">D19*F19</f>
        <v>1.5249</v>
      </c>
      <c r="V19" s="15" t="n">
        <f aca="false">E19*G19</f>
        <v>1.1</v>
      </c>
      <c r="W19" s="15" t="n">
        <f aca="false">V19-U19</f>
        <v>-0.4249</v>
      </c>
      <c r="X19" s="16" t="n">
        <f aca="false">E19/E$21</f>
        <v>0.41075429424944</v>
      </c>
      <c r="Y19" s="16" t="n">
        <f aca="false">E19/D19-1</f>
        <v>1.45261984392419</v>
      </c>
    </row>
    <row r="20" customFormat="false" ht="15" hidden="false" customHeight="false" outlineLevel="0" collapsed="false">
      <c r="A20" s="10" t="n">
        <v>14</v>
      </c>
      <c r="B20" s="10" t="s">
        <v>70</v>
      </c>
      <c r="C20" s="10" t="s">
        <v>67</v>
      </c>
      <c r="D20" s="11" t="n">
        <v>20.5</v>
      </c>
      <c r="E20" s="11" t="n">
        <v>40.8</v>
      </c>
      <c r="F20" s="12" t="n">
        <v>0.021</v>
      </c>
      <c r="G20" s="12" t="n">
        <v>0.008</v>
      </c>
      <c r="H20" s="13" t="n">
        <v>-1.3</v>
      </c>
      <c r="I20" s="12" t="n">
        <v>0</v>
      </c>
      <c r="J20" s="12" t="n">
        <v>0.006</v>
      </c>
      <c r="K20" s="13" t="n">
        <v>0.56</v>
      </c>
      <c r="L20" s="12" t="n">
        <v>0.005</v>
      </c>
      <c r="M20" s="12" t="n">
        <v>0</v>
      </c>
      <c r="N20" s="13" t="n">
        <v>-0.51</v>
      </c>
      <c r="O20" s="12" t="n">
        <v>0.015</v>
      </c>
      <c r="P20" s="12" t="n">
        <v>0.002</v>
      </c>
      <c r="Q20" s="13" t="n">
        <v>-1.35</v>
      </c>
      <c r="R20" s="14" t="n">
        <f aca="false">(G20-F20)*100</f>
        <v>-1.3</v>
      </c>
      <c r="S20" s="14" t="n">
        <f aca="false">R20-H20</f>
        <v>0</v>
      </c>
      <c r="T20" s="14" t="n">
        <f aca="false">(J20+M20+P20-G20)*100</f>
        <v>0</v>
      </c>
      <c r="U20" s="15" t="n">
        <f aca="false">D20*F20</f>
        <v>0.4305</v>
      </c>
      <c r="V20" s="15" t="n">
        <f aca="false">E20*G20</f>
        <v>0.3264</v>
      </c>
      <c r="W20" s="15" t="n">
        <f aca="false">V20-U20</f>
        <v>-0.1041</v>
      </c>
      <c r="X20" s="16" t="n">
        <f aca="false">E20/E$21</f>
        <v>0.0761762509335325</v>
      </c>
      <c r="Y20" s="16" t="n">
        <f aca="false">E20/D20-1</f>
        <v>0.990243902439024</v>
      </c>
    </row>
    <row r="21" customFormat="false" ht="15" hidden="false" customHeight="false" outlineLevel="0" collapsed="false">
      <c r="A21" s="10" t="n">
        <v>15</v>
      </c>
      <c r="B21" s="17" t="s">
        <v>70</v>
      </c>
      <c r="C21" s="17" t="s">
        <v>68</v>
      </c>
      <c r="D21" s="11" t="n">
        <v>267.4</v>
      </c>
      <c r="E21" s="11" t="n">
        <v>535.6</v>
      </c>
      <c r="F21" s="12" t="n">
        <v>0.035</v>
      </c>
      <c r="G21" s="12" t="n">
        <v>0.014</v>
      </c>
      <c r="H21" s="13" t="n">
        <v>-2.02</v>
      </c>
      <c r="I21" s="12" t="n">
        <v>0.006</v>
      </c>
      <c r="J21" s="12" t="n">
        <v>0.004</v>
      </c>
      <c r="K21" s="13" t="n">
        <v>-0.25</v>
      </c>
      <c r="L21" s="12" t="n">
        <v>0.003</v>
      </c>
      <c r="M21" s="12" t="n">
        <v>0.001</v>
      </c>
      <c r="N21" s="13" t="n">
        <v>-0.18</v>
      </c>
      <c r="O21" s="12" t="n">
        <v>0.026</v>
      </c>
      <c r="P21" s="12" t="n">
        <v>0.01</v>
      </c>
      <c r="Q21" s="13" t="n">
        <v>-1.59</v>
      </c>
      <c r="R21" s="14" t="n">
        <f aca="false">(G21-F21)*100</f>
        <v>-2.1</v>
      </c>
      <c r="S21" s="14" t="n">
        <f aca="false">R21-H21</f>
        <v>-0.0800000000000005</v>
      </c>
      <c r="T21" s="14" t="n">
        <f aca="false">(J21+M21+P21-G21)*100</f>
        <v>0.0999999999999999</v>
      </c>
      <c r="U21" s="15" t="n">
        <f aca="false">D21*F21</f>
        <v>9.359</v>
      </c>
      <c r="V21" s="15" t="n">
        <f aca="false">E21*G21</f>
        <v>7.4984</v>
      </c>
      <c r="W21" s="15" t="n">
        <f aca="false">V21-U21</f>
        <v>-1.8606</v>
      </c>
      <c r="X21" s="16" t="n">
        <f aca="false">SUM(E17:E20)/E21</f>
        <v>1</v>
      </c>
      <c r="Y21" s="16" t="n">
        <f aca="false">E21/D21-1</f>
        <v>1.00299177262528</v>
      </c>
      <c r="Z21" s="14" t="n">
        <f aca="false">(G21-SUMPRODUCT(E17:E20,G17:G20)/SUM(E17:E20))*100</f>
        <v>-0.0444361463778938</v>
      </c>
    </row>
    <row r="23" customFormat="false" ht="15" hidden="false" customHeight="false" outlineLevel="0" collapsed="false">
      <c r="A23" s="5" t="s">
        <v>71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9" t="s">
        <v>37</v>
      </c>
      <c r="B24" s="9" t="s">
        <v>72</v>
      </c>
      <c r="C24" s="9"/>
      <c r="D24" s="9" t="s">
        <v>73</v>
      </c>
      <c r="E24" s="9" t="s">
        <v>74</v>
      </c>
      <c r="F24" s="9" t="s">
        <v>75</v>
      </c>
    </row>
    <row r="25" customFormat="false" ht="46.25" hidden="false" customHeight="false" outlineLevel="0" collapsed="false">
      <c r="A25" s="10" t="n">
        <v>1</v>
      </c>
      <c r="B25" s="18" t="s">
        <v>76</v>
      </c>
      <c r="D25" s="15" t="n">
        <f aca="false">D11+D16+D21</f>
        <v>1203.3</v>
      </c>
      <c r="E25" s="15" t="n">
        <f aca="false">E11+E16+E21</f>
        <v>1490.4</v>
      </c>
      <c r="F25" s="15" t="n">
        <f aca="false">E25-D25</f>
        <v>287.1</v>
      </c>
    </row>
    <row r="26" customFormat="false" ht="57.45" hidden="false" customHeight="false" outlineLevel="0" collapsed="false">
      <c r="A26" s="10" t="n">
        <v>2</v>
      </c>
      <c r="B26" s="18" t="s">
        <v>77</v>
      </c>
      <c r="D26" s="15" t="n">
        <f aca="false">MAX(ABS(SUM(D7:D10)-D11),ABS(SUM(D12:D15)-D16),ABS(SUM(D17:D20)-D21))</f>
        <v>0.100000000000023</v>
      </c>
      <c r="E26" s="15" t="n">
        <f aca="false">MAX(ABS(SUM(E7:E10)-E11),ABS(SUM(E12:E15)-E16),ABS(SUM(E17:E20)-E21))</f>
        <v>0</v>
      </c>
    </row>
    <row r="27" customFormat="false" ht="35.05" hidden="false" customHeight="false" outlineLevel="0" collapsed="false">
      <c r="A27" s="10" t="n">
        <v>3</v>
      </c>
      <c r="B27" s="18" t="s">
        <v>78</v>
      </c>
      <c r="D27" s="15" t="n">
        <f aca="false">U11+U16+U21</f>
        <v>191.3941</v>
      </c>
      <c r="E27" s="15" t="n">
        <f aca="false">V11+V16+V21</f>
        <v>152.6296</v>
      </c>
      <c r="F27" s="15" t="n">
        <f aca="false">E27-D27</f>
        <v>-38.7645</v>
      </c>
    </row>
    <row r="28" customFormat="false" ht="68.65" hidden="false" customHeight="false" outlineLevel="0" collapsed="false">
      <c r="A28" s="10" t="n">
        <v>4</v>
      </c>
      <c r="B28" s="18" t="s">
        <v>79</v>
      </c>
      <c r="D28" s="19" t="n">
        <f aca="false">D27/D25</f>
        <v>0.159057674727832</v>
      </c>
      <c r="E28" s="19" t="n">
        <f aca="false">E27/E25</f>
        <v>0.102408480944713</v>
      </c>
      <c r="F28" s="14" t="n">
        <f aca="false">(E28-D28)*100</f>
        <v>-5.6649193783119</v>
      </c>
    </row>
    <row r="29" customFormat="false" ht="35.05" hidden="false" customHeight="false" outlineLevel="0" collapsed="false">
      <c r="A29" s="10" t="n">
        <v>5</v>
      </c>
      <c r="B29" s="18" t="s">
        <v>80</v>
      </c>
      <c r="D29" s="16" t="n">
        <f aca="false">D21/D25</f>
        <v>0.222222222222222</v>
      </c>
      <c r="E29" s="16" t="n">
        <f aca="false">E21/E25</f>
        <v>0.359366612989801</v>
      </c>
      <c r="F29" s="14" t="n">
        <f aca="false">(E29-D29)*100</f>
        <v>13.7144390767579</v>
      </c>
    </row>
    <row r="30" customFormat="false" ht="68.65" hidden="false" customHeight="false" outlineLevel="0" collapsed="false">
      <c r="A30" s="10" t="n">
        <v>6</v>
      </c>
      <c r="B30" s="18" t="s">
        <v>81</v>
      </c>
      <c r="F30" s="14" t="n">
        <f aca="false">H11-R11</f>
        <v>0</v>
      </c>
    </row>
    <row r="31" customFormat="false" ht="68.65" hidden="false" customHeight="false" outlineLevel="0" collapsed="false">
      <c r="A31" s="10" t="n">
        <v>7</v>
      </c>
      <c r="B31" s="18" t="s">
        <v>82</v>
      </c>
      <c r="F31" s="14" t="n">
        <f aca="false">H16-R16</f>
        <v>0.0299999999999998</v>
      </c>
    </row>
    <row r="32" customFormat="false" ht="68.65" hidden="false" customHeight="false" outlineLevel="0" collapsed="false">
      <c r="A32" s="10" t="n">
        <v>8</v>
      </c>
      <c r="B32" s="18" t="s">
        <v>83</v>
      </c>
      <c r="F32" s="14" t="n">
        <f aca="false">H21-R21</f>
        <v>0.0800000000000005</v>
      </c>
    </row>
    <row r="33" customFormat="false" ht="79.85" hidden="false" customHeight="false" outlineLevel="0" collapsed="false">
      <c r="A33" s="10" t="n">
        <v>9</v>
      </c>
      <c r="B33" s="18" t="s">
        <v>84</v>
      </c>
      <c r="F33" s="14" t="n">
        <f aca="false">MAX(ABS(MIN(S7:S21)),MAX(S7:S21))</f>
        <v>0.080000000000001</v>
      </c>
    </row>
    <row r="34" customFormat="false" ht="57.45" hidden="false" customHeight="false" outlineLevel="0" collapsed="false">
      <c r="A34" s="10" t="n">
        <v>10</v>
      </c>
      <c r="B34" s="18" t="s">
        <v>85</v>
      </c>
      <c r="F34" s="14" t="n">
        <f aca="false">MAX(ABS(MIN(T7:T21)),MAX(T7:T21))</f>
        <v>0.1</v>
      </c>
    </row>
    <row r="35" customFormat="false" ht="57.45" hidden="false" customHeight="false" outlineLevel="0" collapsed="false">
      <c r="A35" s="10" t="n">
        <v>11</v>
      </c>
      <c r="B35" s="18" t="s">
        <v>86</v>
      </c>
      <c r="F35" s="14" t="n">
        <f aca="false">MAX(ABS(Z11),ABS(Z16),ABS(Z21))</f>
        <v>0.0444361463778938</v>
      </c>
    </row>
    <row r="38" customFormat="false" ht="15" hidden="false" customHeight="false" outlineLevel="0" collapsed="false">
      <c r="A38" s="5" t="s">
        <v>87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23.85" hidden="false" customHeight="false" outlineLevel="0" collapsed="false">
      <c r="A39" s="9" t="s">
        <v>37</v>
      </c>
      <c r="B39" s="9" t="s">
        <v>88</v>
      </c>
      <c r="C39" s="9" t="s">
        <v>89</v>
      </c>
      <c r="D39" s="9" t="s">
        <v>90</v>
      </c>
      <c r="E39" s="9" t="s">
        <v>91</v>
      </c>
    </row>
    <row r="40" customFormat="false" ht="202.95" hidden="false" customHeight="false" outlineLevel="0" collapsed="false">
      <c r="A40" s="10" t="n">
        <v>1</v>
      </c>
      <c r="B40" s="20" t="s">
        <v>92</v>
      </c>
      <c r="C40" s="16" t="n">
        <f aca="false">Y21</f>
        <v>1.00299177262528</v>
      </c>
      <c r="D40" s="10" t="s">
        <v>93</v>
      </c>
      <c r="E40" s="18" t="s">
        <v>94</v>
      </c>
    </row>
    <row r="41" customFormat="false" ht="135.8" hidden="false" customHeight="false" outlineLevel="0" collapsed="false">
      <c r="A41" s="10" t="n">
        <v>2</v>
      </c>
      <c r="B41" s="20" t="s">
        <v>95</v>
      </c>
      <c r="C41" s="21" t="n">
        <f aca="false">COUNTIF(H7:H21,"&lt;0")</f>
        <v>15</v>
      </c>
      <c r="D41" s="10" t="s">
        <v>96</v>
      </c>
      <c r="E41" s="18" t="s">
        <v>97</v>
      </c>
    </row>
    <row r="42" customFormat="false" ht="147" hidden="false" customHeight="false" outlineLevel="0" collapsed="false">
      <c r="A42" s="10" t="n">
        <v>3</v>
      </c>
      <c r="B42" s="20" t="s">
        <v>98</v>
      </c>
      <c r="C42" s="19" t="n">
        <f aca="false">P11</f>
        <v>0.099</v>
      </c>
      <c r="D42" s="10" t="s">
        <v>93</v>
      </c>
      <c r="E42" s="18" t="s">
        <v>99</v>
      </c>
    </row>
    <row r="43" customFormat="false" ht="113.4" hidden="false" customHeight="false" outlineLevel="0" collapsed="false">
      <c r="A43" s="10" t="n">
        <v>4</v>
      </c>
      <c r="B43" s="20" t="s">
        <v>100</v>
      </c>
      <c r="C43" s="14" t="n">
        <f aca="false">F28</f>
        <v>-5.6649193783119</v>
      </c>
      <c r="D43" s="10" t="s">
        <v>101</v>
      </c>
      <c r="E43" s="18" t="s">
        <v>102</v>
      </c>
    </row>
    <row r="44" customFormat="false" ht="147" hidden="false" customHeight="false" outlineLevel="0" collapsed="false">
      <c r="A44" s="10" t="n">
        <v>5</v>
      </c>
      <c r="B44" s="20" t="s">
        <v>103</v>
      </c>
      <c r="C44" s="14" t="n">
        <f aca="false">F33</f>
        <v>0.080000000000001</v>
      </c>
      <c r="D44" s="10" t="s">
        <v>101</v>
      </c>
      <c r="E44" s="18" t="s">
        <v>104</v>
      </c>
    </row>
    <row r="45" customFormat="false" ht="91" hidden="false" customHeight="false" outlineLevel="0" collapsed="false">
      <c r="A45" s="10" t="n">
        <v>6</v>
      </c>
      <c r="B45" s="20" t="s">
        <v>105</v>
      </c>
      <c r="C45" s="22" t="str">
        <f aca="false">"timing"</f>
        <v>timing</v>
      </c>
      <c r="D45" s="10" t="s">
        <v>106</v>
      </c>
      <c r="E45" s="18" t="s">
        <v>107</v>
      </c>
    </row>
    <row r="47" customFormat="false" ht="15" hidden="false" customHeight="false" outlineLevel="0" collapsed="false">
      <c r="A47" s="5" t="s">
        <v>108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9" customFormat="false" ht="15" hidden="false" customHeight="false" outlineLevel="0" collapsed="false">
      <c r="A49" s="5" t="s">
        <v>109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35.05" hidden="false" customHeight="false" outlineLevel="0" collapsed="false">
      <c r="A50" s="9" t="s">
        <v>37</v>
      </c>
      <c r="B50" s="9" t="s">
        <v>110</v>
      </c>
      <c r="C50" s="9" t="s">
        <v>111</v>
      </c>
      <c r="D50" s="9" t="s">
        <v>112</v>
      </c>
      <c r="E50" s="9" t="s">
        <v>113</v>
      </c>
      <c r="F50" s="9" t="s">
        <v>90</v>
      </c>
      <c r="G50" s="9" t="s">
        <v>114</v>
      </c>
    </row>
    <row r="51" customFormat="false" ht="35.05" hidden="false" customHeight="false" outlineLevel="0" collapsed="false">
      <c r="A51" s="10" t="n">
        <v>1</v>
      </c>
      <c r="B51" s="17" t="s">
        <v>115</v>
      </c>
      <c r="C51" s="18" t="s">
        <v>116</v>
      </c>
      <c r="D51" s="18" t="s">
        <v>117</v>
      </c>
      <c r="E51" s="23" t="n">
        <f aca="false">E11</f>
        <v>700.2</v>
      </c>
      <c r="F51" s="10"/>
      <c r="G51" s="18"/>
    </row>
    <row r="52" customFormat="false" ht="35.05" hidden="false" customHeight="false" outlineLevel="0" collapsed="false">
      <c r="A52" s="10" t="n">
        <v>2</v>
      </c>
      <c r="B52" s="17" t="s">
        <v>115</v>
      </c>
      <c r="C52" s="18" t="s">
        <v>118</v>
      </c>
      <c r="D52" s="18" t="s">
        <v>117</v>
      </c>
      <c r="E52" s="19" t="n">
        <f aca="false">G16</f>
        <v>0.064</v>
      </c>
      <c r="F52" s="10" t="s">
        <v>93</v>
      </c>
      <c r="G52" s="18"/>
    </row>
    <row r="53" customFormat="false" ht="46.25" hidden="false" customHeight="false" outlineLevel="0" collapsed="false">
      <c r="A53" s="10" t="n">
        <v>3</v>
      </c>
      <c r="B53" s="17" t="s">
        <v>115</v>
      </c>
      <c r="C53" s="18" t="s">
        <v>119</v>
      </c>
      <c r="D53" s="18" t="s">
        <v>117</v>
      </c>
      <c r="E53" s="14" t="n">
        <f aca="false">H10</f>
        <v>-6.72</v>
      </c>
      <c r="F53" s="10" t="s">
        <v>101</v>
      </c>
      <c r="G53" s="18"/>
    </row>
    <row r="54" customFormat="false" ht="68.65" hidden="false" customHeight="false" outlineLevel="0" collapsed="false">
      <c r="A54" s="10" t="n">
        <v>4</v>
      </c>
      <c r="B54" s="17" t="s">
        <v>120</v>
      </c>
      <c r="C54" s="18" t="s">
        <v>121</v>
      </c>
      <c r="D54" s="18" t="s">
        <v>122</v>
      </c>
      <c r="E54" s="16" t="n">
        <f aca="false">E25/D25-1</f>
        <v>0.238593866866118</v>
      </c>
      <c r="F54" s="10" t="s">
        <v>93</v>
      </c>
      <c r="G54" s="18"/>
    </row>
    <row r="55" customFormat="false" ht="46.25" hidden="false" customHeight="false" outlineLevel="0" collapsed="false">
      <c r="A55" s="10" t="n">
        <v>5</v>
      </c>
      <c r="B55" s="17" t="s">
        <v>120</v>
      </c>
      <c r="C55" s="18" t="s">
        <v>123</v>
      </c>
      <c r="D55" s="18" t="s">
        <v>124</v>
      </c>
      <c r="E55" s="19" t="n">
        <f aca="false">E28</f>
        <v>0.102408480944713</v>
      </c>
      <c r="F55" s="10" t="s">
        <v>93</v>
      </c>
      <c r="G55" s="18"/>
    </row>
    <row r="56" customFormat="false" ht="35.05" hidden="false" customHeight="false" outlineLevel="0" collapsed="false">
      <c r="A56" s="10" t="n">
        <v>6</v>
      </c>
      <c r="B56" s="17" t="s">
        <v>120</v>
      </c>
      <c r="C56" s="18" t="s">
        <v>125</v>
      </c>
      <c r="D56" s="18" t="s">
        <v>126</v>
      </c>
      <c r="E56" s="22" t="str">
        <f aca="false">INDEX(C7:C10,MATCH(MAX(G7:G10),G7:G10,0))</f>
        <v>&lt; 1L</v>
      </c>
      <c r="F56" s="10" t="s">
        <v>106</v>
      </c>
      <c r="G56" s="18"/>
    </row>
    <row r="57" customFormat="false" ht="57.45" hidden="false" customHeight="false" outlineLevel="0" collapsed="false">
      <c r="A57" s="10" t="n">
        <v>7</v>
      </c>
      <c r="B57" s="17" t="s">
        <v>120</v>
      </c>
      <c r="C57" s="18" t="s">
        <v>127</v>
      </c>
      <c r="D57" s="18" t="s">
        <v>128</v>
      </c>
      <c r="E57" s="15" t="n">
        <f aca="false">V11</f>
        <v>128.8368</v>
      </c>
      <c r="F57" s="10" t="s">
        <v>129</v>
      </c>
      <c r="G57" s="18"/>
    </row>
    <row r="58" customFormat="false" ht="135.8" hidden="false" customHeight="false" outlineLevel="0" collapsed="false">
      <c r="A58" s="10" t="n">
        <v>8</v>
      </c>
      <c r="B58" s="17" t="s">
        <v>130</v>
      </c>
      <c r="C58" s="18" t="s">
        <v>131</v>
      </c>
      <c r="D58" s="18" t="s">
        <v>132</v>
      </c>
      <c r="E58" s="14" t="n">
        <f aca="false">K11</f>
        <v>-2.66</v>
      </c>
      <c r="F58" s="10" t="s">
        <v>101</v>
      </c>
      <c r="G58" s="18" t="s">
        <v>133</v>
      </c>
    </row>
    <row r="59" customFormat="false" ht="124.6" hidden="false" customHeight="false" outlineLevel="0" collapsed="false">
      <c r="A59" s="10" t="n">
        <v>9</v>
      </c>
      <c r="B59" s="17" t="s">
        <v>130</v>
      </c>
      <c r="C59" s="18" t="s">
        <v>134</v>
      </c>
      <c r="D59" s="18" t="s">
        <v>135</v>
      </c>
      <c r="E59" s="15" t="n">
        <f aca="false">W21</f>
        <v>-1.8606</v>
      </c>
      <c r="F59" s="10" t="s">
        <v>129</v>
      </c>
      <c r="G59" s="18" t="s">
        <v>136</v>
      </c>
    </row>
    <row r="60" customFormat="false" ht="68.65" hidden="false" customHeight="false" outlineLevel="0" collapsed="false">
      <c r="A60" s="10" t="n">
        <v>10</v>
      </c>
      <c r="B60" s="17" t="s">
        <v>130</v>
      </c>
      <c r="C60" s="18" t="s">
        <v>137</v>
      </c>
      <c r="D60" s="18" t="s">
        <v>138</v>
      </c>
      <c r="E60" s="14" t="n">
        <f aca="false">MAX(ABS(F33),ABS(F34),ABS(F35))</f>
        <v>0.1</v>
      </c>
      <c r="F60" s="10" t="s">
        <v>101</v>
      </c>
      <c r="G60" s="18" t="s">
        <v>139</v>
      </c>
    </row>
    <row r="62" customFormat="false" ht="15" hidden="false" customHeight="false" outlineLevel="0" collapsed="false">
      <c r="A62" s="5" t="s">
        <v>140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69.75" hidden="false" customHeight="true" outlineLevel="0" collapsed="false">
      <c r="A63" s="24" t="s">
        <v>141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5" customFormat="false" ht="15" hidden="false" customHeight="false" outlineLevel="0" collapsed="false">
      <c r="A65" s="4" t="s">
        <v>2</v>
      </c>
    </row>
  </sheetData>
  <mergeCells count="1">
    <mergeCell ref="A63:Z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24"/>
    <col collapsed="false" customWidth="true" hidden="false" outlineLevel="0" max="6" min="6" style="1" width="78"/>
  </cols>
  <sheetData>
    <row r="1" customFormat="false" ht="17.35" hidden="false" customHeight="false" outlineLevel="0" collapsed="false">
      <c r="A1" s="2" t="s">
        <v>142</v>
      </c>
    </row>
    <row r="2" customFormat="false" ht="15" hidden="false" customHeight="false" outlineLevel="0" collapsed="false">
      <c r="A2" s="3" t="s">
        <v>143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144</v>
      </c>
      <c r="B5" s="6"/>
      <c r="C5" s="6"/>
      <c r="D5" s="6"/>
      <c r="E5" s="6"/>
      <c r="F5" s="6"/>
    </row>
    <row r="6" customFormat="false" ht="15" hidden="false" customHeight="false" outlineLevel="0" collapsed="false">
      <c r="B6" s="25" t="s">
        <v>145</v>
      </c>
      <c r="C6" s="25" t="s">
        <v>146</v>
      </c>
      <c r="D6" s="25"/>
      <c r="E6" s="25"/>
      <c r="F6" s="25"/>
    </row>
    <row r="7" customFormat="false" ht="15" hidden="false" customHeight="true" outlineLevel="0" collapsed="false">
      <c r="B7" s="17" t="s">
        <v>147</v>
      </c>
      <c r="C7" s="18" t="s">
        <v>148</v>
      </c>
      <c r="D7" s="18"/>
      <c r="E7" s="18"/>
      <c r="F7" s="18"/>
    </row>
    <row r="8" customFormat="false" ht="15" hidden="false" customHeight="true" outlineLevel="0" collapsed="false">
      <c r="B8" s="17" t="s">
        <v>149</v>
      </c>
      <c r="C8" s="18" t="s">
        <v>150</v>
      </c>
      <c r="D8" s="18"/>
      <c r="E8" s="18"/>
      <c r="F8" s="18"/>
    </row>
    <row r="9" customFormat="false" ht="15" hidden="false" customHeight="true" outlineLevel="0" collapsed="false">
      <c r="B9" s="17" t="s">
        <v>151</v>
      </c>
      <c r="C9" s="18" t="s">
        <v>152</v>
      </c>
      <c r="D9" s="18"/>
      <c r="E9" s="18"/>
      <c r="F9" s="18"/>
    </row>
    <row r="10" customFormat="false" ht="15" hidden="false" customHeight="true" outlineLevel="0" collapsed="false">
      <c r="B10" s="17" t="s">
        <v>153</v>
      </c>
      <c r="C10" s="18" t="s">
        <v>154</v>
      </c>
      <c r="D10" s="18"/>
      <c r="E10" s="18"/>
      <c r="F10" s="18"/>
    </row>
    <row r="11" customFormat="false" ht="15" hidden="false" customHeight="true" outlineLevel="0" collapsed="false">
      <c r="B11" s="17" t="s">
        <v>155</v>
      </c>
      <c r="C11" s="18" t="s">
        <v>156</v>
      </c>
      <c r="D11" s="18"/>
      <c r="E11" s="18"/>
      <c r="F11" s="18"/>
    </row>
    <row r="12" customFormat="false" ht="15" hidden="false" customHeight="true" outlineLevel="0" collapsed="false">
      <c r="B12" s="17" t="s">
        <v>157</v>
      </c>
      <c r="C12" s="18" t="s">
        <v>158</v>
      </c>
      <c r="D12" s="18"/>
      <c r="E12" s="18"/>
      <c r="F12" s="18"/>
    </row>
    <row r="13" customFormat="false" ht="15" hidden="false" customHeight="true" outlineLevel="0" collapsed="false">
      <c r="B13" s="17" t="s">
        <v>159</v>
      </c>
      <c r="C13" s="18" t="s">
        <v>160</v>
      </c>
      <c r="D13" s="18"/>
      <c r="E13" s="18"/>
      <c r="F13" s="18"/>
    </row>
    <row r="14" customFormat="false" ht="15" hidden="false" customHeight="false" outlineLevel="0" collapsed="false">
      <c r="B14" s="26" t="s">
        <v>161</v>
      </c>
    </row>
    <row r="16" customFormat="false" ht="15" hidden="false" customHeight="false" outlineLevel="0" collapsed="false">
      <c r="A16" s="5" t="s">
        <v>162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9" t="s">
        <v>37</v>
      </c>
      <c r="B17" s="9" t="s">
        <v>163</v>
      </c>
      <c r="C17" s="9" t="s">
        <v>164</v>
      </c>
      <c r="D17" s="9" t="s">
        <v>165</v>
      </c>
      <c r="E17" s="9" t="s">
        <v>166</v>
      </c>
      <c r="F17" s="9" t="s">
        <v>167</v>
      </c>
    </row>
    <row r="18" customFormat="false" ht="15" hidden="false" customHeight="false" outlineLevel="0" collapsed="false">
      <c r="A18" s="10" t="n">
        <v>1</v>
      </c>
      <c r="B18" s="18" t="s">
        <v>168</v>
      </c>
      <c r="C18" s="18" t="s">
        <v>169</v>
      </c>
      <c r="D18" s="18" t="s">
        <v>147</v>
      </c>
      <c r="E18" s="18" t="s">
        <v>170</v>
      </c>
      <c r="F18" s="27" t="str">
        <f aca="false">"B1 / B2 / B3 totals Jul → Aug "&amp;TEXT(B1_PreNPA_Resolution!D11,"#,##0.0")&amp;" / "&amp;TEXT(B1_PreNPA_Resolution!E11,"#,##0.0")&amp;"; "&amp;TEXT(B1_PreNPA_Resolution!D16,"#,##0.0")&amp;" / "&amp;TEXT(B1_PreNPA_Resolution!E16,"#,##0.0")&amp;"; "&amp;TEXT(B1_PreNPA_Resolution!D21,"#,##0.0")&amp;" / "&amp;TEXT(B1_PreNPA_Resolution!E21,"#,##0.0")</f>
        <v>B1 / B2 / B3 totals Jul → Aug 677.4 / 700.2; 258.5 / 254.6; 267.4 / 535.6</v>
      </c>
    </row>
    <row r="19" customFormat="false" ht="15" hidden="false" customHeight="false" outlineLevel="0" collapsed="false">
      <c r="A19" s="10" t="n">
        <v>2</v>
      </c>
      <c r="B19" s="18" t="s">
        <v>168</v>
      </c>
      <c r="C19" s="18" t="s">
        <v>171</v>
      </c>
      <c r="D19" s="18" t="s">
        <v>172</v>
      </c>
      <c r="E19" s="18" t="s">
        <v>173</v>
      </c>
      <c r="F19" s="27" t="str">
        <f aca="false">"B1 Aug "&amp;TEXT(B1_PreNPA_Resolution!G11,"0.00%")&amp;" / "&amp;TEXT(B1_PreNPA_Resolution!J11,"0.00%")&amp;" / "&amp;TEXT(B1_PreNPA_Resolution!M11,"0.00%")&amp;" / "&amp;TEXT(B1_PreNPA_Resolution!P11,"0.00%")&amp;" (Res / Norm / RB / Stab)"</f>
        <v>B1 Aug 18.40% / 8.50% / 0.00% / 9.90% (Res / Norm / RB / Stab)</v>
      </c>
    </row>
    <row r="20" customFormat="false" ht="15" hidden="false" customHeight="false" outlineLevel="0" collapsed="false">
      <c r="A20" s="10" t="n">
        <v>3</v>
      </c>
      <c r="B20" s="18" t="s">
        <v>168</v>
      </c>
      <c r="C20" s="18" t="s">
        <v>174</v>
      </c>
      <c r="D20" s="18" t="s">
        <v>175</v>
      </c>
      <c r="E20" s="18" t="s">
        <v>176</v>
      </c>
      <c r="F20" s="27" t="str">
        <f aca="false">"B1 "&amp;TEXT(B1_PreNPA_Resolution!H11,"+0.0"" pp"";-0.0"" pp"";0.0"" pp""")&amp;" / "&amp;TEXT(B1_PreNPA_Resolution!K11,"+0.0"" pp"";-0.0"" pp"";0.0"" pp""")&amp;" / "&amp;TEXT(B1_PreNPA_Resolution!N11,"+0.0"" pp"";-0.0"" pp"";0.0"" pp""")&amp;" / "&amp;TEXT(B1_PreNPA_Resolution!Q11,"+0.0"" pp"";-0.0"" pp"";0.0"" pp""")</f>
        <v>B1 -5.0 pp / -2.7 pp / 0.0 pp / -2.3 pp</v>
      </c>
    </row>
    <row r="21" customFormat="false" ht="15" hidden="false" customHeight="false" outlineLevel="0" collapsed="false">
      <c r="A21" s="10" t="n">
        <v>4</v>
      </c>
      <c r="B21" s="18" t="s">
        <v>177</v>
      </c>
      <c r="C21" s="18" t="s">
        <v>178</v>
      </c>
      <c r="D21" s="18" t="s">
        <v>179</v>
      </c>
      <c r="E21" s="18" t="s">
        <v>180</v>
      </c>
      <c r="F21" s="27" t="str">
        <f aca="false">"max |gap| "&amp;TEXT(B1_PreNPA_Resolution!F33,"+0.0"" pp"";-0.0"" pp"";0.0"" pp""")</f>
        <v>max |gap| +0.1 pp</v>
      </c>
    </row>
    <row r="22" customFormat="false" ht="15" hidden="false" customHeight="false" outlineLevel="0" collapsed="false">
      <c r="A22" s="10" t="n">
        <v>5</v>
      </c>
      <c r="B22" s="18" t="s">
        <v>177</v>
      </c>
      <c r="C22" s="18" t="s">
        <v>181</v>
      </c>
      <c r="D22" s="18" t="s">
        <v>182</v>
      </c>
      <c r="E22" s="18" t="s">
        <v>180</v>
      </c>
      <c r="F22" s="27" t="str">
        <f aca="false">"max |gap| "&amp;TEXT(B1_PreNPA_Resolution!F34,"+0.0"" pp"";-0.0"" pp"";0.0"" pp""")</f>
        <v>max |gap| +0.1 pp</v>
      </c>
    </row>
    <row r="23" customFormat="false" ht="15" hidden="false" customHeight="false" outlineLevel="0" collapsed="false">
      <c r="A23" s="10" t="n">
        <v>6</v>
      </c>
      <c r="B23" s="18" t="s">
        <v>177</v>
      </c>
      <c r="C23" s="18" t="s">
        <v>183</v>
      </c>
      <c r="D23" s="18" t="s">
        <v>184</v>
      </c>
      <c r="E23" s="18" t="s">
        <v>185</v>
      </c>
      <c r="F23" s="27" t="str">
        <f aca="false">TEXT(B1_PreNPA_Resolution!Z11,"+0.0"" pp"";-0.0"" pp"";0.0"" pp""")&amp;" / "&amp;TEXT(B1_PreNPA_Resolution!Z16,"+0.0"" pp"";-0.0"" pp"";0.0"" pp""")&amp;" / "&amp;TEXT(B1_PreNPA_Resolution!Z21,"+0.0"" pp"";-0.0"" pp"";0.0"" pp""")</f>
        <v>+0.0 pp / +0.0 pp / -0.0 pp</v>
      </c>
    </row>
    <row r="24" customFormat="false" ht="15" hidden="false" customHeight="false" outlineLevel="0" collapsed="false">
      <c r="A24" s="10" t="n">
        <v>7</v>
      </c>
      <c r="B24" s="18" t="s">
        <v>177</v>
      </c>
      <c r="C24" s="18" t="s">
        <v>186</v>
      </c>
      <c r="D24" s="18" t="s">
        <v>187</v>
      </c>
      <c r="E24" s="18" t="s">
        <v>188</v>
      </c>
      <c r="F24" s="27" t="str">
        <f aca="false">"Jul "&amp;TEXT(B1_PreNPA_Resolution!D26,"#,##0.00;-#,##0.00;0.00")&amp;"; Aug "&amp;TEXT(B1_PreNPA_Resolution!E26,"#,##0.00;-#,##0.00;0.00")</f>
        <v>Jul 0.10; Aug 0.00</v>
      </c>
    </row>
    <row r="25" customFormat="false" ht="15" hidden="false" customHeight="false" outlineLevel="0" collapsed="false">
      <c r="A25" s="10" t="n">
        <v>8</v>
      </c>
      <c r="B25" s="18" t="s">
        <v>189</v>
      </c>
      <c r="C25" s="18" t="s">
        <v>190</v>
      </c>
      <c r="D25" s="18" t="s">
        <v>191</v>
      </c>
      <c r="E25" s="18" t="s">
        <v>192</v>
      </c>
      <c r="F25" s="27" t="str">
        <f aca="false">"Jul "&amp;TEXT(B1_PreNPA_Resolution!F11,"0.00%")&amp;" / "&amp;TEXT(B1_PreNPA_Resolution!F16,"0.00%")&amp;" / "&amp;TEXT(B1_PreNPA_Resolution!F21,"0.00%")&amp;"; Aug "&amp;TEXT(B1_PreNPA_Resolution!G11,"0.00%")&amp;" / "&amp;TEXT(B1_PreNPA_Resolution!G16,"0.00%")&amp;" / "&amp;TEXT(B1_PreNPA_Resolution!G21,"0.00%")</f>
        <v>Jul 23.40% / 9.10% / 3.50%; Aug 18.40% / 6.40% / 1.40%</v>
      </c>
    </row>
    <row r="26" customFormat="false" ht="15" hidden="false" customHeight="false" outlineLevel="0" collapsed="false">
      <c r="A26" s="10" t="n">
        <v>9</v>
      </c>
      <c r="B26" s="18" t="s">
        <v>189</v>
      </c>
      <c r="C26" s="18" t="s">
        <v>193</v>
      </c>
      <c r="D26" s="18" t="s">
        <v>194</v>
      </c>
      <c r="E26" s="18" t="s">
        <v>195</v>
      </c>
      <c r="F26" s="27" t="str">
        <f aca="false">"B1 / B2 / B3 "&amp;TEXT(B1_PreNPA_Resolution!H11,"+0.0"" pp"";-0.0"" pp"";0.0"" pp""")&amp;" / "&amp;TEXT(B1_PreNPA_Resolution!H16,"+0.0"" pp"";-0.0"" pp"";0.0"" pp""")&amp;" / "&amp;TEXT(B1_PreNPA_Resolution!H21,"+0.0"" pp"";-0.0"" pp"";0.0"" pp""")&amp;"; B1 bands "&amp;TEXT(B1_PreNPA_Resolution!H7,"+0.0"" pp"";-0.0"" pp"";0.0"" pp""")&amp;" / "&amp;TEXT(B1_PreNPA_Resolution!H8,"+0.0"" pp"";-0.0"" pp"";0.0"" pp""")&amp;" / "&amp;TEXT(B1_PreNPA_Resolution!H9,"+0.0"" pp"";-0.0"" pp"";0.0"" pp""")&amp;" / "&amp;TEXT(B1_PreNPA_Resolution!H10,"+0.0"" pp"";-0.0"" pp"";0.0"" pp""")</f>
        <v>B1 / B2 / B3 -5.0 pp / -2.7 pp / -2.0 pp; B1 bands -4.4 pp / -5.6 pp / -5.5 pp / -6.7 pp</v>
      </c>
    </row>
    <row r="27" customFormat="false" ht="15" hidden="false" customHeight="false" outlineLevel="0" collapsed="false">
      <c r="A27" s="10" t="n">
        <v>10</v>
      </c>
      <c r="B27" s="18" t="s">
        <v>189</v>
      </c>
      <c r="C27" s="18" t="s">
        <v>196</v>
      </c>
      <c r="D27" s="18" t="s">
        <v>197</v>
      </c>
      <c r="E27" s="18" t="s">
        <v>185</v>
      </c>
      <c r="F27" s="27" t="str">
        <f aca="false">"B1 "&amp;TEXT(B1_PreNPA_Resolution!K11,"+0.0"" pp"";-0.0"" pp"";0.0"" pp""")&amp;" / "&amp;TEXT(B1_PreNPA_Resolution!N11,"+0.0"" pp"";-0.0"" pp"";0.0"" pp""")&amp;" / "&amp;TEXT(B1_PreNPA_Resolution!Q11,"+0.0"" pp"";-0.0"" pp"";0.0"" pp""")&amp;"; B2 "&amp;TEXT(B1_PreNPA_Resolution!K16,"+0.0"" pp"";-0.0"" pp"";0.0"" pp""")&amp;" / "&amp;TEXT(B1_PreNPA_Resolution!N16,"+0.0"" pp"";-0.0"" pp"";0.0"" pp""")&amp;" / "&amp;TEXT(B1_PreNPA_Resolution!Q16,"+0.0"" pp"";-0.0"" pp"";0.0"" pp""")&amp;"; B3 "&amp;TEXT(B1_PreNPA_Resolution!K21,"+0.0"" pp"";-0.0"" pp"";0.0"" pp""")&amp;" / "&amp;TEXT(B1_PreNPA_Resolution!N21,"+0.0"" pp"";-0.0"" pp"";0.0"" pp""")&amp;" / "&amp;TEXT(B1_PreNPA_Resolution!Q21,"+0.0"" pp"";-0.0"" pp"";0.0"" pp""")</f>
        <v>B1 -2.7 pp / 0.0 pp / -2.3 pp; B2 -1.2 pp / -0.1 pp / -1.3 pp; B3 -0.3 pp / -0.2 pp / -1.6 pp</v>
      </c>
    </row>
    <row r="28" customFormat="false" ht="15" hidden="false" customHeight="false" outlineLevel="0" collapsed="false">
      <c r="A28" s="10" t="n">
        <v>11</v>
      </c>
      <c r="B28" s="18" t="s">
        <v>189</v>
      </c>
      <c r="C28" s="18" t="s">
        <v>198</v>
      </c>
      <c r="D28" s="18" t="s">
        <v>199</v>
      </c>
      <c r="E28" s="18" t="s">
        <v>185</v>
      </c>
      <c r="F28" s="27" t="str">
        <f aca="false">"B1 "&amp;TEXT(B1_PreNPA_Resolution!J11/B1_PreNPA_Resolution!G11,"0.0%")&amp;" / "&amp;TEXT(B1_PreNPA_Resolution!P11/B1_PreNPA_Resolution!G11,"0.0%")&amp;"; B2 "&amp;TEXT(B1_PreNPA_Resolution!J16/B1_PreNPA_Resolution!G16,"0.0%")&amp;" / "&amp;TEXT(B1_PreNPA_Resolution!P16/B1_PreNPA_Resolution!G16,"0.0%")</f>
        <v>B1 46.2% / 53.8%; B2 31.3% / 59.4%</v>
      </c>
    </row>
    <row r="29" customFormat="false" ht="15" hidden="false" customHeight="false" outlineLevel="0" collapsed="false">
      <c r="A29" s="10" t="n">
        <v>12</v>
      </c>
      <c r="B29" s="18" t="s">
        <v>189</v>
      </c>
      <c r="C29" s="18" t="s">
        <v>200</v>
      </c>
      <c r="D29" s="18" t="s">
        <v>201</v>
      </c>
      <c r="E29" s="18" t="s">
        <v>202</v>
      </c>
      <c r="F29" s="27" t="str">
        <f aca="false">"B1 "&amp;TEXT(B1_PreNPA_Resolution!G7,"0.00%")&amp;" / "&amp;TEXT(B1_PreNPA_Resolution!G8,"0.00%")&amp;" / "&amp;TEXT(B1_PreNPA_Resolution!G9,"0.00%")&amp;" / "&amp;TEXT(B1_PreNPA_Resolution!G10,"0.00%")&amp;"; B3 "&amp;TEXT(B1_PreNPA_Resolution!G17,"0.00%")&amp;" / "&amp;TEXT(B1_PreNPA_Resolution!G18,"0.00%")&amp;" / "&amp;TEXT(B1_PreNPA_Resolution!G19,"0.00%")&amp;" / "&amp;TEXT(B1_PreNPA_Resolution!G20,"0.00%")</f>
        <v>B1 21.70% / 15.90% / 15.20% / 16.00%; B3 3.60% / 1.00% / 0.50% / 0.80%</v>
      </c>
    </row>
    <row r="30" customFormat="false" ht="15" hidden="false" customHeight="false" outlineLevel="0" collapsed="false">
      <c r="A30" s="10" t="n">
        <v>13</v>
      </c>
      <c r="B30" s="18" t="s">
        <v>189</v>
      </c>
      <c r="C30" s="18" t="s">
        <v>203</v>
      </c>
      <c r="D30" s="18" t="s">
        <v>204</v>
      </c>
      <c r="E30" s="18" t="s">
        <v>205</v>
      </c>
      <c r="F30" s="27" t="str">
        <f aca="false">TEXT(B1_PreNPA_Resolution!D28,"0.00%")&amp;" → "&amp;TEXT(B1_PreNPA_Resolution!E28,"0.00%")&amp;"; Δ "&amp;TEXT(B1_PreNPA_Resolution!F28,"+0.0"" pp"";-0.0"" pp"";0.0"" pp""")</f>
        <v>15.91% → 10.24%; Δ -5.7 pp</v>
      </c>
    </row>
    <row r="31" customFormat="false" ht="15" hidden="false" customHeight="false" outlineLevel="0" collapsed="false">
      <c r="A31" s="10" t="n">
        <v>14</v>
      </c>
      <c r="B31" s="18" t="s">
        <v>189</v>
      </c>
      <c r="C31" s="18" t="s">
        <v>206</v>
      </c>
      <c r="D31" s="18" t="s">
        <v>207</v>
      </c>
      <c r="E31" s="18" t="s">
        <v>192</v>
      </c>
      <c r="F31" s="27" t="str">
        <f aca="false">"Jul "&amp;TEXT(B1_PreNPA_Resolution!U11,"#,##0.00;-#,##0.00;0.00")&amp;" / "&amp;TEXT(B1_PreNPA_Resolution!U16,"#,##0.00;-#,##0.00;0.00")&amp;" / "&amp;TEXT(B1_PreNPA_Resolution!U21,"#,##0.00;-#,##0.00;0.00")&amp;"; Aug "&amp;TEXT(B1_PreNPA_Resolution!V11,"#,##0.00;-#,##0.00;0.00")&amp;" / "&amp;TEXT(B1_PreNPA_Resolution!V16,"#,##0.00;-#,##0.00;0.00")&amp;" / "&amp;TEXT(B1_PreNPA_Resolution!V21,"#,##0.00;-#,##0.00;0.00")</f>
        <v>Jul 158.51 / 23.52 / 9.36; Aug 128.84 / 16.29 / 7.50</v>
      </c>
    </row>
    <row r="32" customFormat="false" ht="15" hidden="false" customHeight="false" outlineLevel="0" collapsed="false">
      <c r="A32" s="10" t="n">
        <v>15</v>
      </c>
      <c r="B32" s="18" t="s">
        <v>189</v>
      </c>
      <c r="C32" s="18" t="s">
        <v>208</v>
      </c>
      <c r="D32" s="18" t="s">
        <v>209</v>
      </c>
      <c r="E32" s="18" t="s">
        <v>185</v>
      </c>
      <c r="F32" s="27" t="str">
        <f aca="false">TEXT(B1_PreNPA_Resolution!W11,"#,##0.00;-#,##0.00;0.00")&amp;" / "&amp;TEXT(B1_PreNPA_Resolution!W16,"#,##0.00;-#,##0.00;0.00")&amp;" / "&amp;TEXT(B1_PreNPA_Resolution!W21,"#,##0.00;-#,##0.00;0.00")&amp;"; all "&amp;TEXT(B1_PreNPA_Resolution!E27,"#,##0.00;-#,##0.00;0.00")&amp;" vs "&amp;TEXT(B1_PreNPA_Resolution!D27,"#,##0.00;-#,##0.00;0.00")</f>
        <v>-29.67 / -7.23 / -1.86; all 152.63 vs 191.39</v>
      </c>
    </row>
    <row r="33" customFormat="false" ht="15" hidden="false" customHeight="false" outlineLevel="0" collapsed="false">
      <c r="A33" s="10" t="n">
        <v>16</v>
      </c>
      <c r="B33" s="18" t="s">
        <v>210</v>
      </c>
      <c r="C33" s="18" t="s">
        <v>211</v>
      </c>
      <c r="D33" s="18" t="s">
        <v>212</v>
      </c>
      <c r="E33" s="18" t="s">
        <v>205</v>
      </c>
      <c r="F33" s="27" t="str">
        <f aca="false">TEXT(B1_PreNPA_Resolution!D25,"#,##0.00;-#,##0.00;0.00")&amp;" → "&amp;TEXT(B1_PreNPA_Resolution!E25,"#,##0.00;-#,##0.00;0.00")&amp;"; MoM "&amp;TEXT(B1_PreNPA_Resolution!E25/B1_PreNPA_Resolution!D25-1,"+0.0%;-0.0%;0.0%")</f>
        <v>1,203.30 → 1,490.40; MoM +23.9%</v>
      </c>
    </row>
    <row r="34" customFormat="false" ht="15" hidden="false" customHeight="false" outlineLevel="0" collapsed="false">
      <c r="A34" s="10" t="n">
        <v>17</v>
      </c>
      <c r="B34" s="18" t="s">
        <v>210</v>
      </c>
      <c r="C34" s="18" t="s">
        <v>213</v>
      </c>
      <c r="D34" s="18" t="s">
        <v>214</v>
      </c>
      <c r="E34" s="18" t="s">
        <v>185</v>
      </c>
      <c r="F34" s="27" t="str">
        <f aca="false">TEXT(B1_PreNPA_Resolution!Y11,"+0.0%;-0.0%;0.0%")&amp;" / "&amp;TEXT(B1_PreNPA_Resolution!Y16,"+0.0%;-0.0%;0.0%")&amp;" / "&amp;TEXT(B1_PreNPA_Resolution!Y21,"+0.0%;-0.0%;0.0%")</f>
        <v>+3.4% / -1.5% / +100.3%</v>
      </c>
    </row>
    <row r="35" customFormat="false" ht="15" hidden="false" customHeight="false" outlineLevel="0" collapsed="false">
      <c r="A35" s="10" t="n">
        <v>18</v>
      </c>
      <c r="B35" s="18" t="s">
        <v>210</v>
      </c>
      <c r="C35" s="18" t="s">
        <v>215</v>
      </c>
      <c r="D35" s="18" t="s">
        <v>216</v>
      </c>
      <c r="E35" s="18" t="s">
        <v>205</v>
      </c>
      <c r="F35" s="27" t="str">
        <f aca="false">TEXT(B1_PreNPA_Resolution!D29,"0.0%")&amp;" → "&amp;TEXT(B1_PreNPA_Resolution!E29,"0.0%")</f>
        <v>22.2% → 35.9%</v>
      </c>
    </row>
    <row r="36" customFormat="false" ht="15" hidden="false" customHeight="false" outlineLevel="0" collapsed="false">
      <c r="A36" s="10" t="n">
        <v>19</v>
      </c>
      <c r="B36" s="18" t="s">
        <v>210</v>
      </c>
      <c r="C36" s="18" t="s">
        <v>217</v>
      </c>
      <c r="D36" s="18" t="s">
        <v>159</v>
      </c>
      <c r="E36" s="18" t="s">
        <v>202</v>
      </c>
      <c r="F36" s="27" t="str">
        <f aca="false">"B1 "&amp;TEXT(B1_PreNPA_Resolution!X7,"0.0%")&amp;" / "&amp;TEXT(B1_PreNPA_Resolution!X8,"0.0%")&amp;" / "&amp;TEXT(B1_PreNPA_Resolution!X9,"0.0%")&amp;" / "&amp;TEXT(B1_PreNPA_Resolution!X10,"0.0%")&amp;"; B3 "&amp;TEXT(B1_PreNPA_Resolution!X17,"0.0%")&amp;" / "&amp;TEXT(B1_PreNPA_Resolution!X18,"0.0%")&amp;" / "&amp;TEXT(B1_PreNPA_Resolution!X19,"0.0%")&amp;" / "&amp;TEXT(B1_PreNPA_Resolution!X20,"0.0%")</f>
        <v>B1 45.5% / 22.8% / 26.5% / 5.2%; B3 25.6% / 25.7% / 41.1% / 7.6%</v>
      </c>
    </row>
    <row r="37" customFormat="false" ht="15" hidden="false" customHeight="false" outlineLevel="0" collapsed="false">
      <c r="A37" s="10" t="n">
        <v>20</v>
      </c>
      <c r="B37" s="18" t="s">
        <v>210</v>
      </c>
      <c r="C37" s="18" t="s">
        <v>218</v>
      </c>
      <c r="D37" s="18" t="s">
        <v>219</v>
      </c>
      <c r="E37" s="18" t="s">
        <v>220</v>
      </c>
      <c r="F37" s="27" t="str">
        <f aca="false">TEXT(B1_PreNPA_Resolution!Y17,"+0.0%;-0.0%;0.0%")&amp;" / "&amp;TEXT(B1_PreNPA_Resolution!Y18,"+0.0%;-0.0%;0.0%")&amp;" / "&amp;TEXT(B1_PreNPA_Resolution!Y19,"+0.0%;-0.0%;0.0%")&amp;" / "&amp;TEXT(B1_PreNPA_Resolution!Y20,"+0.0%;-0.0%;0.0%")</f>
        <v>+52.4% / +104.5% / +145.3% / +99.0%</v>
      </c>
    </row>
    <row r="38" customFormat="false" ht="15" hidden="false" customHeight="false" outlineLevel="0" collapsed="false">
      <c r="A38" s="10" t="n">
        <v>21</v>
      </c>
      <c r="B38" s="18" t="s">
        <v>221</v>
      </c>
      <c r="C38" s="18" t="s">
        <v>222</v>
      </c>
      <c r="D38" s="18" t="s">
        <v>223</v>
      </c>
      <c r="E38" s="18" t="s">
        <v>224</v>
      </c>
      <c r="F38" s="27" t="str">
        <f aca="false">TEXT(B1_PreNPA_Resolution!F30,"+0.0"" pp"";-0.0"" pp"";0.0"" pp""")&amp;" / "&amp;TEXT(B1_PreNPA_Resolution!F31,"+0.0"" pp"";-0.0"" pp"";0.0"" pp""")&amp;" / "&amp;TEXT(B1_PreNPA_Resolution!F32,"+0.0"" pp"";-0.0"" pp"";0.0"" pp""")</f>
        <v>0.0 pp / +0.0 pp / +0.1 pp</v>
      </c>
    </row>
    <row r="39" customFormat="false" ht="15" hidden="false" customHeight="false" outlineLevel="0" collapsed="false">
      <c r="A39" s="10" t="n">
        <v>22</v>
      </c>
      <c r="B39" s="18" t="s">
        <v>225</v>
      </c>
      <c r="C39" s="18" t="s">
        <v>226</v>
      </c>
      <c r="D39" s="18" t="s">
        <v>227</v>
      </c>
      <c r="E39" s="18" t="s">
        <v>180</v>
      </c>
      <c r="F39" s="27" t="str">
        <f aca="false">TEXT(COUNTIF(B1_PreNPA_Resolution!H7:H21,"&lt;0"),"#,##0")&amp;" of 15 rows deteriorated"</f>
        <v>15 of 15 rows deteriorated</v>
      </c>
    </row>
    <row r="40" customFormat="false" ht="15" hidden="false" customHeight="false" outlineLevel="0" collapsed="false">
      <c r="A40" s="10" t="n">
        <v>23</v>
      </c>
      <c r="B40" s="18" t="s">
        <v>225</v>
      </c>
      <c r="C40" s="18" t="s">
        <v>228</v>
      </c>
      <c r="D40" s="18" t="s">
        <v>229</v>
      </c>
      <c r="E40" s="18" t="s">
        <v>230</v>
      </c>
      <c r="F40" s="18" t="s">
        <v>231</v>
      </c>
    </row>
    <row r="42" customFormat="false" ht="15" hidden="false" customHeight="false" outlineLevel="0" collapsed="false">
      <c r="A42" s="4" t="s">
        <v>2</v>
      </c>
    </row>
  </sheetData>
  <mergeCells count="8">
    <mergeCell ref="C6:F6"/>
    <mergeCell ref="C7:F7"/>
    <mergeCell ref="C8:F8"/>
    <mergeCell ref="C9:F9"/>
    <mergeCell ref="C10:F10"/>
    <mergeCell ref="C11:F11"/>
    <mergeCell ref="C12:F12"/>
    <mergeCell ref="C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16" min="3" style="1" width="12"/>
  </cols>
  <sheetData>
    <row r="1" customFormat="false" ht="17.35" hidden="false" customHeight="false" outlineLevel="0" collapsed="false">
      <c r="A1" s="2" t="s">
        <v>232</v>
      </c>
    </row>
    <row r="2" customFormat="false" ht="15" hidden="false" customHeight="false" outlineLevel="0" collapsed="false">
      <c r="A2" s="3" t="s">
        <v>233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234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customFormat="false" ht="57.45" hidden="false" customHeight="false" outlineLevel="0" collapsed="false">
      <c r="A6" s="9" t="s">
        <v>37</v>
      </c>
      <c r="B6" s="9" t="s">
        <v>39</v>
      </c>
      <c r="C6" s="9" t="s">
        <v>235</v>
      </c>
      <c r="D6" s="9" t="s">
        <v>236</v>
      </c>
      <c r="E6" s="9" t="s">
        <v>237</v>
      </c>
      <c r="F6" s="9" t="s">
        <v>238</v>
      </c>
      <c r="G6" s="9" t="s">
        <v>239</v>
      </c>
      <c r="H6" s="9" t="s">
        <v>240</v>
      </c>
      <c r="I6" s="9" t="s">
        <v>241</v>
      </c>
      <c r="J6" s="9" t="s">
        <v>242</v>
      </c>
      <c r="K6" s="9" t="s">
        <v>243</v>
      </c>
      <c r="L6" s="9" t="s">
        <v>244</v>
      </c>
      <c r="M6" s="9" t="s">
        <v>245</v>
      </c>
      <c r="N6" s="9" t="s">
        <v>246</v>
      </c>
      <c r="O6" s="9" t="s">
        <v>247</v>
      </c>
      <c r="P6" s="9" t="s">
        <v>248</v>
      </c>
    </row>
    <row r="7" customFormat="false" ht="15" hidden="false" customHeight="false" outlineLevel="0" collapsed="false">
      <c r="A7" s="10" t="n">
        <v>1</v>
      </c>
      <c r="B7" s="10" t="s">
        <v>64</v>
      </c>
      <c r="C7" s="11" t="n">
        <v>134.5</v>
      </c>
      <c r="D7" s="11" t="n">
        <v>99.3</v>
      </c>
      <c r="E7" s="11" t="n">
        <v>4.5</v>
      </c>
      <c r="F7" s="11" t="n">
        <v>3.9</v>
      </c>
      <c r="G7" s="28" t="n">
        <v>-0.63</v>
      </c>
      <c r="H7" s="15" t="n">
        <f aca="false">F7-E7</f>
        <v>-0.6</v>
      </c>
      <c r="I7" s="15" t="n">
        <f aca="false">H7-G7</f>
        <v>0.0299999999999999</v>
      </c>
      <c r="J7" s="19" t="n">
        <f aca="false">E7/C7</f>
        <v>0.033457249070632</v>
      </c>
      <c r="K7" s="19" t="n">
        <f aca="false">F7/D7</f>
        <v>0.0392749244712991</v>
      </c>
      <c r="L7" s="14" t="n">
        <f aca="false">(K7-J7)*100</f>
        <v>0.581767540066713</v>
      </c>
      <c r="M7" s="16" t="n">
        <f aca="false">D7/C7-1</f>
        <v>-0.261710037174721</v>
      </c>
      <c r="N7" s="16" t="n">
        <f aca="false">D7/D$13</f>
        <v>0.323136999674585</v>
      </c>
      <c r="O7" s="16" t="n">
        <f aca="false">F7/F$13</f>
        <v>0.464285714285714</v>
      </c>
      <c r="P7" s="15" t="n">
        <f aca="false">K7*C7</f>
        <v>5.28247734138973</v>
      </c>
    </row>
    <row r="8" customFormat="false" ht="15" hidden="false" customHeight="false" outlineLevel="0" collapsed="false">
      <c r="A8" s="10" t="n">
        <v>2</v>
      </c>
      <c r="B8" s="10" t="s">
        <v>65</v>
      </c>
      <c r="C8" s="11" t="n">
        <v>121.5</v>
      </c>
      <c r="D8" s="11" t="n">
        <v>77.7</v>
      </c>
      <c r="E8" s="11" t="n">
        <v>2.4</v>
      </c>
      <c r="F8" s="11" t="n">
        <v>2.1</v>
      </c>
      <c r="G8" s="28" t="n">
        <v>-0.27</v>
      </c>
      <c r="H8" s="15" t="n">
        <f aca="false">F8-E8</f>
        <v>-0.3</v>
      </c>
      <c r="I8" s="15" t="n">
        <f aca="false">H8-G8</f>
        <v>-0.0299999999999998</v>
      </c>
      <c r="J8" s="19" t="n">
        <f aca="false">E8/C8</f>
        <v>0.0197530864197531</v>
      </c>
      <c r="K8" s="19" t="n">
        <f aca="false">F8/D8</f>
        <v>0.027027027027027</v>
      </c>
      <c r="L8" s="14" t="n">
        <f aca="false">(K8-J8)*100</f>
        <v>0.727394060727394</v>
      </c>
      <c r="M8" s="16" t="n">
        <f aca="false">D8/C8-1</f>
        <v>-0.360493827160494</v>
      </c>
      <c r="N8" s="16" t="n">
        <f aca="false">D8/D$13</f>
        <v>0.252847380410023</v>
      </c>
      <c r="O8" s="16" t="n">
        <f aca="false">F8/F$13</f>
        <v>0.25</v>
      </c>
      <c r="P8" s="15" t="n">
        <f aca="false">K8*C8</f>
        <v>3.28378378378378</v>
      </c>
    </row>
    <row r="9" customFormat="false" ht="15" hidden="false" customHeight="false" outlineLevel="0" collapsed="false">
      <c r="A9" s="10" t="n">
        <v>3</v>
      </c>
      <c r="B9" s="10" t="s">
        <v>249</v>
      </c>
      <c r="C9" s="11" t="n">
        <v>92.8</v>
      </c>
      <c r="D9" s="11" t="n">
        <v>59</v>
      </c>
      <c r="E9" s="11" t="n">
        <v>1.6</v>
      </c>
      <c r="F9" s="11" t="n">
        <v>1.2</v>
      </c>
      <c r="G9" s="28" t="n">
        <v>-0.44</v>
      </c>
      <c r="H9" s="15" t="n">
        <f aca="false">F9-E9</f>
        <v>-0.4</v>
      </c>
      <c r="I9" s="15" t="n">
        <f aca="false">H9-G9</f>
        <v>0.0399999999999999</v>
      </c>
      <c r="J9" s="19" t="n">
        <f aca="false">E9/C9</f>
        <v>0.0172413793103448</v>
      </c>
      <c r="K9" s="19" t="n">
        <f aca="false">F9/D9</f>
        <v>0.0203389830508475</v>
      </c>
      <c r="L9" s="14" t="n">
        <f aca="false">(K9-J9)*100</f>
        <v>0.309760374050263</v>
      </c>
      <c r="M9" s="16" t="n">
        <f aca="false">D9/C9-1</f>
        <v>-0.364224137931035</v>
      </c>
      <c r="N9" s="16" t="n">
        <f aca="false">D9/D$13</f>
        <v>0.191994793361536</v>
      </c>
      <c r="O9" s="16" t="n">
        <f aca="false">F9/F$13</f>
        <v>0.142857142857143</v>
      </c>
      <c r="P9" s="15" t="n">
        <f aca="false">K9*C9</f>
        <v>1.88745762711864</v>
      </c>
    </row>
    <row r="10" customFormat="false" ht="15" hidden="false" customHeight="false" outlineLevel="0" collapsed="false">
      <c r="A10" s="10" t="n">
        <v>4</v>
      </c>
      <c r="B10" s="10" t="s">
        <v>250</v>
      </c>
      <c r="C10" s="11" t="n">
        <v>55.7</v>
      </c>
      <c r="D10" s="11" t="n">
        <v>31.2</v>
      </c>
      <c r="E10" s="11" t="n">
        <v>0.7</v>
      </c>
      <c r="F10" s="11" t="n">
        <v>0.6</v>
      </c>
      <c r="G10" s="28" t="n">
        <v>-0.14</v>
      </c>
      <c r="H10" s="15" t="n">
        <f aca="false">F10-E10</f>
        <v>-0.1</v>
      </c>
      <c r="I10" s="15" t="n">
        <f aca="false">H10-G10</f>
        <v>0.04</v>
      </c>
      <c r="J10" s="19" t="n">
        <f aca="false">E10/C10</f>
        <v>0.0125673249551167</v>
      </c>
      <c r="K10" s="19" t="n">
        <f aca="false">F10/D10</f>
        <v>0.0192307692307692</v>
      </c>
      <c r="L10" s="14" t="n">
        <f aca="false">(K10-J10)*100</f>
        <v>0.666344427565254</v>
      </c>
      <c r="M10" s="16" t="n">
        <f aca="false">D10/C10-1</f>
        <v>-0.439856373429084</v>
      </c>
      <c r="N10" s="16" t="n">
        <f aca="false">D10/D$13</f>
        <v>0.101529450048812</v>
      </c>
      <c r="O10" s="16" t="n">
        <f aca="false">F10/F$13</f>
        <v>0.0714285714285714</v>
      </c>
      <c r="P10" s="15" t="n">
        <f aca="false">K10*C10</f>
        <v>1.07115384615385</v>
      </c>
    </row>
    <row r="11" customFormat="false" ht="15" hidden="false" customHeight="false" outlineLevel="0" collapsed="false">
      <c r="A11" s="10" t="n">
        <v>5</v>
      </c>
      <c r="B11" s="10" t="s">
        <v>251</v>
      </c>
      <c r="C11" s="11" t="n">
        <v>30.4</v>
      </c>
      <c r="D11" s="11" t="n">
        <v>17.9</v>
      </c>
      <c r="E11" s="11" t="n">
        <v>0.5</v>
      </c>
      <c r="F11" s="11" t="n">
        <v>0.3</v>
      </c>
      <c r="G11" s="28" t="n">
        <v>-0.2</v>
      </c>
      <c r="H11" s="15" t="n">
        <f aca="false">F11-E11</f>
        <v>-0.2</v>
      </c>
      <c r="I11" s="15" t="n">
        <f aca="false">H11-G11</f>
        <v>0</v>
      </c>
      <c r="J11" s="19" t="n">
        <f aca="false">E11/C11</f>
        <v>0.0164473684210526</v>
      </c>
      <c r="K11" s="19" t="n">
        <f aca="false">F11/D11</f>
        <v>0.0167597765363129</v>
      </c>
      <c r="L11" s="14" t="n">
        <f aca="false">(K11-J11)*100</f>
        <v>0.0312408115260218</v>
      </c>
      <c r="M11" s="16" t="n">
        <f aca="false">D11/C11-1</f>
        <v>-0.411184210526316</v>
      </c>
      <c r="N11" s="16" t="n">
        <f aca="false">D11/D$13</f>
        <v>0.058249267816466</v>
      </c>
      <c r="O11" s="16" t="n">
        <f aca="false">F11/F$13</f>
        <v>0.0357142857142857</v>
      </c>
      <c r="P11" s="15" t="n">
        <f aca="false">K11*C11</f>
        <v>0.509497206703911</v>
      </c>
    </row>
    <row r="12" customFormat="false" ht="15" hidden="false" customHeight="false" outlineLevel="0" collapsed="false">
      <c r="A12" s="10" t="n">
        <v>6</v>
      </c>
      <c r="B12" s="10" t="s">
        <v>67</v>
      </c>
      <c r="C12" s="11" t="n">
        <v>32.3</v>
      </c>
      <c r="D12" s="11" t="n">
        <v>22.1</v>
      </c>
      <c r="E12" s="11" t="n">
        <v>0.5</v>
      </c>
      <c r="F12" s="11" t="n">
        <v>0.3</v>
      </c>
      <c r="G12" s="28" t="n">
        <v>-0.13</v>
      </c>
      <c r="H12" s="15" t="n">
        <f aca="false">F12-E12</f>
        <v>-0.2</v>
      </c>
      <c r="I12" s="15" t="n">
        <f aca="false">H12-G12</f>
        <v>-0.07</v>
      </c>
      <c r="J12" s="19" t="n">
        <f aca="false">E12/C12</f>
        <v>0.0154798761609907</v>
      </c>
      <c r="K12" s="19" t="n">
        <f aca="false">F12/D12</f>
        <v>0.0135746606334842</v>
      </c>
      <c r="L12" s="14" t="n">
        <f aca="false">(K12-J12)*100</f>
        <v>-0.190521552750655</v>
      </c>
      <c r="M12" s="16" t="n">
        <f aca="false">D12/C12-1</f>
        <v>-0.31578947368421</v>
      </c>
      <c r="N12" s="16" t="n">
        <f aca="false">D12/D$13</f>
        <v>0.0719166937845753</v>
      </c>
      <c r="O12" s="16" t="n">
        <f aca="false">F12/F$13</f>
        <v>0.0357142857142857</v>
      </c>
      <c r="P12" s="15" t="n">
        <f aca="false">K12*C12</f>
        <v>0.438461538461538</v>
      </c>
    </row>
    <row r="13" customFormat="false" ht="15" hidden="false" customHeight="false" outlineLevel="0" collapsed="false">
      <c r="A13" s="10" t="n">
        <v>7</v>
      </c>
      <c r="B13" s="17" t="s">
        <v>252</v>
      </c>
      <c r="C13" s="11" t="n">
        <v>467.2</v>
      </c>
      <c r="D13" s="11" t="n">
        <v>307.3</v>
      </c>
      <c r="E13" s="11" t="n">
        <v>10.2</v>
      </c>
      <c r="F13" s="11" t="n">
        <v>8.4</v>
      </c>
      <c r="G13" s="28" t="n">
        <v>-1.81</v>
      </c>
      <c r="H13" s="15" t="n">
        <f aca="false">F13-E13</f>
        <v>-1.8</v>
      </c>
      <c r="I13" s="15" t="n">
        <f aca="false">H13-G13</f>
        <v>0.0100000000000011</v>
      </c>
      <c r="J13" s="19" t="n">
        <f aca="false">E13/C13</f>
        <v>0.0218321917808219</v>
      </c>
      <c r="K13" s="19" t="n">
        <f aca="false">F13/D13</f>
        <v>0.0273348519362187</v>
      </c>
      <c r="L13" s="14" t="n">
        <f aca="false">(K13-J13)*100</f>
        <v>0.550266015539676</v>
      </c>
      <c r="M13" s="16" t="n">
        <f aca="false">D13/C13-1</f>
        <v>-0.342251712328767</v>
      </c>
      <c r="N13" s="16" t="n">
        <f aca="false">D13/D$13</f>
        <v>1</v>
      </c>
      <c r="O13" s="16" t="n">
        <f aca="false">F13/F$13</f>
        <v>1</v>
      </c>
      <c r="P13" s="15" t="n">
        <f aca="false">K13*C13</f>
        <v>12.7708428246014</v>
      </c>
    </row>
    <row r="14" customFormat="false" ht="15" hidden="false" customHeight="false" outlineLevel="0" collapsed="false">
      <c r="B14" s="10" t="s">
        <v>253</v>
      </c>
      <c r="C14" s="15" t="n">
        <f aca="false">SUM(C7:C12)-C13</f>
        <v>0</v>
      </c>
      <c r="D14" s="15" t="n">
        <f aca="false">SUM(D7:D12)-D13</f>
        <v>-0.100000000000023</v>
      </c>
      <c r="E14" s="15" t="n">
        <f aca="false">SUM(E7:E12)-E13</f>
        <v>0</v>
      </c>
      <c r="F14" s="15" t="n">
        <f aca="false">SUM(F7:F12)-F13</f>
        <v>0</v>
      </c>
    </row>
    <row r="15" customFormat="false" ht="15" hidden="false" customHeight="false" outlineLevel="0" collapsed="false">
      <c r="B15" s="10" t="s">
        <v>254</v>
      </c>
      <c r="K15" s="14" t="n">
        <f aca="false">(K13-SUM(F7:F12)/SUM(D7:D12))*100</f>
        <v>-0.000889806378132421</v>
      </c>
    </row>
    <row r="17" customFormat="false" ht="15" hidden="false" customHeight="false" outlineLevel="0" collapsed="false">
      <c r="A17" s="5" t="s">
        <v>255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customFormat="false" ht="57.45" hidden="false" customHeight="false" outlineLevel="0" collapsed="false">
      <c r="A18" s="9" t="s">
        <v>37</v>
      </c>
      <c r="B18" s="9" t="s">
        <v>39</v>
      </c>
      <c r="C18" s="9" t="s">
        <v>235</v>
      </c>
      <c r="D18" s="9" t="s">
        <v>236</v>
      </c>
      <c r="E18" s="9" t="s">
        <v>237</v>
      </c>
      <c r="F18" s="9" t="s">
        <v>238</v>
      </c>
      <c r="G18" s="9" t="s">
        <v>239</v>
      </c>
      <c r="H18" s="9" t="s">
        <v>240</v>
      </c>
      <c r="I18" s="9" t="s">
        <v>241</v>
      </c>
      <c r="J18" s="9" t="s">
        <v>242</v>
      </c>
      <c r="K18" s="9" t="s">
        <v>243</v>
      </c>
      <c r="L18" s="9" t="s">
        <v>244</v>
      </c>
      <c r="M18" s="9" t="s">
        <v>245</v>
      </c>
      <c r="N18" s="9" t="s">
        <v>246</v>
      </c>
      <c r="O18" s="9" t="s">
        <v>247</v>
      </c>
      <c r="P18" s="9" t="s">
        <v>248</v>
      </c>
    </row>
    <row r="19" customFormat="false" ht="15" hidden="false" customHeight="false" outlineLevel="0" collapsed="false">
      <c r="A19" s="10" t="n">
        <v>1</v>
      </c>
      <c r="B19" s="10" t="s">
        <v>64</v>
      </c>
      <c r="C19" s="11" t="n">
        <v>1638.3</v>
      </c>
      <c r="D19" s="11" t="n">
        <v>1251.5</v>
      </c>
      <c r="E19" s="11" t="n">
        <v>14.6</v>
      </c>
      <c r="F19" s="11" t="n">
        <v>14.3</v>
      </c>
      <c r="G19" s="28" t="n">
        <v>-0.29</v>
      </c>
      <c r="H19" s="15" t="n">
        <f aca="false">F19-E19</f>
        <v>-0.299999999999999</v>
      </c>
      <c r="I19" s="15" t="n">
        <f aca="false">H19-G19</f>
        <v>-0.00999999999999895</v>
      </c>
      <c r="J19" s="19" t="n">
        <f aca="false">E19/C19</f>
        <v>0.00891167673808216</v>
      </c>
      <c r="K19" s="19" t="n">
        <f aca="false">F19/D19</f>
        <v>0.0114262884538554</v>
      </c>
      <c r="L19" s="14" t="n">
        <f aca="false">(K19-J19)*100</f>
        <v>0.251461171577322</v>
      </c>
      <c r="M19" s="16" t="n">
        <f aca="false">D19/C19-1</f>
        <v>-0.236098394677409</v>
      </c>
      <c r="N19" s="16" t="n">
        <f aca="false">D19/D$25</f>
        <v>0.436549462815683</v>
      </c>
      <c r="O19" s="16" t="n">
        <f aca="false">F19/F$25</f>
        <v>0.647058823529412</v>
      </c>
      <c r="P19" s="15" t="n">
        <f aca="false">K19*C19</f>
        <v>18.7196883739513</v>
      </c>
    </row>
    <row r="20" customFormat="false" ht="15" hidden="false" customHeight="false" outlineLevel="0" collapsed="false">
      <c r="A20" s="10" t="n">
        <v>2</v>
      </c>
      <c r="B20" s="10" t="s">
        <v>65</v>
      </c>
      <c r="C20" s="11" t="n">
        <v>807.6</v>
      </c>
      <c r="D20" s="11" t="n">
        <v>719.4</v>
      </c>
      <c r="E20" s="11" t="n">
        <v>3.7</v>
      </c>
      <c r="F20" s="11" t="n">
        <v>3.9</v>
      </c>
      <c r="G20" s="28" t="n">
        <v>0.26</v>
      </c>
      <c r="H20" s="15" t="n">
        <f aca="false">F20-E20</f>
        <v>0.2</v>
      </c>
      <c r="I20" s="15" t="n">
        <f aca="false">H20-G20</f>
        <v>-0.0600000000000003</v>
      </c>
      <c r="J20" s="19" t="n">
        <f aca="false">E20/C20</f>
        <v>0.00458147597820703</v>
      </c>
      <c r="K20" s="19" t="n">
        <f aca="false">F20/D20</f>
        <v>0.00542118432026689</v>
      </c>
      <c r="L20" s="14" t="n">
        <f aca="false">(K20-J20)*100</f>
        <v>0.0839708342059856</v>
      </c>
      <c r="M20" s="16" t="n">
        <f aca="false">D20/C20-1</f>
        <v>-0.109212481426449</v>
      </c>
      <c r="N20" s="16" t="n">
        <f aca="false">D20/D$25</f>
        <v>0.25094181665969</v>
      </c>
      <c r="O20" s="16" t="n">
        <f aca="false">F20/F$25</f>
        <v>0.176470588235294</v>
      </c>
      <c r="P20" s="15" t="n">
        <f aca="false">K20*C20</f>
        <v>4.37814845704754</v>
      </c>
    </row>
    <row r="21" customFormat="false" ht="15" hidden="false" customHeight="false" outlineLevel="0" collapsed="false">
      <c r="A21" s="10" t="n">
        <v>3</v>
      </c>
      <c r="B21" s="10" t="s">
        <v>249</v>
      </c>
      <c r="C21" s="11" t="n">
        <v>465.6</v>
      </c>
      <c r="D21" s="11" t="n">
        <v>446.4</v>
      </c>
      <c r="E21" s="11" t="n">
        <v>1.7</v>
      </c>
      <c r="F21" s="11" t="n">
        <v>1.9</v>
      </c>
      <c r="G21" s="28" t="n">
        <v>0.22</v>
      </c>
      <c r="H21" s="15" t="n">
        <f aca="false">F21-E21</f>
        <v>0.2</v>
      </c>
      <c r="I21" s="15" t="n">
        <f aca="false">H21-G21</f>
        <v>-0.02</v>
      </c>
      <c r="J21" s="19" t="n">
        <f aca="false">E21/C21</f>
        <v>0.00365120274914089</v>
      </c>
      <c r="K21" s="19" t="n">
        <f aca="false">F21/D21</f>
        <v>0.00425627240143369</v>
      </c>
      <c r="L21" s="14" t="n">
        <f aca="false">(K21-J21)*100</f>
        <v>0.0605069652292799</v>
      </c>
      <c r="M21" s="16" t="n">
        <f aca="false">D21/C21-1</f>
        <v>-0.0412371134020619</v>
      </c>
      <c r="N21" s="16" t="n">
        <f aca="false">D21/D$25</f>
        <v>0.155713687735454</v>
      </c>
      <c r="O21" s="16" t="n">
        <f aca="false">F21/F$25</f>
        <v>0.085972850678733</v>
      </c>
      <c r="P21" s="15" t="n">
        <f aca="false">K21*C21</f>
        <v>1.98172043010753</v>
      </c>
    </row>
    <row r="22" customFormat="false" ht="15" hidden="false" customHeight="false" outlineLevel="0" collapsed="false">
      <c r="A22" s="10" t="n">
        <v>4</v>
      </c>
      <c r="B22" s="10" t="s">
        <v>250</v>
      </c>
      <c r="C22" s="11" t="n">
        <v>247.9</v>
      </c>
      <c r="D22" s="11" t="n">
        <v>245.7</v>
      </c>
      <c r="E22" s="11" t="n">
        <v>0.6</v>
      </c>
      <c r="F22" s="11" t="n">
        <v>1</v>
      </c>
      <c r="G22" s="28" t="n">
        <v>0.33</v>
      </c>
      <c r="H22" s="15" t="n">
        <f aca="false">F22-E22</f>
        <v>0.4</v>
      </c>
      <c r="I22" s="15" t="n">
        <f aca="false">H22-G22</f>
        <v>0.07</v>
      </c>
      <c r="J22" s="19" t="n">
        <f aca="false">E22/C22</f>
        <v>0.00242033077853973</v>
      </c>
      <c r="K22" s="19" t="n">
        <f aca="false">F22/D22</f>
        <v>0.00407000407000407</v>
      </c>
      <c r="L22" s="14" t="n">
        <f aca="false">(K22-J22)*100</f>
        <v>0.164967329146434</v>
      </c>
      <c r="M22" s="16" t="n">
        <f aca="false">D22/C22-1</f>
        <v>-0.00887454618797912</v>
      </c>
      <c r="N22" s="16" t="n">
        <f aca="false">D22/D$25</f>
        <v>0.0857053160318125</v>
      </c>
      <c r="O22" s="16" t="n">
        <f aca="false">F22/F$25</f>
        <v>0.0452488687782805</v>
      </c>
      <c r="P22" s="15" t="n">
        <f aca="false">K22*C22</f>
        <v>1.00895400895401</v>
      </c>
    </row>
    <row r="23" customFormat="false" ht="15" hidden="false" customHeight="false" outlineLevel="0" collapsed="false">
      <c r="A23" s="10" t="n">
        <v>5</v>
      </c>
      <c r="B23" s="10" t="s">
        <v>251</v>
      </c>
      <c r="C23" s="11" t="n">
        <v>130.1</v>
      </c>
      <c r="D23" s="11" t="n">
        <v>133.2</v>
      </c>
      <c r="E23" s="11" t="n">
        <v>0.6</v>
      </c>
      <c r="F23" s="11" t="n">
        <v>0.5</v>
      </c>
      <c r="G23" s="28" t="n">
        <v>-0.04</v>
      </c>
      <c r="H23" s="15" t="n">
        <f aca="false">F23-E23</f>
        <v>-0.1</v>
      </c>
      <c r="I23" s="15" t="n">
        <f aca="false">H23-G23</f>
        <v>-0.06</v>
      </c>
      <c r="J23" s="19" t="n">
        <f aca="false">E23/C23</f>
        <v>0.00461183704842429</v>
      </c>
      <c r="K23" s="19" t="n">
        <f aca="false">F23/D23</f>
        <v>0.00375375375375375</v>
      </c>
      <c r="L23" s="14" t="n">
        <f aca="false">(K23-J23)*100</f>
        <v>-0.0858083294670535</v>
      </c>
      <c r="M23" s="16" t="n">
        <f aca="false">D23/C23-1</f>
        <v>0.0238278247501922</v>
      </c>
      <c r="N23" s="16" t="n">
        <f aca="false">D23/D$25</f>
        <v>0.0464629552113855</v>
      </c>
      <c r="O23" s="16" t="n">
        <f aca="false">F23/F$25</f>
        <v>0.0226244343891403</v>
      </c>
      <c r="P23" s="15" t="n">
        <f aca="false">K23*C23</f>
        <v>0.488363363363363</v>
      </c>
    </row>
    <row r="24" customFormat="false" ht="15" hidden="false" customHeight="false" outlineLevel="0" collapsed="false">
      <c r="A24" s="10" t="n">
        <v>6</v>
      </c>
      <c r="B24" s="10" t="s">
        <v>67</v>
      </c>
      <c r="C24" s="11" t="n">
        <v>70.5</v>
      </c>
      <c r="D24" s="11" t="n">
        <v>70.6</v>
      </c>
      <c r="E24" s="11" t="n">
        <v>0.2</v>
      </c>
      <c r="F24" s="11" t="n">
        <v>0.4</v>
      </c>
      <c r="G24" s="28" t="n">
        <v>0.19</v>
      </c>
      <c r="H24" s="15" t="n">
        <f aca="false">F24-E24</f>
        <v>0.2</v>
      </c>
      <c r="I24" s="15" t="n">
        <f aca="false">H24-G24</f>
        <v>0.01</v>
      </c>
      <c r="J24" s="19" t="n">
        <f aca="false">E24/C24</f>
        <v>0.00283687943262411</v>
      </c>
      <c r="K24" s="19" t="n">
        <f aca="false">F24/D24</f>
        <v>0.0056657223796034</v>
      </c>
      <c r="L24" s="14" t="n">
        <f aca="false">(K24-J24)*100</f>
        <v>0.282884294697929</v>
      </c>
      <c r="M24" s="16" t="n">
        <f aca="false">D24/C24-1</f>
        <v>0.00141843971631195</v>
      </c>
      <c r="N24" s="16" t="n">
        <f aca="false">D24/D$25</f>
        <v>0.0246267615459746</v>
      </c>
      <c r="O24" s="16" t="n">
        <f aca="false">F24/F$25</f>
        <v>0.0180995475113122</v>
      </c>
      <c r="P24" s="15" t="n">
        <f aca="false">K24*C24</f>
        <v>0.39943342776204</v>
      </c>
    </row>
    <row r="25" customFormat="false" ht="15" hidden="false" customHeight="false" outlineLevel="0" collapsed="false">
      <c r="A25" s="10" t="n">
        <v>7</v>
      </c>
      <c r="B25" s="17" t="s">
        <v>256</v>
      </c>
      <c r="C25" s="11" t="n">
        <v>3360</v>
      </c>
      <c r="D25" s="11" t="n">
        <v>2866.8</v>
      </c>
      <c r="E25" s="11" t="n">
        <v>21.4</v>
      </c>
      <c r="F25" s="11" t="n">
        <v>22.1</v>
      </c>
      <c r="G25" s="28" t="n">
        <v>0.67</v>
      </c>
      <c r="H25" s="15" t="n">
        <f aca="false">F25-E25</f>
        <v>0.700000000000003</v>
      </c>
      <c r="I25" s="15" t="n">
        <f aca="false">H25-G25</f>
        <v>0.0300000000000028</v>
      </c>
      <c r="J25" s="19" t="n">
        <f aca="false">E25/C25</f>
        <v>0.00636904761904762</v>
      </c>
      <c r="K25" s="19" t="n">
        <f aca="false">F25/D25</f>
        <v>0.00770894377005721</v>
      </c>
      <c r="L25" s="14" t="n">
        <f aca="false">(K25-J25)*100</f>
        <v>0.133989615100959</v>
      </c>
      <c r="M25" s="16" t="n">
        <f aca="false">D25/C25-1</f>
        <v>-0.146785714285714</v>
      </c>
      <c r="N25" s="16" t="n">
        <f aca="false">D25/D$25</f>
        <v>1</v>
      </c>
      <c r="O25" s="16" t="n">
        <f aca="false">F25/F$25</f>
        <v>1</v>
      </c>
      <c r="P25" s="15" t="n">
        <f aca="false">K25*C25</f>
        <v>25.9020510673922</v>
      </c>
    </row>
    <row r="26" customFormat="false" ht="15" hidden="false" customHeight="false" outlineLevel="0" collapsed="false">
      <c r="B26" s="10" t="s">
        <v>253</v>
      </c>
      <c r="C26" s="15" t="n">
        <f aca="false">SUM(C19:C24)-C25</f>
        <v>0</v>
      </c>
      <c r="D26" s="15" t="n">
        <f aca="false">SUM(D19:D24)-D25</f>
        <v>0</v>
      </c>
      <c r="E26" s="15" t="n">
        <f aca="false">SUM(E19:E24)-E25</f>
        <v>0</v>
      </c>
      <c r="F26" s="15" t="n">
        <f aca="false">SUM(F19:F24)-F25</f>
        <v>-0.100000000000001</v>
      </c>
    </row>
    <row r="27" customFormat="false" ht="15" hidden="false" customHeight="false" outlineLevel="0" collapsed="false">
      <c r="B27" s="10" t="s">
        <v>254</v>
      </c>
      <c r="K27" s="14" t="n">
        <f aca="false">(K25-SUM(F19:F24)/SUM(D19:D24))*100</f>
        <v>0.00348820985070454</v>
      </c>
    </row>
    <row r="30" customFormat="false" ht="15" hidden="false" customHeight="false" outlineLevel="0" collapsed="false">
      <c r="A30" s="5" t="s">
        <v>87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customFormat="false" ht="23.85" hidden="false" customHeight="false" outlineLevel="0" collapsed="false">
      <c r="A31" s="9" t="s">
        <v>37</v>
      </c>
      <c r="B31" s="9" t="s">
        <v>88</v>
      </c>
      <c r="C31" s="9" t="s">
        <v>89</v>
      </c>
      <c r="D31" s="9" t="s">
        <v>90</v>
      </c>
      <c r="E31" s="9" t="s">
        <v>91</v>
      </c>
    </row>
    <row r="32" customFormat="false" ht="79.85" hidden="false" customHeight="false" outlineLevel="0" collapsed="false">
      <c r="A32" s="10" t="n">
        <v>1</v>
      </c>
      <c r="B32" s="20" t="s">
        <v>257</v>
      </c>
      <c r="C32" s="14" t="n">
        <f aca="false">L13</f>
        <v>0.550266015539676</v>
      </c>
      <c r="D32" s="10" t="s">
        <v>101</v>
      </c>
      <c r="E32" s="18" t="s">
        <v>258</v>
      </c>
    </row>
    <row r="33" customFormat="false" ht="57.45" hidden="false" customHeight="false" outlineLevel="0" collapsed="false">
      <c r="A33" s="10" t="n">
        <v>2</v>
      </c>
      <c r="B33" s="20" t="s">
        <v>259</v>
      </c>
      <c r="C33" s="14" t="n">
        <f aca="false">L25</f>
        <v>0.133989615100959</v>
      </c>
      <c r="D33" s="10" t="s">
        <v>101</v>
      </c>
      <c r="E33" s="18" t="s">
        <v>260</v>
      </c>
    </row>
    <row r="34" customFormat="false" ht="46.25" hidden="false" customHeight="false" outlineLevel="0" collapsed="false">
      <c r="A34" s="10" t="n">
        <v>3</v>
      </c>
      <c r="B34" s="20" t="s">
        <v>261</v>
      </c>
      <c r="C34" s="15" t="n">
        <f aca="false">MAX(ABS(MIN(I7:I13)),MAX(I7:I13),ABS(MIN(I19:I25)),MAX(I19:I25))</f>
        <v>0.07</v>
      </c>
      <c r="D34" s="10" t="s">
        <v>129</v>
      </c>
      <c r="E34" s="18" t="s">
        <v>262</v>
      </c>
    </row>
    <row r="35" customFormat="false" ht="15" hidden="false" customHeight="false" outlineLevel="0" collapsed="false">
      <c r="A35" s="10" t="n">
        <v>4</v>
      </c>
      <c r="B35" s="20" t="s">
        <v>263</v>
      </c>
      <c r="C35" s="15" t="n">
        <f aca="false">MAX(ABS(MIN(C14:F14)),MAX(C14:F14),ABS(MIN(C26:F26)),MAX(C26:F26))</f>
        <v>0.100000000000023</v>
      </c>
      <c r="D35" s="10" t="s">
        <v>129</v>
      </c>
      <c r="E35" s="18" t="s">
        <v>264</v>
      </c>
    </row>
    <row r="36" customFormat="false" ht="57.45" hidden="false" customHeight="false" outlineLevel="0" collapsed="false">
      <c r="A36" s="10" t="n">
        <v>5</v>
      </c>
      <c r="B36" s="20" t="s">
        <v>265</v>
      </c>
      <c r="C36" s="19" t="n">
        <f aca="false">K7</f>
        <v>0.0392749244712991</v>
      </c>
      <c r="D36" s="10" t="s">
        <v>93</v>
      </c>
      <c r="E36" s="18" t="s">
        <v>266</v>
      </c>
    </row>
    <row r="37" customFormat="false" ht="35.05" hidden="false" customHeight="false" outlineLevel="0" collapsed="false">
      <c r="A37" s="10" t="n">
        <v>6</v>
      </c>
      <c r="B37" s="20" t="s">
        <v>267</v>
      </c>
      <c r="C37" s="15" t="n">
        <f aca="false">H13</f>
        <v>-1.8</v>
      </c>
      <c r="D37" s="10" t="s">
        <v>129</v>
      </c>
      <c r="E37" s="18" t="s">
        <v>268</v>
      </c>
    </row>
    <row r="39" customFormat="false" ht="15" hidden="false" customHeight="false" outlineLevel="0" collapsed="false">
      <c r="A39" s="5" t="s">
        <v>269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1" customFormat="false" ht="15" hidden="false" customHeight="false" outlineLevel="0" collapsed="false">
      <c r="A41" s="5" t="s">
        <v>109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customFormat="false" ht="23.85" hidden="false" customHeight="false" outlineLevel="0" collapsed="false">
      <c r="A42" s="9" t="s">
        <v>37</v>
      </c>
      <c r="B42" s="9" t="s">
        <v>110</v>
      </c>
      <c r="C42" s="9" t="s">
        <v>111</v>
      </c>
      <c r="D42" s="9" t="s">
        <v>112</v>
      </c>
      <c r="E42" s="9" t="s">
        <v>113</v>
      </c>
      <c r="F42" s="9" t="s">
        <v>90</v>
      </c>
      <c r="G42" s="9" t="s">
        <v>114</v>
      </c>
    </row>
    <row r="43" customFormat="false" ht="46.25" hidden="false" customHeight="false" outlineLevel="0" collapsed="false">
      <c r="A43" s="10" t="n">
        <v>1</v>
      </c>
      <c r="B43" s="17" t="s">
        <v>115</v>
      </c>
      <c r="C43" s="18" t="s">
        <v>270</v>
      </c>
      <c r="D43" s="18" t="s">
        <v>117</v>
      </c>
      <c r="E43" s="23" t="n">
        <f aca="false">D13</f>
        <v>307.3</v>
      </c>
      <c r="F43" s="10"/>
      <c r="G43" s="18"/>
    </row>
    <row r="44" customFormat="false" ht="68.65" hidden="false" customHeight="false" outlineLevel="0" collapsed="false">
      <c r="A44" s="10" t="n">
        <v>2</v>
      </c>
      <c r="B44" s="17" t="s">
        <v>115</v>
      </c>
      <c r="C44" s="18" t="s">
        <v>271</v>
      </c>
      <c r="D44" s="18" t="s">
        <v>117</v>
      </c>
      <c r="E44" s="23" t="n">
        <f aca="false">F25</f>
        <v>22.1</v>
      </c>
      <c r="F44" s="10"/>
      <c r="G44" s="18"/>
    </row>
    <row r="45" customFormat="false" ht="57.45" hidden="false" customHeight="false" outlineLevel="0" collapsed="false">
      <c r="A45" s="10" t="n">
        <v>3</v>
      </c>
      <c r="B45" s="17" t="s">
        <v>115</v>
      </c>
      <c r="C45" s="18" t="s">
        <v>272</v>
      </c>
      <c r="D45" s="18" t="s">
        <v>117</v>
      </c>
      <c r="E45" s="23" t="n">
        <f aca="false">C19</f>
        <v>1638.3</v>
      </c>
      <c r="F45" s="10"/>
      <c r="G45" s="18"/>
    </row>
    <row r="46" customFormat="false" ht="46.25" hidden="false" customHeight="false" outlineLevel="0" collapsed="false">
      <c r="A46" s="10" t="n">
        <v>4</v>
      </c>
      <c r="B46" s="17" t="s">
        <v>120</v>
      </c>
      <c r="C46" s="18" t="s">
        <v>273</v>
      </c>
      <c r="D46" s="18" t="s">
        <v>274</v>
      </c>
      <c r="E46" s="19" t="n">
        <f aca="false">K13</f>
        <v>0.0273348519362187</v>
      </c>
      <c r="F46" s="10" t="s">
        <v>93</v>
      </c>
      <c r="G46" s="18"/>
    </row>
    <row r="47" customFormat="false" ht="46.25" hidden="false" customHeight="false" outlineLevel="0" collapsed="false">
      <c r="A47" s="10" t="n">
        <v>5</v>
      </c>
      <c r="B47" s="17" t="s">
        <v>120</v>
      </c>
      <c r="C47" s="18" t="s">
        <v>275</v>
      </c>
      <c r="D47" s="18" t="s">
        <v>274</v>
      </c>
      <c r="E47" s="19" t="n">
        <f aca="false">K25</f>
        <v>0.00770894377005721</v>
      </c>
      <c r="F47" s="10" t="s">
        <v>93</v>
      </c>
      <c r="G47" s="18"/>
    </row>
    <row r="48" customFormat="false" ht="57.45" hidden="false" customHeight="false" outlineLevel="0" collapsed="false">
      <c r="A48" s="10" t="n">
        <v>6</v>
      </c>
      <c r="B48" s="17" t="s">
        <v>120</v>
      </c>
      <c r="C48" s="18" t="s">
        <v>276</v>
      </c>
      <c r="D48" s="18" t="s">
        <v>277</v>
      </c>
      <c r="E48" s="16" t="n">
        <f aca="false">N7</f>
        <v>0.323136999674585</v>
      </c>
      <c r="F48" s="10" t="s">
        <v>93</v>
      </c>
      <c r="G48" s="18"/>
    </row>
    <row r="49" customFormat="false" ht="46.25" hidden="false" customHeight="false" outlineLevel="0" collapsed="false">
      <c r="A49" s="10" t="n">
        <v>7</v>
      </c>
      <c r="B49" s="17" t="s">
        <v>120</v>
      </c>
      <c r="C49" s="18" t="s">
        <v>278</v>
      </c>
      <c r="D49" s="18" t="s">
        <v>279</v>
      </c>
      <c r="E49" s="16" t="n">
        <f aca="false">M13</f>
        <v>-0.342251712328767</v>
      </c>
      <c r="F49" s="10" t="s">
        <v>93</v>
      </c>
      <c r="G49" s="18"/>
    </row>
    <row r="50" customFormat="false" ht="113.4" hidden="false" customHeight="false" outlineLevel="0" collapsed="false">
      <c r="A50" s="10" t="n">
        <v>8</v>
      </c>
      <c r="B50" s="17" t="s">
        <v>130</v>
      </c>
      <c r="C50" s="18" t="s">
        <v>280</v>
      </c>
      <c r="D50" s="18" t="s">
        <v>281</v>
      </c>
      <c r="E50" s="15" t="n">
        <f aca="false">P13</f>
        <v>12.7708428246014</v>
      </c>
      <c r="F50" s="10" t="s">
        <v>129</v>
      </c>
      <c r="G50" s="18" t="s">
        <v>282</v>
      </c>
    </row>
    <row r="51" customFormat="false" ht="124.6" hidden="false" customHeight="false" outlineLevel="0" collapsed="false">
      <c r="A51" s="10" t="n">
        <v>9</v>
      </c>
      <c r="B51" s="17" t="s">
        <v>130</v>
      </c>
      <c r="C51" s="18" t="s">
        <v>283</v>
      </c>
      <c r="D51" s="18" t="s">
        <v>284</v>
      </c>
      <c r="E51" s="22" t="str">
        <f aca="false">INDEX(B19:B24,MATCH(MAX(L19:L24),L19:L24,0))</f>
        <v>&gt;5L</v>
      </c>
      <c r="F51" s="10" t="s">
        <v>106</v>
      </c>
      <c r="G51" s="18" t="s">
        <v>285</v>
      </c>
    </row>
    <row r="52" customFormat="false" ht="79.85" hidden="false" customHeight="false" outlineLevel="0" collapsed="false">
      <c r="A52" s="10" t="n">
        <v>10</v>
      </c>
      <c r="B52" s="17" t="s">
        <v>130</v>
      </c>
      <c r="C52" s="18" t="s">
        <v>286</v>
      </c>
      <c r="D52" s="18" t="s">
        <v>287</v>
      </c>
      <c r="E52" s="15" t="n">
        <f aca="false">MAX(ABS(MIN(I7:I13)),MAX(I7:I13),ABS(MIN(I19:I25)),MAX(I19:I25),ABS(K15),ABS(K27))</f>
        <v>0.07</v>
      </c>
      <c r="F52" s="10" t="s">
        <v>129</v>
      </c>
      <c r="G52" s="18" t="s">
        <v>288</v>
      </c>
    </row>
    <row r="54" customFormat="false" ht="15" hidden="false" customHeight="false" outlineLevel="0" collapsed="false">
      <c r="A54" s="5" t="s">
        <v>140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customFormat="false" ht="69.75" hidden="false" customHeight="true" outlineLevel="0" collapsed="false">
      <c r="A55" s="24" t="s">
        <v>289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7" customFormat="false" ht="15" hidden="false" customHeight="false" outlineLevel="0" collapsed="false">
      <c r="A57" s="4" t="s">
        <v>2</v>
      </c>
    </row>
  </sheetData>
  <mergeCells count="1">
    <mergeCell ref="A55:T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24"/>
    <col collapsed="false" customWidth="true" hidden="false" outlineLevel="0" max="6" min="6" style="1" width="78"/>
  </cols>
  <sheetData>
    <row r="1" customFormat="false" ht="17.35" hidden="false" customHeight="false" outlineLevel="0" collapsed="false">
      <c r="A1" s="2" t="s">
        <v>290</v>
      </c>
    </row>
    <row r="2" customFormat="false" ht="15" hidden="false" customHeight="false" outlineLevel="0" collapsed="false">
      <c r="A2" s="3" t="s">
        <v>143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144</v>
      </c>
      <c r="B5" s="6"/>
      <c r="C5" s="6"/>
      <c r="D5" s="6"/>
      <c r="E5" s="6"/>
      <c r="F5" s="6"/>
    </row>
    <row r="6" customFormat="false" ht="15" hidden="false" customHeight="false" outlineLevel="0" collapsed="false">
      <c r="B6" s="25" t="s">
        <v>145</v>
      </c>
      <c r="C6" s="25" t="s">
        <v>146</v>
      </c>
      <c r="D6" s="25"/>
      <c r="E6" s="25"/>
      <c r="F6" s="25"/>
    </row>
    <row r="7" customFormat="false" ht="15" hidden="false" customHeight="true" outlineLevel="0" collapsed="false">
      <c r="B7" s="17" t="s">
        <v>291</v>
      </c>
      <c r="C7" s="18" t="s">
        <v>292</v>
      </c>
      <c r="D7" s="18"/>
      <c r="E7" s="18"/>
      <c r="F7" s="18"/>
    </row>
    <row r="8" customFormat="false" ht="15" hidden="false" customHeight="true" outlineLevel="0" collapsed="false">
      <c r="B8" s="17" t="s">
        <v>293</v>
      </c>
      <c r="C8" s="18" t="s">
        <v>294</v>
      </c>
      <c r="D8" s="18"/>
      <c r="E8" s="18"/>
      <c r="F8" s="18"/>
    </row>
    <row r="9" customFormat="false" ht="15" hidden="false" customHeight="true" outlineLevel="0" collapsed="false">
      <c r="B9" s="17" t="s">
        <v>151</v>
      </c>
      <c r="C9" s="18" t="s">
        <v>295</v>
      </c>
      <c r="D9" s="18"/>
      <c r="E9" s="18"/>
      <c r="F9" s="18"/>
    </row>
    <row r="10" customFormat="false" ht="15" hidden="false" customHeight="true" outlineLevel="0" collapsed="false">
      <c r="B10" s="17" t="s">
        <v>296</v>
      </c>
      <c r="C10" s="18" t="s">
        <v>297</v>
      </c>
      <c r="D10" s="18"/>
      <c r="E10" s="18"/>
      <c r="F10" s="18"/>
    </row>
    <row r="11" customFormat="false" ht="15" hidden="false" customHeight="true" outlineLevel="0" collapsed="false">
      <c r="B11" s="17" t="s">
        <v>298</v>
      </c>
      <c r="C11" s="18" t="s">
        <v>299</v>
      </c>
      <c r="D11" s="18"/>
      <c r="E11" s="18"/>
      <c r="F11" s="18"/>
    </row>
    <row r="12" customFormat="false" ht="15" hidden="false" customHeight="true" outlineLevel="0" collapsed="false">
      <c r="B12" s="17" t="s">
        <v>300</v>
      </c>
      <c r="C12" s="18" t="s">
        <v>301</v>
      </c>
      <c r="D12" s="18"/>
      <c r="E12" s="18"/>
      <c r="F12" s="18"/>
    </row>
    <row r="13" customFormat="false" ht="15" hidden="false" customHeight="true" outlineLevel="0" collapsed="false">
      <c r="B13" s="17" t="s">
        <v>302</v>
      </c>
      <c r="C13" s="18" t="s">
        <v>303</v>
      </c>
      <c r="D13" s="18"/>
      <c r="E13" s="18"/>
      <c r="F13" s="18"/>
    </row>
    <row r="14" customFormat="false" ht="15" hidden="false" customHeight="false" outlineLevel="0" collapsed="false">
      <c r="B14" s="26" t="s">
        <v>304</v>
      </c>
    </row>
    <row r="16" customFormat="false" ht="15" hidden="false" customHeight="false" outlineLevel="0" collapsed="false">
      <c r="A16" s="5" t="s">
        <v>162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9" t="s">
        <v>37</v>
      </c>
      <c r="B17" s="9" t="s">
        <v>163</v>
      </c>
      <c r="C17" s="9" t="s">
        <v>164</v>
      </c>
      <c r="D17" s="9" t="s">
        <v>165</v>
      </c>
      <c r="E17" s="9" t="s">
        <v>166</v>
      </c>
      <c r="F17" s="9" t="s">
        <v>167</v>
      </c>
    </row>
    <row r="18" customFormat="false" ht="23.85" hidden="false" customHeight="false" outlineLevel="0" collapsed="false">
      <c r="A18" s="10" t="n">
        <v>1</v>
      </c>
      <c r="B18" s="18" t="s">
        <v>168</v>
      </c>
      <c r="C18" s="18" t="s">
        <v>305</v>
      </c>
      <c r="D18" s="18" t="s">
        <v>306</v>
      </c>
      <c r="E18" s="18" t="s">
        <v>307</v>
      </c>
      <c r="F18" s="27" t="str">
        <f aca="false">"NPA total "&amp;TEXT(B2_NPA_TWO_Recovery!C13,"#,##0.0")&amp;" / "&amp;TEXT(B2_NPA_TWO_Recovery!D13,"#,##0.0")&amp;" / "&amp;TEXT(B2_NPA_TWO_Recovery!E13,"#,##0.0")&amp;" / "&amp;TEXT(B2_NPA_TWO_Recovery!F13,"#,##0.0")&amp;"; TWO total "&amp;TEXT(B2_NPA_TWO_Recovery!C25,"#,##0.0")&amp;" / "&amp;TEXT(B2_NPA_TWO_Recovery!D25,"#,##0.0")&amp;" / "&amp;TEXT(B2_NPA_TWO_Recovery!E25,"#,##0.0")&amp;" / "&amp;TEXT(B2_NPA_TWO_Recovery!F25,"#,##0.0")</f>
        <v>NPA total 467.2 / 307.3 / 10.2 / 8.4; TWO total 3,360.0 / 2,866.8 / 21.4 / 22.1</v>
      </c>
    </row>
    <row r="19" customFormat="false" ht="15" hidden="false" customHeight="false" outlineLevel="0" collapsed="false">
      <c r="A19" s="10" t="n">
        <v>2</v>
      </c>
      <c r="B19" s="18" t="s">
        <v>177</v>
      </c>
      <c r="C19" s="18" t="s">
        <v>308</v>
      </c>
      <c r="D19" s="18" t="s">
        <v>309</v>
      </c>
      <c r="E19" s="18" t="s">
        <v>310</v>
      </c>
      <c r="F19" s="27" t="str">
        <f aca="false">"NPA "&amp;TEXT(B2_NPA_TWO_Recovery!I7,"#,##0.00;-#,##0.00;0.00")&amp;" / "&amp;TEXT(B2_NPA_TWO_Recovery!I8,"#,##0.00;-#,##0.00;0.00")&amp;" / "&amp;TEXT(B2_NPA_TWO_Recovery!I9,"#,##0.00;-#,##0.00;0.00")&amp;" / "&amp;TEXT(B2_NPA_TWO_Recovery!I10,"#,##0.00;-#,##0.00;0.00")&amp;" / "&amp;TEXT(B2_NPA_TWO_Recovery!I11,"#,##0.00;-#,##0.00;0.00")&amp;" / "&amp;TEXT(B2_NPA_TWO_Recovery!I12,"#,##0.00;-#,##0.00;0.00")&amp;" / "&amp;TEXT(B2_NPA_TWO_Recovery!I13,"#,##0.00;-#,##0.00;0.00")&amp;"; TWO max "&amp;TEXT(MAX(ABS(MIN(B2_NPA_TWO_Recovery!I19:I25)),MAX(B2_NPA_TWO_Recovery!I19:I25)),"#,##0.00;-#,##0.00;0.00")</f>
        <v>NPA 0.03 / -0.03 / 0.04 / 0.04 / 0.00 / -0.07 / 0.01; TWO max 0.07</v>
      </c>
    </row>
    <row r="20" customFormat="false" ht="15" hidden="false" customHeight="false" outlineLevel="0" collapsed="false">
      <c r="A20" s="10" t="n">
        <v>3</v>
      </c>
      <c r="B20" s="18" t="s">
        <v>177</v>
      </c>
      <c r="C20" s="18" t="s">
        <v>311</v>
      </c>
      <c r="D20" s="18" t="s">
        <v>187</v>
      </c>
      <c r="E20" s="18" t="s">
        <v>312</v>
      </c>
      <c r="F20" s="27" t="str">
        <f aca="false">"NPA "&amp;TEXT(B2_NPA_TWO_Recovery!C14,"#,##0.00;-#,##0.00;0.00")&amp;" / "&amp;TEXT(B2_NPA_TWO_Recovery!D14,"#,##0.00;-#,##0.00;0.00")&amp;" / "&amp;TEXT(B2_NPA_TWO_Recovery!E14,"#,##0.00;-#,##0.00;0.00")&amp;" / "&amp;TEXT(B2_NPA_TWO_Recovery!F14,"#,##0.00;-#,##0.00;0.00")&amp;"; TWO "&amp;TEXT(B2_NPA_TWO_Recovery!C26,"#,##0.00;-#,##0.00;0.00")&amp;" / "&amp;TEXT(B2_NPA_TWO_Recovery!D26,"#,##0.00;-#,##0.00;0.00")&amp;" / "&amp;TEXT(B2_NPA_TWO_Recovery!E26,"#,##0.00;-#,##0.00;0.00")&amp;" / "&amp;TEXT(B2_NPA_TWO_Recovery!F26,"#,##0.00;-#,##0.00;0.00")</f>
        <v>NPA 0.00 / -0.10 / 0.00 / 0.00; TWO 0.00 / 0.00 / 0.00 / -0.10</v>
      </c>
    </row>
    <row r="21" customFormat="false" ht="15" hidden="false" customHeight="false" outlineLevel="0" collapsed="false">
      <c r="A21" s="10" t="n">
        <v>4</v>
      </c>
      <c r="B21" s="18" t="s">
        <v>177</v>
      </c>
      <c r="C21" s="18" t="s">
        <v>313</v>
      </c>
      <c r="D21" s="18" t="s">
        <v>314</v>
      </c>
      <c r="E21" s="18" t="s">
        <v>315</v>
      </c>
      <c r="F21" s="27" t="str">
        <f aca="false">"NPA "&amp;TEXT(B2_NPA_TWO_Recovery!K15,"+0.0"" pp"";-0.0"" pp"";0.0"" pp""")&amp;"; TWO "&amp;TEXT(B2_NPA_TWO_Recovery!K27,"+0.0"" pp"";-0.0"" pp"";0.0"" pp""")</f>
        <v>NPA -0.0 pp; TWO +0.0 pp</v>
      </c>
    </row>
    <row r="22" customFormat="false" ht="15" hidden="false" customHeight="false" outlineLevel="0" collapsed="false">
      <c r="A22" s="10" t="n">
        <v>5</v>
      </c>
      <c r="B22" s="18" t="s">
        <v>316</v>
      </c>
      <c r="C22" s="18" t="s">
        <v>317</v>
      </c>
      <c r="D22" s="18" t="s">
        <v>318</v>
      </c>
      <c r="E22" s="18" t="s">
        <v>315</v>
      </c>
      <c r="F22" s="27" t="str">
        <f aca="false">"NPA "&amp;TEXT(B2_NPA_TWO_Recovery!J13,"0.00%")&amp;" → "&amp;TEXT(B2_NPA_TWO_Recovery!K13,"0.00%")&amp;"; TWO "&amp;TEXT(B2_NPA_TWO_Recovery!J25,"0.00%")&amp;" → "&amp;TEXT(B2_NPA_TWO_Recovery!K25,"0.00%")</f>
        <v>NPA 2.18% → 2.73%; TWO 0.64% → 0.77%</v>
      </c>
    </row>
    <row r="23" customFormat="false" ht="15" hidden="false" customHeight="false" outlineLevel="0" collapsed="false">
      <c r="A23" s="10" t="n">
        <v>6</v>
      </c>
      <c r="B23" s="18" t="s">
        <v>316</v>
      </c>
      <c r="C23" s="18" t="s">
        <v>319</v>
      </c>
      <c r="D23" s="18" t="s">
        <v>320</v>
      </c>
      <c r="E23" s="18" t="s">
        <v>321</v>
      </c>
      <c r="F23" s="27" t="str">
        <f aca="false">"NPA "&amp;TEXT(B2_NPA_TWO_Recovery!L13,"+0.0"" pp"";-0.0"" pp"";0.0"" pp""")&amp;"; TWO "&amp;TEXT(B2_NPA_TWO_Recovery!L25,"+0.0"" pp"";-0.0"" pp"";0.0"" pp""")&amp;"; NPA &lt; 1L "&amp;TEXT(B2_NPA_TWO_Recovery!L7,"+0.0"" pp"";-0.0"" pp"";0.0"" pp""")&amp;"; TWO 3L–4L "&amp;TEXT(B2_NPA_TWO_Recovery!L22,"+0.0"" pp"";-0.0"" pp"";0.0"" pp""")</f>
        <v>NPA +0.6 pp; TWO +0.1 pp; NPA &lt; 1L +0.6 pp; TWO 3L–4L +0.2 pp</v>
      </c>
    </row>
    <row r="24" customFormat="false" ht="23.85" hidden="false" customHeight="false" outlineLevel="0" collapsed="false">
      <c r="A24" s="10" t="n">
        <v>7</v>
      </c>
      <c r="B24" s="18" t="s">
        <v>316</v>
      </c>
      <c r="C24" s="18" t="s">
        <v>322</v>
      </c>
      <c r="D24" s="18" t="s">
        <v>323</v>
      </c>
      <c r="E24" s="18" t="s">
        <v>202</v>
      </c>
      <c r="F24" s="27" t="str">
        <f aca="false">"NPA "&amp;TEXT(B2_NPA_TWO_Recovery!K7,"0.00%")&amp;" / "&amp;TEXT(B2_NPA_TWO_Recovery!K8,"0.00%")&amp;" / "&amp;TEXT(B2_NPA_TWO_Recovery!K9,"0.00%")&amp;" / "&amp;TEXT(B2_NPA_TWO_Recovery!K10,"0.00%")&amp;" / "&amp;TEXT(B2_NPA_TWO_Recovery!K11,"0.00%")&amp;" / "&amp;TEXT(B2_NPA_TWO_Recovery!K12,"0.00%")&amp;"; TWO "&amp;TEXT(B2_NPA_TWO_Recovery!K19,"0.00%")&amp;" / "&amp;TEXT(B2_NPA_TWO_Recovery!K20,"0.00%")&amp;" / "&amp;TEXT(B2_NPA_TWO_Recovery!K21,"0.00%")&amp;" / "&amp;TEXT(B2_NPA_TWO_Recovery!K22,"0.00%")&amp;" / "&amp;TEXT(B2_NPA_TWO_Recovery!K23,"0.00%")&amp;" / "&amp;TEXT(B2_NPA_TWO_Recovery!K24,"0.00%")</f>
        <v>NPA 3.93% / 2.70% / 2.03% / 1.92% / 1.68% / 1.36%; TWO 1.14% / 0.54% / 0.43% / 0.41% / 0.38% / 0.57%</v>
      </c>
    </row>
    <row r="25" customFormat="false" ht="15" hidden="false" customHeight="false" outlineLevel="0" collapsed="false">
      <c r="A25" s="10" t="n">
        <v>8</v>
      </c>
      <c r="B25" s="18" t="s">
        <v>316</v>
      </c>
      <c r="C25" s="18" t="s">
        <v>324</v>
      </c>
      <c r="D25" s="18" t="s">
        <v>325</v>
      </c>
      <c r="E25" s="18" t="s">
        <v>315</v>
      </c>
      <c r="F25" s="27" t="str">
        <f aca="false">"NPA "&amp;TEXT(B2_NPA_TWO_Recovery!K13*12,"0.0%")&amp;"; TWO "&amp;TEXT(B2_NPA_TWO_Recovery!K25*12,"0.0%")</f>
        <v>NPA 32.8%; TWO 9.3%</v>
      </c>
    </row>
    <row r="26" customFormat="false" ht="15" hidden="false" customHeight="false" outlineLevel="0" collapsed="false">
      <c r="A26" s="10" t="n">
        <v>9</v>
      </c>
      <c r="B26" s="18" t="s">
        <v>316</v>
      </c>
      <c r="C26" s="18" t="s">
        <v>326</v>
      </c>
      <c r="D26" s="18" t="s">
        <v>327</v>
      </c>
      <c r="E26" s="18" t="s">
        <v>315</v>
      </c>
      <c r="F26" s="27" t="str">
        <f aca="false">"NPA "&amp;TEXT(B2_NPA_TWO_Recovery!P13,"#,##0.00;-#,##0.00;0.00")&amp;" vs actual Jul "&amp;TEXT(B2_NPA_TWO_Recovery!E13,"#,##0.00;-#,##0.00;0.00")&amp;"; TWO "&amp;TEXT(B2_NPA_TWO_Recovery!P25,"#,##0.00;-#,##0.00;0.00")&amp;" vs "&amp;TEXT(B2_NPA_TWO_Recovery!E25,"#,##0.00;-#,##0.00;0.00")</f>
        <v>NPA 12.77 vs actual Jul 10.20; TWO 25.90 vs 21.40</v>
      </c>
    </row>
    <row r="27" customFormat="false" ht="23.85" hidden="false" customHeight="false" outlineLevel="0" collapsed="false">
      <c r="A27" s="10" t="n">
        <v>10</v>
      </c>
      <c r="B27" s="18" t="s">
        <v>316</v>
      </c>
      <c r="C27" s="18" t="s">
        <v>328</v>
      </c>
      <c r="D27" s="18" t="s">
        <v>329</v>
      </c>
      <c r="E27" s="18" t="s">
        <v>315</v>
      </c>
      <c r="F27" s="27" t="str">
        <f aca="false">"NPA pool "&amp;TEXT((B2_NPA_TWO_Recovery!D13-B2_NPA_TWO_Recovery!C13)*B2_NPA_TWO_Recovery!J13,"#,##0.00;-#,##0.00;0.00")&amp;" / rate "&amp;TEXT(B2_NPA_TWO_Recovery!H13-(B2_NPA_TWO_Recovery!D13-B2_NPA_TWO_Recovery!C13)*B2_NPA_TWO_Recovery!J13,"#,##0.00;-#,##0.00;0.00")&amp;"; TWO pool "&amp;TEXT((B2_NPA_TWO_Recovery!D25-B2_NPA_TWO_Recovery!C25)*B2_NPA_TWO_Recovery!J25,"#,##0.00;-#,##0.00;0.00")&amp;" / rate "&amp;TEXT(B2_NPA_TWO_Recovery!H25-(B2_NPA_TWO_Recovery!D25-B2_NPA_TWO_Recovery!C25)*B2_NPA_TWO_Recovery!J25,"#,##0.00;-#,##0.00;0.00")</f>
        <v>NPA pool -3.49 / rate 1.69; TWO pool -3.14 / rate 3.84</v>
      </c>
    </row>
    <row r="28" customFormat="false" ht="15" hidden="false" customHeight="false" outlineLevel="0" collapsed="false">
      <c r="A28" s="10" t="n">
        <v>11</v>
      </c>
      <c r="B28" s="18" t="s">
        <v>210</v>
      </c>
      <c r="C28" s="18" t="s">
        <v>330</v>
      </c>
      <c r="D28" s="18" t="s">
        <v>331</v>
      </c>
      <c r="E28" s="18" t="s">
        <v>332</v>
      </c>
      <c r="F28" s="27" t="str">
        <f aca="false">"NPA "&amp;TEXT(B2_NPA_TWO_Recovery!M13,"+0.0%;-0.0%;0.0%")&amp;"; TWO "&amp;TEXT(B2_NPA_TWO_Recovery!M25,"+0.0%;-0.0%;0.0%")&amp;"; NPA &lt; 1L "&amp;TEXT(B2_NPA_TWO_Recovery!M7,"+0.0%;-0.0%;0.0%")&amp;"; NPA 3L–4L "&amp;TEXT(B2_NPA_TWO_Recovery!M10,"+0.0%;-0.0%;0.0%")</f>
        <v>NPA -34.2%; TWO -14.7%; NPA &lt; 1L -26.2%; NPA 3L–4L -44.0%</v>
      </c>
    </row>
    <row r="29" customFormat="false" ht="15" hidden="false" customHeight="false" outlineLevel="0" collapsed="false">
      <c r="A29" s="10" t="n">
        <v>12</v>
      </c>
      <c r="B29" s="18" t="s">
        <v>210</v>
      </c>
      <c r="C29" s="18" t="s">
        <v>333</v>
      </c>
      <c r="D29" s="18" t="s">
        <v>334</v>
      </c>
      <c r="E29" s="18" t="s">
        <v>202</v>
      </c>
      <c r="F29" s="27" t="str">
        <f aca="false">"NPA &lt; 1L "&amp;TEXT(B2_NPA_TWO_Recovery!N7,"0.0%")&amp;" / "&amp;TEXT(B2_NPA_TWO_Recovery!O7,"0.0%")&amp;"; TWO &lt; 1L "&amp;TEXT(B2_NPA_TWO_Recovery!N19,"0.0%")&amp;" / "&amp;TEXT(B2_NPA_TWO_Recovery!O19,"0.0%")</f>
        <v>NPA &lt; 1L 32.3% / 46.4%; TWO &lt; 1L 43.7% / 64.7%</v>
      </c>
    </row>
    <row r="30" customFormat="false" ht="15" hidden="false" customHeight="false" outlineLevel="0" collapsed="false">
      <c r="A30" s="10" t="n">
        <v>13</v>
      </c>
      <c r="B30" s="18" t="s">
        <v>210</v>
      </c>
      <c r="C30" s="18" t="s">
        <v>335</v>
      </c>
      <c r="D30" s="18" t="s">
        <v>336</v>
      </c>
      <c r="E30" s="18" t="s">
        <v>205</v>
      </c>
      <c r="F30" s="27" t="str">
        <f aca="false">TEXT(B2_NPA_TWO_Recovery!C25/B2_NPA_TWO_Recovery!C13,"0.00""x""")&amp;" → "&amp;TEXT(B2_NPA_TWO_Recovery!D25/B2_NPA_TWO_Recovery!D13,"0.00""x""")</f>
        <v>7.19x → 9.33x</v>
      </c>
    </row>
    <row r="31" customFormat="false" ht="15" hidden="false" customHeight="false" outlineLevel="0" collapsed="false">
      <c r="A31" s="10" t="n">
        <v>14</v>
      </c>
      <c r="B31" s="18" t="s">
        <v>337</v>
      </c>
      <c r="C31" s="18" t="s">
        <v>338</v>
      </c>
      <c r="D31" s="18" t="s">
        <v>339</v>
      </c>
      <c r="E31" s="18" t="s">
        <v>315</v>
      </c>
      <c r="F31" s="27" t="str">
        <f aca="false">"NPA "&amp;TEXT(B2_NPA_TWO_Recovery!O7,"0.0%")&amp;"; TWO "&amp;TEXT(B2_NPA_TWO_Recovery!O19,"0.0%")</f>
        <v>NPA 46.4%; TWO 64.7%</v>
      </c>
    </row>
    <row r="32" customFormat="false" ht="15" hidden="false" customHeight="false" outlineLevel="0" collapsed="false">
      <c r="A32" s="10" t="n">
        <v>15</v>
      </c>
      <c r="B32" s="18" t="s">
        <v>221</v>
      </c>
      <c r="C32" s="18" t="s">
        <v>340</v>
      </c>
      <c r="D32" s="18" t="s">
        <v>341</v>
      </c>
      <c r="E32" s="18" t="s">
        <v>342</v>
      </c>
      <c r="F32" s="27" t="str">
        <f aca="false">"NPA "&amp;TEXT(B2_NPA_TWO_Recovery!H13,"#,##0.00;-#,##0.00;0.00")&amp;"; TWO "&amp;TEXT(B2_NPA_TWO_Recovery!H25,"#,##0.00;-#,##0.00;0.00")</f>
        <v>NPA -1.80; TWO 0.70</v>
      </c>
    </row>
    <row r="33" customFormat="false" ht="15" hidden="false" customHeight="false" outlineLevel="0" collapsed="false">
      <c r="A33" s="10" t="n">
        <v>16</v>
      </c>
      <c r="B33" s="18" t="s">
        <v>225</v>
      </c>
      <c r="C33" s="18" t="s">
        <v>343</v>
      </c>
      <c r="D33" s="18" t="s">
        <v>344</v>
      </c>
      <c r="E33" s="18" t="s">
        <v>230</v>
      </c>
      <c r="F33" s="27" t="str">
        <f aca="false">TEXT(B2_NPA_TWO_Recovery!M13,"+0.0%;-0.0%;0.0%")&amp;" — reason (write-off / upgrade / sale) not on page; refresh after the 10th per note"</f>
        <v>-34.2% — reason (write-off / upgrade / sale) not on page; refresh after the 10th per note</v>
      </c>
    </row>
    <row r="35" customFormat="false" ht="15" hidden="false" customHeight="false" outlineLevel="0" collapsed="false">
      <c r="A35" s="4" t="s">
        <v>2</v>
      </c>
    </row>
  </sheetData>
  <mergeCells count="8">
    <mergeCell ref="C6:F6"/>
    <mergeCell ref="C7:F7"/>
    <mergeCell ref="C8:F8"/>
    <mergeCell ref="C9:F9"/>
    <mergeCell ref="C10:F10"/>
    <mergeCell ref="C11:F11"/>
    <mergeCell ref="C12:F12"/>
    <mergeCell ref="C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2026-10-12T09:05:14Z</dcterms:created>
  <dc:creator>openpyxl</dc:creator>
  <dc:description/>
  <dc:language>en-US</dc:language>
  <cp:lastModifiedBy/>
  <dcterms:modified xsi:type="dcterms:W3CDTF">2026-10-12T09:05:15Z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