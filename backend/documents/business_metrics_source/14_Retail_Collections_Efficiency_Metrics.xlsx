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1_Bounce_Allocation" sheetId="2" state="visible" r:id="rId4"/>
    <sheet name="B1_Metrics" sheetId="3" state="visible" r:id="rId5"/>
    <sheet name="B2_NPA_Vintage" sheetId="4" state="visible" r:id="rId6"/>
    <sheet name="B2_Metr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<sst xmlns="http://schemas.openxmlformats.org/spreadsheetml/2006/main" count="683" uniqueCount="464">
  <si>
    <t xml:space="preserve">RBL Bank — Retail Assets Collections Efficiency (daily snapshot, 23-Aug-2026): page-wise metric extraction</t>
  </si>
  <si>
    <t xml:space="preserve">Source: 14_Retail_Assets_Collections_Efficiency.pdf (1 page, 6 tables) | counts, ₹ Cr, % | data as on 23-08-2026, base data Aug-2026</t>
  </si>
  <si>
    <t xml:space="preserve">⚠ DRAFT ONLY — Requires review and approval by a qualified Alvarez and Marsal professional before use.</t>
  </si>
  <si>
    <t xml:space="preserve">Sheet map</t>
  </si>
  <si>
    <t xml:space="preserve">B1_Bounce_Allocation</t>
  </si>
  <si>
    <t xml:space="preserve">Block 1 — bounce KPI strip, allocation-team resolution (same-day vs previous months and EOM, with target), 6-month resolution trend</t>
  </si>
  <si>
    <t xml:space="preserve">B1_Metrics</t>
  </si>
  <si>
    <t xml:space="preserve">Notation + metrics for Block 1</t>
  </si>
  <si>
    <t xml:space="preserve">B2_NPA_Vintage</t>
  </si>
  <si>
    <t xml:space="preserve">Block 2 — NPA recovery / upgrade by DPD bucket and Tech-off, vintage view, 6-month NPA ROR% trend</t>
  </si>
  <si>
    <t xml:space="preserve">B2_Metrics</t>
  </si>
  <si>
    <t xml:space="preserve">Notation + metrics for Block 2</t>
  </si>
  <si>
    <t xml:space="preserve">Colour legend</t>
  </si>
  <si>
    <t xml:space="preserve">Blue text</t>
  </si>
  <si>
    <t xml:space="preserve">Hard-coded input transcribed from the PDF</t>
  </si>
  <si>
    <t xml:space="preserve">Blue italic on grey</t>
  </si>
  <si>
    <t xml:space="preserve">Budget / projected value (ᴾ) transcribed from the PDF</t>
  </si>
  <si>
    <t xml:space="preserve">Black text</t>
  </si>
  <si>
    <t xml:space="preserve">Formula on the same sheet</t>
  </si>
  <si>
    <t xml:space="preserve">Green text</t>
  </si>
  <si>
    <t xml:space="preserve">Link to another sheet</t>
  </si>
  <si>
    <t xml:space="preserve">Yellow fill</t>
  </si>
  <si>
    <t xml:space="preserve">Data flag to review</t>
  </si>
  <si>
    <t xml:space="preserve">Key assumptions (confirm with client)</t>
  </si>
  <si>
    <t xml:space="preserve">1</t>
  </si>
  <si>
    <t xml:space="preserve">'Same Day Previous Months' = resolution achieved by the 23rd of Mar / Jun / Jul; 'EOM' = full-month resolution. The current-month % RES (to 23-Aug) is therefore compared with the same-day columns, not with EOM.</t>
  </si>
  <si>
    <t xml:space="preserve">2</t>
  </si>
  <si>
    <t xml:space="preserve">% RES = RES POS ÷ POS; STAB% + RB% + NORM% = % RES; NR+RB% = NORM% + RB%. Verified live for all rows.</t>
  </si>
  <si>
    <t xml:space="preserve">3</t>
  </si>
  <si>
    <t xml:space="preserve">In the NPA table, ROR% = (Reco + Upg ₹) ÷ POS ₹; Reco + Upg = Reco + Upg in both # and ₹. The 6-month 'NPA ROR%' trend uses a different base from the EOM % in the NPA table (e.g. DPD &lt;=90 Jul: 8.21% vs 8.86%) — flagged.</t>
  </si>
  <si>
    <t xml:space="preserve">4</t>
  </si>
  <si>
    <t xml:space="preserve">Vintage-table same-day % totals (0.92 / 1.20 / 1.10) differ from the NPA-table same-day % totals (1.31 / 1.95 / 1.68) although EOM totals agree — two bases on one page; flagged.</t>
  </si>
  <si>
    <t xml:space="preserve">5</t>
  </si>
  <si>
    <t xml:space="preserve">Percentages in brackets on the page (e.g. '(2.61%)') are formatting, not negatives; values are read as positive rates.</t>
  </si>
  <si>
    <t xml:space="preserve">Confidentiality</t>
  </si>
  <si>
    <t xml:space="preserve">Client-confidential RBL Bank data (retail-assets collections).</t>
  </si>
  <si>
    <t xml:space="preserve">Block 1 — Bounce KPIs, allocation-team resolution and 6-month resolution trend</t>
  </si>
  <si>
    <t xml:space="preserve">Source: Retail Assets – Collections Efficiency.pdf | counts, ₹ Cr, % | as on 23-08-2026</t>
  </si>
  <si>
    <t xml:space="preserve">A. Bounce KPI strip (blue) with derived ratios</t>
  </si>
  <si>
    <t xml:space="preserve">#</t>
  </si>
  <si>
    <t xml:space="preserve">KPI</t>
  </si>
  <si>
    <t xml:space="preserve">Value</t>
  </si>
  <si>
    <t xml:space="preserve">Unit</t>
  </si>
  <si>
    <t xml:space="preserve">Derived</t>
  </si>
  <si>
    <t xml:space="preserve">Total Book #</t>
  </si>
  <si>
    <t xml:space="preserve">count</t>
  </si>
  <si>
    <t xml:space="preserve">Current book share of total (#)</t>
  </si>
  <si>
    <t xml:space="preserve">Total Book ₹ Cr</t>
  </si>
  <si>
    <t xml:space="preserve">₹ Cr</t>
  </si>
  <si>
    <t xml:space="preserve">Current book share of total (₹)</t>
  </si>
  <si>
    <t xml:space="preserve">Current Book #</t>
  </si>
  <si>
    <t xml:space="preserve">Book ATS total (₹ lakh)</t>
  </si>
  <si>
    <t xml:space="preserve">Current Book ₹ Cr</t>
  </si>
  <si>
    <t xml:space="preserve">Book ATS current (₹ lakh)</t>
  </si>
  <si>
    <t xml:space="preserve">Bounce # (%)</t>
  </si>
  <si>
    <t xml:space="preserve">%</t>
  </si>
  <si>
    <t xml:space="preserve">Bounced ₹ Cr implied = Current book ₹ × Bounce ₹ %</t>
  </si>
  <si>
    <t xml:space="preserve">Bounce ₹ (%)</t>
  </si>
  <si>
    <t xml:space="preserve">Bounced # implied = Current book # × Bounce # %</t>
  </si>
  <si>
    <t xml:space="preserve">Not-to-be-Present ratio</t>
  </si>
  <si>
    <t xml:space="preserve">Implied bounced ATS (₹ lakh)</t>
  </si>
  <si>
    <t xml:space="preserve">EOM bounce rate Mar-26</t>
  </si>
  <si>
    <t xml:space="preserve">Bounce ₹ % vs EOM Jul (pp)</t>
  </si>
  <si>
    <t xml:space="preserve">EOM bounce rate Jun-26</t>
  </si>
  <si>
    <t xml:space="preserve">EOM bounce drift Mar → Jul (pp)</t>
  </si>
  <si>
    <t xml:space="preserve">EOM bounce rate Jul-26</t>
  </si>
  <si>
    <t xml:space="preserve">Best month (label)</t>
  </si>
  <si>
    <t xml:space="preserve">Sept-25</t>
  </si>
  <si>
    <t xml:space="preserve">text</t>
  </si>
  <si>
    <t xml:space="preserve">B. Allocation-team resolution (blue) with live checks — current = to 23-Aug-26</t>
  </si>
  <si>
    <t xml:space="preserve">Allocation team</t>
  </si>
  <si>
    <t xml:space="preserve"># accounts</t>
  </si>
  <si>
    <t xml:space="preserve">POS ₹ Cr</t>
  </si>
  <si>
    <t xml:space="preserve">RES #</t>
  </si>
  <si>
    <t xml:space="preserve">RES POS ₹ Cr</t>
  </si>
  <si>
    <t xml:space="preserve">STAB %</t>
  </si>
  <si>
    <t xml:space="preserve">RB %</t>
  </si>
  <si>
    <t xml:space="preserve">NORM %</t>
  </si>
  <si>
    <t xml:space="preserve">NR+RB %</t>
  </si>
  <si>
    <t xml:space="preserve">% RES</t>
  </si>
  <si>
    <t xml:space="preserve">Target %</t>
  </si>
  <si>
    <t xml:space="preserve">Same-day Mar</t>
  </si>
  <si>
    <t xml:space="preserve">Same-day Jun</t>
  </si>
  <si>
    <t xml:space="preserve">Same-day Jul</t>
  </si>
  <si>
    <t xml:space="preserve">EOM Mar</t>
  </si>
  <si>
    <t xml:space="preserve">EOM Jun</t>
  </si>
  <si>
    <t xml:space="preserve">EOM Jul</t>
  </si>
  <si>
    <t xml:space="preserve">% RES computed</t>
  </si>
  <si>
    <t xml:space="preserve">Check RES (pp)</t>
  </si>
  <si>
    <t xml:space="preserve">Check STAB+RB+NORM (pp)</t>
  </si>
  <si>
    <t xml:space="preserve">Check NR+RB (pp)</t>
  </si>
  <si>
    <t xml:space="preserve">Current vs same-day Jul (pp)</t>
  </si>
  <si>
    <t xml:space="preserve">Current vs same-day avg (pp)</t>
  </si>
  <si>
    <t xml:space="preserve">Gap to target (pp)</t>
  </si>
  <si>
    <t xml:space="preserve">Jul same-day → EOM uplift (pp)</t>
  </si>
  <si>
    <t xml:space="preserve">Implied EOM at Jul uplift</t>
  </si>
  <si>
    <t xml:space="preserve">Resolution by # (RES # ÷ #)</t>
  </si>
  <si>
    <t xml:space="preserve">ATS ₹ lakh</t>
  </si>
  <si>
    <t xml:space="preserve">Unresolved POS ₹ Cr</t>
  </si>
  <si>
    <t xml:space="preserve">Digital Collection (incl. Field Referred)</t>
  </si>
  <si>
    <t xml:space="preserve">Telecalling (incl. Field Referred)</t>
  </si>
  <si>
    <t xml:space="preserve">Telecalling (excl. Field Referred)</t>
  </si>
  <si>
    <t xml:space="preserve">Sales</t>
  </si>
  <si>
    <t xml:space="preserve">Field Tele Employee (FTE)</t>
  </si>
  <si>
    <t xml:space="preserve">Field (Day1)</t>
  </si>
  <si>
    <t xml:space="preserve">Field (TC Ref)</t>
  </si>
  <si>
    <t xml:space="preserve">B1</t>
  </si>
  <si>
    <t xml:space="preserve">B2</t>
  </si>
  <si>
    <t xml:space="preserve">B3</t>
  </si>
  <si>
    <t xml:space="preserve">B1 + B2 + B3: POS / RES POS / blended % RES / unresolved</t>
  </si>
  <si>
    <t xml:space="preserve">Σ channel rows (Digital … Field TC Ref) POS vs B1 POS — channels are a different cut</t>
  </si>
  <si>
    <t xml:space="preserve">C. Resolution — last 6 months (blue, EOM %)</t>
  </si>
  <si>
    <t xml:space="preserve">Team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</si>
  <si>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</si>
  <si>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</si>
  <si>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</si>
  <si>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</si>
  <si>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</si>
  <si>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</si>
  <si>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Jul vs Jun (pp)</t>
  </si>
  <si>
    <t xml:space="preserve">Jul vs Feb (pp)</t>
  </si>
  <si>
    <t xml:space="preserve">6M avg</t>
  </si>
  <si>
    <t xml:space="preserve">6M min</t>
  </si>
  <si>
    <t xml:space="preserve">6M max</t>
  </si>
  <si>
    <t xml:space="preserve">Jul rank in 6M (1 = best)</t>
  </si>
  <si>
    <t xml:space="preserve">Check vs EOM Jul in table B (pp)</t>
  </si>
  <si>
    <t xml:space="preserve">A. Digital Collection (incl. Field Referred)</t>
  </si>
  <si>
    <t xml:space="preserve">B. Telecalling (incl. Field Referred)</t>
  </si>
  <si>
    <t xml:space="preserve">C. Telecalling (excl. Field Referred)</t>
  </si>
  <si>
    <t xml:space="preserve">D. Sales</t>
  </si>
  <si>
    <t xml:space="preserve">E. Field Total (F+G)</t>
  </si>
  <si>
    <t xml:space="preserve">F. Field (Day1)</t>
  </si>
  <si>
    <t xml:space="preserve">G. Field (TC Ref)</t>
  </si>
  <si>
    <t xml:space="preserve">H. B1</t>
  </si>
  <si>
    <t xml:space="preserve">I. B2</t>
  </si>
  <si>
    <t xml:space="preserve">K. B3</t>
  </si>
  <si>
    <t xml:space="preserve">Data points to flag before metrics (live checks)</t>
  </si>
  <si>
    <t xml:space="preserve">Flag</t>
  </si>
  <si>
    <t xml:space="preserve">Check value (live)</t>
  </si>
  <si>
    <t xml:space="preserve">Implication / action</t>
  </si>
  <si>
    <t xml:space="preserve">Current-month % RES (to 23-Aug) is below the same-day level of July for B1 by</t>
  </si>
  <si>
    <t xml:space="preserve">pp</t>
  </si>
  <si>
    <t xml:space="preserve">At the same point in the month, B1 is resolving 8 pp less than in July; B2 and B3 are also behind.</t>
  </si>
  <si>
    <t xml:space="preserve">Implied EOM for B1 if July's same-day → EOM uplift repeats:</t>
  </si>
  <si>
    <t xml:space="preserve">Below the 97.79% target by ~7 pp; B2 (implied ~75%) and B3 (~76%) would miss their 86–89% targets by 11–14 pp.</t>
  </si>
  <si>
    <t xml:space="preserve">B2 and B3 resolution is almost entirely stabilisation (minimum-dues), not normalisation: NORM 1.78% / 0.94%.</t>
  </si>
  <si>
    <t xml:space="preserve">Once past 30 dpd, customers are barely curing — same pattern as the MFI and card pages.</t>
  </si>
  <si>
    <t xml:space="preserve">Channel rows overlap each other (Telecalling incl./excl., Field total / Day1 / TC Ref) and are a different cut from the B1–B3 bucket rows (Σ channel POS ₹2,371 Cr vs B1 POS ₹1,232 Cr); do not add them.</t>
  </si>
  <si>
    <t xml:space="preserve">Treat the two row groups separately.</t>
  </si>
  <si>
    <t xml:space="preserve">Table identities hold: % RES = RES POS ÷ POS; STAB + RB + NORM = % RES; NR+RB = NORM + RB; 6-month EOM Jul = table-B EOM Jul (max gap, pp):</t>
  </si>
  <si>
    <t xml:space="preserve">Page is internally consistent.</t>
  </si>
  <si>
    <t xml:space="preserve">EOM bounce rate has drifted up three months running (7.25% → 7.32% → 7.64%); current-month ₹ bounce is 6.94% with a week to go.</t>
  </si>
  <si>
    <t xml:space="preserve">Bounce is trending the wrong way; Sept-25 remains the best month.</t>
  </si>
  <si>
    <t xml:space="preserve">B3 EOM resolution fell to 83.8% in July, its worst month in six.</t>
  </si>
  <si>
    <t xml:space="preserve">Rank 6 of 6 — late-bucket cure weakening.</t>
  </si>
  <si>
    <t xml:space="preserve">Notation and exhaustive metrics table for this block: see sheet B1_Metrics</t>
  </si>
  <si>
    <t xml:space="preserve">10-question test set (3 Low / 4 Medium / 3 High) — expected answers are live formulas</t>
  </si>
  <si>
    <t xml:space="preserve">Level</t>
  </si>
  <si>
    <t xml:space="preserve">Question</t>
  </si>
  <si>
    <t xml:space="preserve">Calculation</t>
  </si>
  <si>
    <t xml:space="preserve">Expected answer (live)</t>
  </si>
  <si>
    <t xml:space="preserve">So what</t>
  </si>
  <si>
    <t xml:space="preserve">Low</t>
  </si>
  <si>
    <t xml:space="preserve">What is the current book ₹ at Aug-26 base?</t>
  </si>
  <si>
    <t xml:space="preserve">Lookup</t>
  </si>
  <si>
    <t xml:space="preserve">What is B1 % RES to 23-Aug?</t>
  </si>
  <si>
    <t xml:space="preserve">What was Digital Collection EOM resolution in Jul-26?</t>
  </si>
  <si>
    <t xml:space="preserve">Medium</t>
  </si>
  <si>
    <t xml:space="preserve">What is the bounce rate by ₹ vs by count, and the implied bounced ATS (₹ lakh)?</t>
  </si>
  <si>
    <t xml:space="preserve">Current ₹ × ₹% ÷ (Current # × #%)</t>
  </si>
  <si>
    <t xml:space="preserve">₹ lakh</t>
  </si>
  <si>
    <t xml:space="preserve">How far is B2 from its target at the same-day point (pp)?</t>
  </si>
  <si>
    <t xml:space="preserve">% RES − Target</t>
  </si>
  <si>
    <t xml:space="preserve">What is the blended B1–B3 resolution to date?</t>
  </si>
  <si>
    <t xml:space="preserve">Σ RES POS ÷ Σ POS</t>
  </si>
  <si>
    <t xml:space="preserve">Which team has the best 6-month average EOM resolution?</t>
  </si>
  <si>
    <t xml:space="preserve">MAX of averages</t>
  </si>
  <si>
    <t xml:space="preserve">High</t>
  </si>
  <si>
    <t xml:space="preserve">Compare each bucket's current % RES with the average of the three same-day months — which bucket is furthest behind?</t>
  </si>
  <si>
    <t xml:space="preserve">MIN of (current − same-day avg)</t>
  </si>
  <si>
    <t xml:space="preserve">B1 is ~6 pp behind its usual same-day pace; B2 ~8 pp.</t>
  </si>
  <si>
    <t xml:space="preserve">Project EOM for B1, B2, B3 at July's same-day → EOM uplift and test against targets.</t>
  </si>
  <si>
    <t xml:space="preserve">Implied EOM − Target (B2)</t>
  </si>
  <si>
    <t xml:space="preserve">B2 would miss by ~14 pp, B3 by ~11 pp and even B1 by ~7 pp if the August pace does not recover.</t>
  </si>
  <si>
    <t xml:space="preserve">How much POS is still unresolved across B1–B3 with a week left?</t>
  </si>
  <si>
    <t xml:space="preserve">Σ POS − Σ RES POS</t>
  </si>
  <si>
    <t xml:space="preserve">₹705 Cr, of which ₹483 Cr in B1 — the money to chase in the last week.</t>
  </si>
  <si>
    <t xml:space="preserve">What this page cannot support (feeds the data request)</t>
  </si>
  <si>
    <t xml:space="preserve">Not derivable: account-level ageing, product split (filters at ALL), cash collected vs promise-to-pay, daily trajectory within the month, the EOM outcome for August, the Best-month value, and why channel and bucket pools differ.</t>
  </si>
  <si>
    <t xml:space="preserve">Bounce and allocation-team resolution: notation and metrics</t>
  </si>
  <si>
    <t xml:space="preserve">Format: Notation → Exhaustive metrics table | Example column = live Excel formula on the block sheet (green = cross-sheet)</t>
  </si>
  <si>
    <t xml:space="preserve">Notation</t>
  </si>
  <si>
    <t xml:space="preserve">Symbol</t>
  </si>
  <si>
    <t xml:space="preserve">Meaning</t>
  </si>
  <si>
    <t xml:space="preserve">N(t), POS(t)</t>
  </si>
  <si>
    <t xml:space="preserve">Accounts and principal outstanding ₹ Cr allocated to team / bucket t</t>
  </si>
  <si>
    <t xml:space="preserve">RESN, RESPOS</t>
  </si>
  <si>
    <t xml:space="preserve">Resolved accounts and resolved POS to date (23-Aug)</t>
  </si>
  <si>
    <t xml:space="preserve">RES%</t>
  </si>
  <si>
    <t xml:space="preserve">RESPOS ÷ POS = STAB + RB + NORM</t>
  </si>
  <si>
    <t xml:space="preserve">STAB / RB / NORM</t>
  </si>
  <si>
    <t xml:space="preserve">Stabilised (minimum due) / rolled back / normalised shares of POS</t>
  </si>
  <si>
    <t xml:space="preserve">T</t>
  </si>
  <si>
    <t xml:space="preserve">Target RES%</t>
  </si>
  <si>
    <t xml:space="preserve">SD(m)</t>
  </si>
  <si>
    <t xml:space="preserve">Resolution at the same day (23rd) of month m, m ∈ {Mar, Jun, Jul}</t>
  </si>
  <si>
    <t xml:space="preserve">EOM(m)</t>
  </si>
  <si>
    <t xml:space="preserve">Full-month resolution of month m</t>
  </si>
  <si>
    <t xml:space="preserve">U</t>
  </si>
  <si>
    <t xml:space="preserve">Uplift = EOM(Jul) − SD(Jul); implied EOM = RES% + U</t>
  </si>
  <si>
    <t xml:space="preserve">Bounce</t>
  </si>
  <si>
    <t xml:space="preserve">Bounce # % and ₹ % on the current book; NTP = not-to-be-present ratio</t>
  </si>
  <si>
    <t xml:space="preserve">R6(t,m)</t>
  </si>
  <si>
    <t xml:space="preserve">6-month EOM resolution trend Feb–Jul</t>
  </si>
  <si>
    <t xml:space="preserve">POS ₹ Cr; accounts as counts; rates in %; pacing in pp; current month to 23-Aug-26.</t>
  </si>
  <si>
    <t xml:space="preserve">Exhaustive metrics table</t>
  </si>
  <si>
    <t xml:space="preserve">Metric family</t>
  </si>
  <si>
    <t xml:space="preserve">Pipeline-ready metric</t>
  </si>
  <si>
    <t xml:space="preserve">Definition / formula</t>
  </si>
  <si>
    <t xml:space="preserve">Applies to</t>
  </si>
  <si>
    <t xml:space="preserve">Example</t>
  </si>
  <si>
    <t xml:space="preserve">Fact lookup</t>
  </si>
  <si>
    <t xml:space="preserve">Book and bounce KPIs</t>
  </si>
  <si>
    <t xml:space="preserve">Total / current book, bounce %, NTP, EOM bounce</t>
  </si>
  <si>
    <t xml:space="preserve">11 KPIs</t>
  </si>
  <si>
    <t xml:space="preserve">Team POS and resolution</t>
  </si>
  <si>
    <t xml:space="preserve">POS(t), RESPOS(t), RES%(t)</t>
  </si>
  <si>
    <t xml:space="preserve">10 rows</t>
  </si>
  <si>
    <t xml:space="preserve">Roll-up check</t>
  </si>
  <si>
    <t xml:space="preserve">RES% identity</t>
  </si>
  <si>
    <t xml:space="preserve">RESPOS ÷ POS − RES%</t>
  </si>
  <si>
    <t xml:space="preserve">Component identity</t>
  </si>
  <si>
    <t xml:space="preserve">STAB + RB + NORM − RES%; NORM + RB − NR+RB</t>
  </si>
  <si>
    <t xml:space="preserve">10 rows × 2</t>
  </si>
  <si>
    <t xml:space="preserve">Trend vs table EOM Jul</t>
  </si>
  <si>
    <t xml:space="preserve">R6(t, Jul) − EOM(Jul)</t>
  </si>
  <si>
    <t xml:space="preserve">10 teams</t>
  </si>
  <si>
    <t xml:space="preserve">Derived bounce quantities</t>
  </si>
  <si>
    <t xml:space="preserve">Bounced ₹ = current ₹ × bounce ₹ %; bounced # ; bounced ATS</t>
  </si>
  <si>
    <t xml:space="preserve">Page</t>
  </si>
  <si>
    <t xml:space="preserve">Book ATS</t>
  </si>
  <si>
    <t xml:space="preserve">₹ × 100 ÷ #</t>
  </si>
  <si>
    <t xml:space="preserve">total / current</t>
  </si>
  <si>
    <t xml:space="preserve">Bounce trend</t>
  </si>
  <si>
    <t xml:space="preserve">EOM bounce Mar / Jun / Jul; drift (pp); current ₹ bounce vs Jul</t>
  </si>
  <si>
    <t xml:space="preserve">4 points</t>
  </si>
  <si>
    <t xml:space="preserve">Current book share</t>
  </si>
  <si>
    <t xml:space="preserve">current ÷ total (#, ₹)</t>
  </si>
  <si>
    <t xml:space="preserve">Resolution</t>
  </si>
  <si>
    <t xml:space="preserve">RES% by team / bucket</t>
  </si>
  <si>
    <t xml:space="preserve">RES%(t)</t>
  </si>
  <si>
    <t xml:space="preserve">Resolution by accounts</t>
  </si>
  <si>
    <t xml:space="preserve">RESN ÷ N</t>
  </si>
  <si>
    <t xml:space="preserve">Component mix</t>
  </si>
  <si>
    <t xml:space="preserve">STAB, RB, NORM</t>
  </si>
  <si>
    <t xml:space="preserve">B2, B3</t>
  </si>
  <si>
    <t xml:space="preserve">Blended B1–B3</t>
  </si>
  <si>
    <t xml:space="preserve">Σ RESPOS ÷ Σ POS</t>
  </si>
  <si>
    <t xml:space="preserve">Unresolved POS</t>
  </si>
  <si>
    <t xml:space="preserve">POS − RESPOS</t>
  </si>
  <si>
    <t xml:space="preserve">Pacing</t>
  </si>
  <si>
    <t xml:space="preserve">Current vs same-day Jul</t>
  </si>
  <si>
    <t xml:space="preserve">RES% − SD(Jul)</t>
  </si>
  <si>
    <t xml:space="preserve">Current vs same-day 3-month average</t>
  </si>
  <si>
    <t xml:space="preserve">RES% − AVERAGE(SD Mar, Jun, Jul)</t>
  </si>
  <si>
    <t xml:space="preserve">Same-day → EOM uplift (Jul)</t>
  </si>
  <si>
    <t xml:space="preserve">U = EOM(Jul) − SD(Jul)</t>
  </si>
  <si>
    <t xml:space="preserve">RES% + U</t>
  </si>
  <si>
    <t xml:space="preserve">Gap to target</t>
  </si>
  <si>
    <t xml:space="preserve">RES% − T (same-day basis); implied EOM − T</t>
  </si>
  <si>
    <t xml:space="preserve">Trend</t>
  </si>
  <si>
    <t xml:space="preserve">EOM resolution trend</t>
  </si>
  <si>
    <t xml:space="preserve">R6(t, m)</t>
  </si>
  <si>
    <t xml:space="preserve">10 teams × 6 months</t>
  </si>
  <si>
    <t xml:space="preserve">MoM and 6M change</t>
  </si>
  <si>
    <t xml:space="preserve">Jul − Jun; Jul − Feb (pp)</t>
  </si>
  <si>
    <t xml:space="preserve">6M average / min / max</t>
  </si>
  <si>
    <t xml:space="preserve">AVERAGE, MIN, MAX</t>
  </si>
  <si>
    <t xml:space="preserve">July rank within 6 months</t>
  </si>
  <si>
    <t xml:space="preserve">RANK(Jul)</t>
  </si>
  <si>
    <t xml:space="preserve">Ticket size</t>
  </si>
  <si>
    <t xml:space="preserve">ATS by team / bucket</t>
  </si>
  <si>
    <t xml:space="preserve">POS × 100 ÷ N</t>
  </si>
  <si>
    <t xml:space="preserve">Data integrity</t>
  </si>
  <si>
    <t xml:space="preserve">Channel vs bucket pools</t>
  </si>
  <si>
    <t xml:space="preserve">Σ channel POS − B1 POS</t>
  </si>
  <si>
    <t xml:space="preserve">Timing</t>
  </si>
  <si>
    <t xml:space="preserve">Current = 23-Aug (same-day basis)</t>
  </si>
  <si>
    <t xml:space="preserve">Compare with SD columns, not EOM</t>
  </si>
  <si>
    <t xml:space="preserve">Block 2 — NPA recovery and upgrade by DPD bucket, Tech-off and vintage; 6-month ROR trend</t>
  </si>
  <si>
    <t xml:space="preserve">Source: Retail Assets – Collections Efficiency.pdf | counts, ₹ Cr, % | as on 23-08-2026; NPA team target ₹2.58 Cr</t>
  </si>
  <si>
    <t xml:space="preserve">A. NPA / Tech-off recovery (blue) with live checks — current = to 23-Aug-26</t>
  </si>
  <si>
    <t xml:space="preserve">Bucket</t>
  </si>
  <si>
    <t xml:space="preserve">Reco+Upg #</t>
  </si>
  <si>
    <t xml:space="preserve">Reco+Upg ₹ Cr</t>
  </si>
  <si>
    <t xml:space="preserve">ROR %</t>
  </si>
  <si>
    <t xml:space="preserve">Upg #</t>
  </si>
  <si>
    <t xml:space="preserve">Upg ₹ Cr</t>
  </si>
  <si>
    <t xml:space="preserve">Reco #</t>
  </si>
  <si>
    <t xml:space="preserve">Reco ₹ Cr</t>
  </si>
  <si>
    <t xml:space="preserve">SD ₹ Mar</t>
  </si>
  <si>
    <t xml:space="preserve">SD ₹ Jun</t>
  </si>
  <si>
    <t xml:space="preserve">SD ₹ Jul</t>
  </si>
  <si>
    <t xml:space="preserve">SD % Mar</t>
  </si>
  <si>
    <t xml:space="preserve">SD % Jun</t>
  </si>
  <si>
    <t xml:space="preserve">SD % Jul</t>
  </si>
  <si>
    <t xml:space="preserve">EOM ₹ Mar</t>
  </si>
  <si>
    <t xml:space="preserve">EOM ₹ Jun</t>
  </si>
  <si>
    <t xml:space="preserve">EOM ₹ Jul</t>
  </si>
  <si>
    <t xml:space="preserve">EOM % Mar</t>
  </si>
  <si>
    <t xml:space="preserve">EOM % Jun</t>
  </si>
  <si>
    <t xml:space="preserve">EOM % Jul</t>
  </si>
  <si>
    <t xml:space="preserve">ROR computed</t>
  </si>
  <si>
    <t xml:space="preserve">Check ROR (pp)</t>
  </si>
  <si>
    <t xml:space="preserve">Check Reco+Upg ₹</t>
  </si>
  <si>
    <t xml:space="preserve">Check Reco+Upg #</t>
  </si>
  <si>
    <t xml:space="preserve">Upg share of R+U ₹</t>
  </si>
  <si>
    <t xml:space="preserve">Current vs SD Jul (pp)</t>
  </si>
  <si>
    <t xml:space="preserve">Jul SD → EOM uplift (x)</t>
  </si>
  <si>
    <t xml:space="preserve">Implied EOM ₹ at Jul uplift</t>
  </si>
  <si>
    <t xml:space="preserve">Share of NPA POS</t>
  </si>
  <si>
    <t xml:space="preserve">Share of NPA R+U ₹</t>
  </si>
  <si>
    <t xml:space="preserve">DPD &lt;=90</t>
  </si>
  <si>
    <t xml:space="preserve">DPD 91-120</t>
  </si>
  <si>
    <t xml:space="preserve">DPD 121-150</t>
  </si>
  <si>
    <t xml:space="preserve">DPD 151-180</t>
  </si>
  <si>
    <t xml:space="preserve">DPD &gt;180</t>
  </si>
  <si>
    <t xml:space="preserve">Total NPA</t>
  </si>
  <si>
    <t xml:space="preserve">Tech Off</t>
  </si>
  <si>
    <t xml:space="preserve">Σ DPD buckets − Total NPA (# / POS / R+U ₹ / Upg ₹ / Reco ₹)</t>
  </si>
  <si>
    <t xml:space="preserve">NPA team target ₹ Cr (printed) / achieved to date / achievement %</t>
  </si>
  <si>
    <t xml:space="preserve">Implied Total EOM ₹ at Jul uplift / vs target</t>
  </si>
  <si>
    <t xml:space="preserve">NPA + Tech-off pool ₹ Cr / blended ROR to date</t>
  </si>
  <si>
    <t xml:space="preserve">B. Vintage view (blue) with checks</t>
  </si>
  <si>
    <t xml:space="preserve">Vintage</t>
  </si>
  <si>
    <t xml:space="preserve">Share of POS</t>
  </si>
  <si>
    <t xml:space="preserve">Share of R+U ₹</t>
  </si>
  <si>
    <t xml:space="preserve">V1</t>
  </si>
  <si>
    <t xml:space="preserve">V2</t>
  </si>
  <si>
    <t xml:space="preserve">V3</t>
  </si>
  <si>
    <t xml:space="preserve">V4</t>
  </si>
  <si>
    <t xml:space="preserve">V5+</t>
  </si>
  <si>
    <t xml:space="preserve">Total</t>
  </si>
  <si>
    <t xml:space="preserve">Σ vintages − Total (# / POS / R+U ₹)</t>
  </si>
  <si>
    <t xml:space="preserve">Vintage Total vs NPA Total (POS / R+U ₹)</t>
  </si>
  <si>
    <t xml:space="preserve">Same-day % totals: vintage table vs NPA table (pp) Mar / Jun / Jul</t>
  </si>
  <si>
    <t xml:space="preserve">EOM % totals: vintage table vs NPA table (pp)</t>
  </si>
  <si>
    <t xml:space="preserve">C. NPA ROR % — last 6 months (blue)</t>
  </si>
  <si>
    <t xml:space="preserve">Check vs EOM Jul in table A (pp)</t>
  </si>
  <si>
    <t xml:space="preserve">NPA recovery + upgrade to 23-Aug is ₹7.43 Cr (ROR 2.12%) vs a ₹2.58 Cr team target — already 2.9x the target, but 49% of it is a single ₹3.67 Cr upgrade in DPD 121–150 (upgrades are 56% of the total).</t>
  </si>
  <si>
    <t xml:space="preserve">Strip the one large upgrade before judging run-rate performance.</t>
  </si>
  <si>
    <t xml:space="preserve">Same-day % totals in the vintage table (0.92 / 1.20 / 1.10) differ from the NPA table (1.31 / 1.95 / 1.68) although EOM totals agree — two bases on one page.</t>
  </si>
  <si>
    <t xml:space="preserve">Confirm which same-day base is correct before trending.</t>
  </si>
  <si>
    <t xml:space="preserve">The 6-month 'NPA ROR %' trend does not equal the NPA table's EOM Jul % (e.g. DPD &lt;=90 8.21% vs 8.86%).</t>
  </si>
  <si>
    <t xml:space="preserve">Different denominator (likely opening vs closing POS); do not mix.</t>
  </si>
  <si>
    <t xml:space="preserve">Identities hold: ROR = R+U ₹ ÷ POS; R+U ₹ = Reco ₹ + Upg ₹; buckets add to totals (max gap, ₹ Cr / pp):</t>
  </si>
  <si>
    <t xml:space="preserve">Within rounding.</t>
  </si>
  <si>
    <t xml:space="preserve">Tech-off row: Reco+Upg # is 44 but Upg # + Reco # = 0 + 16; the ₹ columns tie (0.48 = 0.00 + 0.48).</t>
  </si>
  <si>
    <t xml:space="preserve">Account count inconsistency on the page; use ₹ for Tech-off.</t>
  </si>
  <si>
    <t xml:space="preserve">DPD &gt;180 is 63% of NPA POS and recovers 0.55% to date; Tech-off (₹194 Cr) 0.25%.</t>
  </si>
  <si>
    <t xml:space="preserve">Legacy stock dominates the pool; recovery on it is negligible.</t>
  </si>
  <si>
    <t xml:space="preserve">V1 (freshest vintage) delivers 68% of recovery + upgrade on 45% of POS; V2–V5+ recover ≤ 1.8%.</t>
  </si>
  <si>
    <t xml:space="preserve">Recovery decays steeply with vintage — concentrate effort on V1.</t>
  </si>
  <si>
    <t xml:space="preserve">Notation and exhaustive metrics table for this block: see sheet B2_Metrics</t>
  </si>
  <si>
    <t xml:space="preserve">What is the NPA POS as on 23-Aug?</t>
  </si>
  <si>
    <t xml:space="preserve">What is the Tech-off ROR to date?</t>
  </si>
  <si>
    <t xml:space="preserve">What was DPD &gt;180 EOM recovery in Mar-26 (₹ Cr)?</t>
  </si>
  <si>
    <t xml:space="preserve">What is NPA achievement against the ₹2.58 Cr target?</t>
  </si>
  <si>
    <t xml:space="preserve">R+U ₹ ÷ target</t>
  </si>
  <si>
    <t xml:space="preserve">What share of NPA R+U ₹ is upgrade rather than cash recovery?</t>
  </si>
  <si>
    <t xml:space="preserve">Upg ₹ ÷ R+U ₹</t>
  </si>
  <si>
    <t xml:space="preserve">What is the ATS of the NPA pool vs the DPD &lt;=90 bucket (₹ lakh)?</t>
  </si>
  <si>
    <t xml:space="preserve">POS × 100 ÷ #</t>
  </si>
  <si>
    <t xml:space="preserve">Which vintage has the highest ROR to date?</t>
  </si>
  <si>
    <t xml:space="preserve">MAX ROR</t>
  </si>
  <si>
    <t xml:space="preserve">Strip the ₹3.67 Cr upgrade in DPD 121–150: what is NPA ROR to date and does it still beat the target?</t>
  </si>
  <si>
    <t xml:space="preserve">(R+U ₹ − 3.67) ÷ POS; vs 2.58</t>
  </si>
  <si>
    <t xml:space="preserve">1.07% / ₹3.76 Cr — still above target, but on the same footing as the 1.3–1.9% same-day history.</t>
  </si>
  <si>
    <t xml:space="preserve">Are the two same-day total bases reconcilable? Compute the pool each implies for Jul (₹ SD ÷ % SD).</t>
  </si>
  <si>
    <t xml:space="preserve">NPA-table SD ₹ Jul ÷ SD % Jul</t>
  </si>
  <si>
    <t xml:space="preserve">Implies a ~₹165 Cr pool vs ₹350 Cr today — the NPA-table same-day % is on a much smaller base (likely excluding &gt;180); the vintage table's 1.10% is on the full pool.</t>
  </si>
  <si>
    <t xml:space="preserve">Project Total NPA EOM ₹ using July's same-day → EOM multiple.</t>
  </si>
  <si>
    <t xml:space="preserve">R+U ₹ × (EOM Jul ÷ SD Jul)</t>
  </si>
  <si>
    <t xml:space="preserve">≈ ₹17 Cr implied — but driven by the one-off upgrade; treat as an upper bound.</t>
  </si>
  <si>
    <t xml:space="preserve">Not derivable: cash vs upgrade timing, settlement discounts, provisions and net recovery, product split, which accounts the ₹3.67 Cr upgrade relates to, the base used for the same-day and 6-month percentages, and the full-month August outcome.</t>
  </si>
  <si>
    <t xml:space="preserve">NPA recovery by bucket and vintage: notation and metrics</t>
  </si>
  <si>
    <t xml:space="preserve">N(b), POS(b)</t>
  </si>
  <si>
    <t xml:space="preserve">NPA accounts and POS ₹ Cr in DPD bucket b (&lt;=90, 91–120, 121–150, 151–180, &gt;180), Tech-off, or vintage v (V1 … V5+)</t>
  </si>
  <si>
    <t xml:space="preserve">RU, Upg, Reco</t>
  </si>
  <si>
    <t xml:space="preserve">Recovery + upgrade, upgrade, cash recovery (# and ₹) to 23-Aug</t>
  </si>
  <si>
    <t xml:space="preserve">ROR</t>
  </si>
  <si>
    <t xml:space="preserve">RU ₹ ÷ POS</t>
  </si>
  <si>
    <t xml:space="preserve">SD(m), EOM(m)</t>
  </si>
  <si>
    <t xml:space="preserve">Same-day / end-of-month recovery ₹ and % for Mar, Jun, Jul</t>
  </si>
  <si>
    <t xml:space="preserve">Tgt</t>
  </si>
  <si>
    <t xml:space="preserve">NPA team target ₹2.58 Cr</t>
  </si>
  <si>
    <t xml:space="preserve">Uplift multiple = EOM ₹(Jul) ÷ SD ₹(Jul)</t>
  </si>
  <si>
    <t xml:space="preserve">R6(b,m)</t>
  </si>
  <si>
    <t xml:space="preserve">6-month NPA ROR% trend, Feb–Jul (different base from EOM %)</t>
  </si>
  <si>
    <t xml:space="preserve">ATS</t>
  </si>
  <si>
    <t xml:space="preserve">POS × 100 ÷ N, ₹ lakh</t>
  </si>
  <si>
    <t xml:space="preserve">POS and recovery ₹ Cr; counts; rates in %; current month to 23-Aug-26.</t>
  </si>
  <si>
    <t xml:space="preserve">Bucket POS and recovery</t>
  </si>
  <si>
    <t xml:space="preserve">N, POS, RU, Upg, Reco</t>
  </si>
  <si>
    <t xml:space="preserve">7 rows</t>
  </si>
  <si>
    <t xml:space="preserve">Same-day and EOM history</t>
  </si>
  <si>
    <t xml:space="preserve">SD ₹/% and EOM ₹/% (Mar, Jun, Jul)</t>
  </si>
  <si>
    <t xml:space="preserve">7 rows × 12</t>
  </si>
  <si>
    <t xml:space="preserve">ROR identity</t>
  </si>
  <si>
    <t xml:space="preserve">RU ÷ POS − ROR</t>
  </si>
  <si>
    <t xml:space="preserve">7 + 6 rows</t>
  </si>
  <si>
    <t xml:space="preserve">RU = Upg + Reco</t>
  </si>
  <si>
    <t xml:space="preserve">₹ and #</t>
  </si>
  <si>
    <t xml:space="preserve">Buckets / vintages to totals</t>
  </si>
  <si>
    <t xml:space="preserve">Σ − Total</t>
  </si>
  <si>
    <t xml:space="preserve">2 tables</t>
  </si>
  <si>
    <t xml:space="preserve">Same-day / EOM base consistency</t>
  </si>
  <si>
    <t xml:space="preserve">Vintage total % − NPA total % (pp)</t>
  </si>
  <si>
    <t xml:space="preserve">Mar / Jun / Jul</t>
  </si>
  <si>
    <t xml:space="preserve">6M trend vs EOM Jul</t>
  </si>
  <si>
    <t xml:space="preserve">R6(b, Jul) − EOM %(Jul)</t>
  </si>
  <si>
    <t xml:space="preserve">6 buckets</t>
  </si>
  <si>
    <t xml:space="preserve">Recovery</t>
  </si>
  <si>
    <t xml:space="preserve">ROR by bucket</t>
  </si>
  <si>
    <t xml:space="preserve">ROR(b)</t>
  </si>
  <si>
    <t xml:space="preserve">ROR by vintage</t>
  </si>
  <si>
    <t xml:space="preserve">ROR(v)</t>
  </si>
  <si>
    <t xml:space="preserve">6 rows</t>
  </si>
  <si>
    <t xml:space="preserve">Upgrade share of RU ₹</t>
  </si>
  <si>
    <t xml:space="preserve">Upg ÷ RU</t>
  </si>
  <si>
    <t xml:space="preserve">ROR ex one-off upgrade</t>
  </si>
  <si>
    <t xml:space="preserve">(RU − Upg(121–150)) ÷ POS</t>
  </si>
  <si>
    <t xml:space="preserve">Target achievement</t>
  </si>
  <si>
    <t xml:space="preserve">RU ÷ Tgt; implied EOM ÷ Tgt</t>
  </si>
  <si>
    <t xml:space="preserve">Blended NPA + Tech-off ROR</t>
  </si>
  <si>
    <t xml:space="preserve">Σ RU ÷ Σ POS</t>
  </si>
  <si>
    <t xml:space="preserve">Annualised ROR</t>
  </si>
  <si>
    <t xml:space="preserve">ROR × 12 (to-date basis)</t>
  </si>
  <si>
    <t xml:space="preserve">Total / Tech-off</t>
  </si>
  <si>
    <t xml:space="preserve">ROR − SD %(Jul)</t>
  </si>
  <si>
    <t xml:space="preserve">Same-day → EOM multiple (Jul)</t>
  </si>
  <si>
    <t xml:space="preserve">U = EOM ₹ ÷ SD ₹</t>
  </si>
  <si>
    <t xml:space="preserve">Implied EOM ₹ at Jul multiple</t>
  </si>
  <si>
    <t xml:space="preserve">RU × U</t>
  </si>
  <si>
    <t xml:space="preserve">Mix &amp; share</t>
  </si>
  <si>
    <t xml:space="preserve">Bucket share of NPA POS and RU</t>
  </si>
  <si>
    <t xml:space="preserve">POS(b) ÷ POS; RU(b) ÷ RU</t>
  </si>
  <si>
    <t xml:space="preserve">5 buckets</t>
  </si>
  <si>
    <t xml:space="preserve">Vintage share of POS and RU</t>
  </si>
  <si>
    <t xml:space="preserve">POS(v) ÷ POS; RU(v) ÷ RU</t>
  </si>
  <si>
    <t xml:space="preserve">5 vintages</t>
  </si>
  <si>
    <t xml:space="preserve">ATS by bucket / vintage</t>
  </si>
  <si>
    <t xml:space="preserve">13 rows</t>
  </si>
  <si>
    <t xml:space="preserve">6M NPA ROR</t>
  </si>
  <si>
    <t xml:space="preserve">R6(b, m)</t>
  </si>
  <si>
    <t xml:space="preserve">6 buckets × 6</t>
  </si>
  <si>
    <t xml:space="preserve">Jul vs Jun; 6M average / max</t>
  </si>
  <si>
    <t xml:space="preserve">pp; AVERAGE; MAX</t>
  </si>
  <si>
    <t xml:space="preserve">Two same-day bases</t>
  </si>
  <si>
    <t xml:space="preserve">Implied Jul pool = SD ₹ ÷ SD %</t>
  </si>
  <si>
    <t xml:space="preserve">NPA table</t>
  </si>
  <si>
    <t xml:space="preserve">Duplicate Total rows</t>
  </si>
  <si>
    <t xml:space="preserve">Tech-off and its Total identical</t>
  </si>
  <si>
    <t xml:space="preserve">Reproduced once here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</si>
</sst>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%;\-0.0%;0.0%"/>
    <numFmt numFmtId="167" formatCode="#,##0.00;\(#,##0.00\);\-"/>
    <numFmt numFmtId="168" formatCode="#,##0.00"/>
    <numFmt numFmtId="169" formatCode="0.00%;\-0.00%;0.00%"/>
    <numFmt numFmtId="170" formatCode="\+0.0&quot; pp&quot;;\-0.0&quot; pp&quot;;0.0&quot; pp&quot;"/>
    <numFmt numFmtId="171" formatCode="@"/>
    <numFmt numFmtId="172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2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0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6"/>
    </row>
    <row r="6" customFormat="false" ht="15" hidden="false" customHeight="false" outlineLevel="0" collapsed="false">
      <c r="A6" s="7" t="s">
        <v>4</v>
      </c>
      <c r="B6" s="8" t="s">
        <v>5</v>
      </c>
    </row>
    <row r="7" customFormat="false" ht="15" hidden="false" customHeight="false" outlineLevel="0" collapsed="false">
      <c r="A7" s="7" t="s">
        <v>6</v>
      </c>
      <c r="B7" s="8" t="s">
        <v>7</v>
      </c>
    </row>
    <row r="8" customFormat="false" ht="15" hidden="false" customHeight="false" outlineLevel="0" collapsed="false">
      <c r="A8" s="7" t="s">
        <v>8</v>
      </c>
      <c r="B8" s="8" t="s">
        <v>9</v>
      </c>
    </row>
    <row r="9" customFormat="false" ht="15" hidden="false" customHeight="false" outlineLevel="0" collapsed="false">
      <c r="A9" s="7" t="s">
        <v>10</v>
      </c>
      <c r="B9" s="8" t="s">
        <v>11</v>
      </c>
    </row>
    <row r="10" customFormat="false" ht="15" hidden="false" customHeight="false" outlineLevel="0" collapsed="false">
      <c r="A10" s="7"/>
      <c r="B10" s="8"/>
    </row>
    <row r="11" customFormat="false" ht="15" hidden="false" customHeight="false" outlineLevel="0" collapsed="false">
      <c r="A11" s="5" t="s">
        <v>12</v>
      </c>
      <c r="B11" s="6"/>
    </row>
    <row r="12" customFormat="false" ht="15" hidden="false" customHeight="false" outlineLevel="0" collapsed="false">
      <c r="A12" s="7" t="s">
        <v>13</v>
      </c>
      <c r="B12" s="8" t="s">
        <v>14</v>
      </c>
    </row>
    <row r="13" customFormat="false" ht="15" hidden="false" customHeight="false" outlineLevel="0" collapsed="false">
      <c r="A13" s="7" t="s">
        <v>15</v>
      </c>
      <c r="B13" s="8" t="s">
        <v>16</v>
      </c>
    </row>
    <row r="14" customFormat="false" ht="15" hidden="false" customHeight="false" outlineLevel="0" collapsed="false">
      <c r="A14" s="7" t="s">
        <v>17</v>
      </c>
      <c r="B14" s="8" t="s">
        <v>18</v>
      </c>
    </row>
    <row r="15" customFormat="false" ht="15" hidden="false" customHeight="false" outlineLevel="0" collapsed="false">
      <c r="A15" s="7" t="s">
        <v>19</v>
      </c>
      <c r="B15" s="8" t="s">
        <v>20</v>
      </c>
    </row>
    <row r="16" customFormat="false" ht="15" hidden="false" customHeight="false" outlineLevel="0" collapsed="false">
      <c r="A16" s="7" t="s">
        <v>21</v>
      </c>
      <c r="B16" s="8" t="s">
        <v>22</v>
      </c>
    </row>
    <row r="17" customFormat="false" ht="15" hidden="false" customHeight="false" outlineLevel="0" collapsed="false">
      <c r="A17" s="7"/>
      <c r="B17" s="8"/>
    </row>
    <row r="18" customFormat="false" ht="15" hidden="false" customHeight="false" outlineLevel="0" collapsed="false">
      <c r="A18" s="5" t="s">
        <v>23</v>
      </c>
      <c r="B18" s="6"/>
    </row>
    <row r="19" customFormat="false" ht="23.85" hidden="false" customHeight="false" outlineLevel="0" collapsed="false">
      <c r="A19" s="7" t="s">
        <v>24</v>
      </c>
      <c r="B19" s="8" t="s">
        <v>25</v>
      </c>
    </row>
    <row r="20" customFormat="false" ht="15" hidden="false" customHeight="false" outlineLevel="0" collapsed="false">
      <c r="A20" s="7" t="s">
        <v>26</v>
      </c>
      <c r="B20" s="8" t="s">
        <v>27</v>
      </c>
    </row>
    <row r="21" customFormat="false" ht="23.85" hidden="false" customHeight="false" outlineLevel="0" collapsed="false">
      <c r="A21" s="7" t="s">
        <v>28</v>
      </c>
      <c r="B21" s="8" t="s">
        <v>29</v>
      </c>
    </row>
    <row r="22" customFormat="false" ht="23.85" hidden="false" customHeight="false" outlineLevel="0" collapsed="false">
      <c r="A22" s="7" t="s">
        <v>30</v>
      </c>
      <c r="B22" s="8" t="s">
        <v>31</v>
      </c>
    </row>
    <row r="23" customFormat="false" ht="15" hidden="false" customHeight="false" outlineLevel="0" collapsed="false">
      <c r="A23" s="7" t="s">
        <v>32</v>
      </c>
      <c r="B23" s="8" t="s">
        <v>33</v>
      </c>
    </row>
    <row r="24" customFormat="false" ht="15" hidden="false" customHeight="false" outlineLevel="0" collapsed="false">
      <c r="A24" s="7" t="s">
        <v>34</v>
      </c>
      <c r="B24" s="8" t="s">
        <v>35</v>
      </c>
    </row>
    <row r="26" customFormat="false" ht="15" hidden="false" customHeight="false" outlineLevel="0" collapsed="false">
      <c r="A26" s="4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4" min="3" style="1" width="12"/>
    <col collapsed="false" customWidth="true" hidden="false" outlineLevel="0" max="5" min="5" style="1" width="36"/>
    <col collapsed="false" customWidth="true" hidden="false" outlineLevel="0" max="6" min="6" style="1" width="12"/>
    <col collapsed="false" customWidth="true" hidden="false" outlineLevel="0" max="30" min="7" style="1" width="11"/>
  </cols>
  <sheetData>
    <row r="1" customFormat="false" ht="17.35" hidden="false" customHeight="false" outlineLevel="0" collapsed="false">
      <c r="A1" s="2" t="s">
        <v>36</v>
      </c>
    </row>
    <row r="2" customFormat="false" ht="15" hidden="false" customHeight="false" outlineLevel="0" collapsed="false">
      <c r="A2" s="3" t="s">
        <v>37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customFormat="false" ht="15" hidden="false" customHeight="false" outlineLevel="0" collapsed="false">
      <c r="A6" s="9" t="s">
        <v>39</v>
      </c>
      <c r="B6" s="9" t="s">
        <v>40</v>
      </c>
      <c r="C6" s="9" t="s">
        <v>41</v>
      </c>
      <c r="D6" s="9" t="s">
        <v>42</v>
      </c>
      <c r="E6" s="9" t="s">
        <v>43</v>
      </c>
      <c r="F6" s="9" t="s">
        <v>41</v>
      </c>
    </row>
    <row r="7" customFormat="false" ht="15" hidden="false" customHeight="false" outlineLevel="0" collapsed="false">
      <c r="A7" s="10" t="n">
        <v>1</v>
      </c>
      <c r="B7" s="10" t="s">
        <v>44</v>
      </c>
      <c r="C7" s="11" t="n">
        <v>161579</v>
      </c>
      <c r="D7" s="10" t="s">
        <v>45</v>
      </c>
      <c r="E7" s="10" t="s">
        <v>46</v>
      </c>
      <c r="F7" s="12" t="n">
        <f aca="false">C9/C7</f>
        <v>0.594526516440874</v>
      </c>
    </row>
    <row r="8" customFormat="false" ht="15" hidden="false" customHeight="false" outlineLevel="0" collapsed="false">
      <c r="A8" s="10" t="n">
        <v>2</v>
      </c>
      <c r="B8" s="10" t="s">
        <v>47</v>
      </c>
      <c r="C8" s="13" t="n">
        <v>48768.14</v>
      </c>
      <c r="D8" s="10" t="s">
        <v>48</v>
      </c>
      <c r="E8" s="10" t="s">
        <v>49</v>
      </c>
      <c r="F8" s="12" t="n">
        <f aca="false">C10/C8</f>
        <v>0.663632445280874</v>
      </c>
    </row>
    <row r="9" customFormat="false" ht="15" hidden="false" customHeight="false" outlineLevel="0" collapsed="false">
      <c r="A9" s="10" t="n">
        <v>3</v>
      </c>
      <c r="B9" s="10" t="s">
        <v>50</v>
      </c>
      <c r="C9" s="11" t="n">
        <v>96063</v>
      </c>
      <c r="D9" s="10" t="s">
        <v>45</v>
      </c>
      <c r="E9" s="10" t="s">
        <v>51</v>
      </c>
      <c r="F9" s="14" t="n">
        <f aca="false">C8*100/C7</f>
        <v>30.1822266507405</v>
      </c>
    </row>
    <row r="10" customFormat="false" ht="15" hidden="false" customHeight="false" outlineLevel="0" collapsed="false">
      <c r="A10" s="10" t="n">
        <v>4</v>
      </c>
      <c r="B10" s="10" t="s">
        <v>52</v>
      </c>
      <c r="C10" s="13" t="n">
        <v>32364.12</v>
      </c>
      <c r="D10" s="10" t="s">
        <v>48</v>
      </c>
      <c r="E10" s="10" t="s">
        <v>53</v>
      </c>
      <c r="F10" s="14" t="n">
        <f aca="false">C10*100/C9</f>
        <v>33.6905155991381</v>
      </c>
    </row>
    <row r="11" customFormat="false" ht="15" hidden="false" customHeight="false" outlineLevel="0" collapsed="false">
      <c r="A11" s="10" t="n">
        <v>5</v>
      </c>
      <c r="B11" s="10" t="s">
        <v>54</v>
      </c>
      <c r="C11" s="15" t="n">
        <v>0.1573</v>
      </c>
      <c r="D11" s="10" t="s">
        <v>55</v>
      </c>
      <c r="E11" s="10" t="s">
        <v>56</v>
      </c>
      <c r="F11" s="16" t="n">
        <f aca="false">C10*C12</f>
        <v>2246.069928</v>
      </c>
    </row>
    <row r="12" customFormat="false" ht="15" hidden="false" customHeight="false" outlineLevel="0" collapsed="false">
      <c r="A12" s="10" t="n">
        <v>6</v>
      </c>
      <c r="B12" s="10" t="s">
        <v>57</v>
      </c>
      <c r="C12" s="15" t="n">
        <v>0.0694</v>
      </c>
      <c r="D12" s="10" t="s">
        <v>55</v>
      </c>
      <c r="E12" s="10" t="s">
        <v>58</v>
      </c>
      <c r="F12" s="17" t="n">
        <f aca="false">C9*C11</f>
        <v>15110.7099</v>
      </c>
    </row>
    <row r="13" customFormat="false" ht="15" hidden="false" customHeight="false" outlineLevel="0" collapsed="false">
      <c r="A13" s="10" t="n">
        <v>7</v>
      </c>
      <c r="B13" s="10" t="s">
        <v>59</v>
      </c>
      <c r="C13" s="15" t="n">
        <v>0.0396</v>
      </c>
      <c r="D13" s="10" t="s">
        <v>55</v>
      </c>
      <c r="E13" s="10" t="s">
        <v>60</v>
      </c>
      <c r="F13" s="14" t="n">
        <f aca="false">F11*100/F12</f>
        <v>14.864092705532</v>
      </c>
    </row>
    <row r="14" customFormat="false" ht="15" hidden="false" customHeight="false" outlineLevel="0" collapsed="false">
      <c r="A14" s="10" t="n">
        <v>8</v>
      </c>
      <c r="B14" s="10" t="s">
        <v>61</v>
      </c>
      <c r="C14" s="15" t="n">
        <v>0.0725</v>
      </c>
      <c r="D14" s="10" t="s">
        <v>55</v>
      </c>
      <c r="E14" s="10" t="s">
        <v>62</v>
      </c>
      <c r="F14" s="18" t="n">
        <f aca="false">(C12-C16)*100</f>
        <v>-0.699999999999999</v>
      </c>
    </row>
    <row r="15" customFormat="false" ht="15" hidden="false" customHeight="false" outlineLevel="0" collapsed="false">
      <c r="A15" s="10" t="n">
        <v>9</v>
      </c>
      <c r="B15" s="10" t="s">
        <v>63</v>
      </c>
      <c r="C15" s="15" t="n">
        <v>0.0732</v>
      </c>
      <c r="D15" s="10" t="s">
        <v>55</v>
      </c>
      <c r="E15" s="10" t="s">
        <v>64</v>
      </c>
      <c r="F15" s="18" t="n">
        <f aca="false">(C16-C14)*100</f>
        <v>0.39</v>
      </c>
    </row>
    <row r="16" customFormat="false" ht="15" hidden="false" customHeight="false" outlineLevel="0" collapsed="false">
      <c r="A16" s="10" t="n">
        <v>10</v>
      </c>
      <c r="B16" s="10" t="s">
        <v>65</v>
      </c>
      <c r="C16" s="15" t="n">
        <v>0.0764</v>
      </c>
      <c r="D16" s="10" t="s">
        <v>55</v>
      </c>
    </row>
    <row r="17" customFormat="false" ht="15" hidden="false" customHeight="false" outlineLevel="0" collapsed="false">
      <c r="A17" s="10" t="n">
        <v>11</v>
      </c>
      <c r="B17" s="10" t="s">
        <v>66</v>
      </c>
      <c r="C17" s="19" t="s">
        <v>67</v>
      </c>
      <c r="D17" s="10" t="s">
        <v>68</v>
      </c>
    </row>
    <row r="19" customFormat="false" ht="15" hidden="false" customHeight="false" outlineLevel="0" collapsed="false">
      <c r="A19" s="5" t="s">
        <v>69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customFormat="false" ht="35.05" hidden="false" customHeight="false" outlineLevel="0" collapsed="false">
      <c r="A20" s="9" t="s">
        <v>39</v>
      </c>
      <c r="B20" s="9" t="s">
        <v>70</v>
      </c>
      <c r="C20" s="9" t="s">
        <v>71</v>
      </c>
      <c r="D20" s="9" t="s">
        <v>72</v>
      </c>
      <c r="E20" s="9" t="s">
        <v>73</v>
      </c>
      <c r="F20" s="9" t="s">
        <v>74</v>
      </c>
      <c r="G20" s="9" t="s">
        <v>75</v>
      </c>
      <c r="H20" s="9" t="s">
        <v>76</v>
      </c>
      <c r="I20" s="9" t="s">
        <v>77</v>
      </c>
      <c r="J20" s="9" t="s">
        <v>78</v>
      </c>
      <c r="K20" s="9" t="s">
        <v>79</v>
      </c>
      <c r="L20" s="9" t="s">
        <v>80</v>
      </c>
      <c r="M20" s="9" t="s">
        <v>81</v>
      </c>
      <c r="N20" s="9" t="s">
        <v>82</v>
      </c>
      <c r="O20" s="9" t="s">
        <v>83</v>
      </c>
      <c r="P20" s="9" t="s">
        <v>84</v>
      </c>
      <c r="Q20" s="9" t="s">
        <v>85</v>
      </c>
      <c r="R20" s="9" t="s">
        <v>86</v>
      </c>
      <c r="S20" s="9" t="s">
        <v>87</v>
      </c>
      <c r="T20" s="9" t="s">
        <v>88</v>
      </c>
      <c r="U20" s="9" t="s">
        <v>89</v>
      </c>
      <c r="V20" s="9" t="s">
        <v>90</v>
      </c>
      <c r="W20" s="9" t="s">
        <v>91</v>
      </c>
      <c r="X20" s="9" t="s">
        <v>92</v>
      </c>
      <c r="Y20" s="9" t="s">
        <v>93</v>
      </c>
      <c r="Z20" s="9" t="s">
        <v>94</v>
      </c>
      <c r="AA20" s="9" t="s">
        <v>95</v>
      </c>
      <c r="AB20" s="9" t="s">
        <v>96</v>
      </c>
      <c r="AC20" s="9" t="s">
        <v>97</v>
      </c>
      <c r="AD20" s="9" t="s">
        <v>98</v>
      </c>
    </row>
    <row r="21" customFormat="false" ht="15" hidden="false" customHeight="false" outlineLevel="0" collapsed="false">
      <c r="A21" s="10" t="n">
        <v>1</v>
      </c>
      <c r="B21" s="10" t="s">
        <v>99</v>
      </c>
      <c r="C21" s="11" t="n">
        <v>2267</v>
      </c>
      <c r="D21" s="13" t="n">
        <v>279.79</v>
      </c>
      <c r="E21" s="11" t="n">
        <v>924</v>
      </c>
      <c r="F21" s="13" t="n">
        <v>129.95</v>
      </c>
      <c r="G21" s="15" t="n">
        <v>0</v>
      </c>
      <c r="H21" s="15" t="n">
        <v>0</v>
      </c>
      <c r="I21" s="15" t="n">
        <v>0.4645</v>
      </c>
      <c r="J21" s="15" t="n">
        <v>0.4645</v>
      </c>
      <c r="K21" s="15" t="n">
        <v>0.4645</v>
      </c>
      <c r="L21" s="15" t="n">
        <v>0.6714</v>
      </c>
      <c r="M21" s="15" t="n">
        <v>0.5591</v>
      </c>
      <c r="N21" s="15" t="n">
        <v>0.4789</v>
      </c>
      <c r="O21" s="15" t="n">
        <v>0.5513</v>
      </c>
      <c r="P21" s="15" t="n">
        <v>0.5591</v>
      </c>
      <c r="Q21" s="15" t="n">
        <v>0.4788</v>
      </c>
      <c r="R21" s="15" t="n">
        <v>0.5521</v>
      </c>
      <c r="S21" s="20" t="n">
        <f aca="false">F21/D21</f>
        <v>0.464455484470496</v>
      </c>
      <c r="T21" s="18" t="n">
        <f aca="false">(S21-K21)*100</f>
        <v>-0.0044515529504352</v>
      </c>
      <c r="U21" s="18" t="n">
        <f aca="false">(G21+H21+I21-K21)*100</f>
        <v>0</v>
      </c>
      <c r="V21" s="18" t="n">
        <f aca="false">(I21+H21-J21)*100</f>
        <v>0</v>
      </c>
      <c r="W21" s="18" t="n">
        <f aca="false">(K21-O21)*100</f>
        <v>-8.68</v>
      </c>
      <c r="X21" s="18" t="n">
        <f aca="false">(K21-AVERAGE(M21:O21))*100</f>
        <v>-6.52666666666667</v>
      </c>
      <c r="Y21" s="18" t="n">
        <f aca="false">(K21-L21)*100</f>
        <v>-20.69</v>
      </c>
      <c r="Z21" s="18" t="n">
        <f aca="false">(R21-O21)*100</f>
        <v>0.0800000000000023</v>
      </c>
      <c r="AA21" s="20" t="n">
        <f aca="false">K21+(R21-O21)</f>
        <v>0.4653</v>
      </c>
      <c r="AB21" s="12" t="n">
        <f aca="false">E21/C21</f>
        <v>0.407587119541244</v>
      </c>
      <c r="AC21" s="14" t="n">
        <f aca="false">D21*100/C21</f>
        <v>12.3418614909572</v>
      </c>
      <c r="AD21" s="16" t="n">
        <f aca="false">D21-F21</f>
        <v>149.84</v>
      </c>
    </row>
    <row r="22" customFormat="false" ht="15" hidden="false" customHeight="false" outlineLevel="0" collapsed="false">
      <c r="A22" s="10" t="n">
        <v>2</v>
      </c>
      <c r="B22" s="10" t="s">
        <v>100</v>
      </c>
      <c r="C22" s="11" t="n">
        <v>3643</v>
      </c>
      <c r="D22" s="13" t="n">
        <v>457.12</v>
      </c>
      <c r="E22" s="11" t="n">
        <v>1730</v>
      </c>
      <c r="F22" s="13" t="n">
        <v>338.93</v>
      </c>
      <c r="G22" s="15" t="n">
        <v>0</v>
      </c>
      <c r="H22" s="15" t="n">
        <v>0</v>
      </c>
      <c r="I22" s="15" t="n">
        <v>0.7414</v>
      </c>
      <c r="J22" s="15" t="n">
        <v>0.7414</v>
      </c>
      <c r="K22" s="15" t="n">
        <v>0.7414</v>
      </c>
      <c r="L22" s="15" t="n">
        <v>0.7429</v>
      </c>
      <c r="M22" s="15" t="n">
        <v>0.6746</v>
      </c>
      <c r="N22" s="15" t="n">
        <v>0.8141</v>
      </c>
      <c r="O22" s="15" t="n">
        <v>0.7862</v>
      </c>
      <c r="P22" s="15" t="n">
        <v>0.7554</v>
      </c>
      <c r="Q22" s="15" t="n">
        <v>0.8655</v>
      </c>
      <c r="R22" s="15" t="n">
        <v>0.8897</v>
      </c>
      <c r="S22" s="20" t="n">
        <f aca="false">F22/D22</f>
        <v>0.741446447322366</v>
      </c>
      <c r="T22" s="18" t="n">
        <f aca="false">(S22-K22)*100</f>
        <v>0.00464473223661388</v>
      </c>
      <c r="U22" s="18" t="n">
        <f aca="false">(G22+H22+I22-K22)*100</f>
        <v>0</v>
      </c>
      <c r="V22" s="18" t="n">
        <f aca="false">(I22+H22-J22)*100</f>
        <v>0</v>
      </c>
      <c r="W22" s="18" t="n">
        <f aca="false">(K22-O22)*100</f>
        <v>-4.48000000000001</v>
      </c>
      <c r="X22" s="18" t="n">
        <f aca="false">(K22-AVERAGE(M22:O22))*100</f>
        <v>-1.69000000000001</v>
      </c>
      <c r="Y22" s="18" t="n">
        <f aca="false">(K22-L22)*100</f>
        <v>-0.150000000000006</v>
      </c>
      <c r="Z22" s="18" t="n">
        <f aca="false">(R22-O22)*100</f>
        <v>10.35</v>
      </c>
      <c r="AA22" s="20" t="n">
        <f aca="false">K22+(R22-O22)</f>
        <v>0.8449</v>
      </c>
      <c r="AB22" s="12" t="n">
        <f aca="false">E22/C22</f>
        <v>0.474883337908317</v>
      </c>
      <c r="AC22" s="14" t="n">
        <f aca="false">D22*100/C22</f>
        <v>12.5479000823497</v>
      </c>
      <c r="AD22" s="16" t="n">
        <f aca="false">D22-F22</f>
        <v>118.19</v>
      </c>
    </row>
    <row r="23" customFormat="false" ht="15" hidden="false" customHeight="false" outlineLevel="0" collapsed="false">
      <c r="A23" s="10" t="n">
        <v>3</v>
      </c>
      <c r="B23" s="10" t="s">
        <v>101</v>
      </c>
      <c r="C23" s="11" t="n">
        <v>2501</v>
      </c>
      <c r="D23" s="13" t="n">
        <v>501.72</v>
      </c>
      <c r="E23" s="11" t="n">
        <v>2122</v>
      </c>
      <c r="F23" s="13" t="n">
        <v>417.98</v>
      </c>
      <c r="G23" s="15" t="n">
        <v>0</v>
      </c>
      <c r="H23" s="15" t="n">
        <v>0</v>
      </c>
      <c r="I23" s="15" t="n">
        <v>0.8331</v>
      </c>
      <c r="J23" s="15" t="n">
        <v>0.8331</v>
      </c>
      <c r="K23" s="15" t="n">
        <v>0.8331</v>
      </c>
      <c r="L23" s="15" t="n">
        <v>1</v>
      </c>
      <c r="M23" s="15" t="n">
        <v>0.8826</v>
      </c>
      <c r="N23" s="15" t="n">
        <v>0.9132</v>
      </c>
      <c r="O23" s="15" t="n">
        <v>0.8762</v>
      </c>
      <c r="P23" s="15" t="n">
        <v>0.9916</v>
      </c>
      <c r="Q23" s="15" t="n">
        <v>0.995</v>
      </c>
      <c r="R23" s="15" t="n">
        <v>0.9994</v>
      </c>
      <c r="S23" s="20" t="n">
        <f aca="false">F23/D23</f>
        <v>0.833094156103006</v>
      </c>
      <c r="T23" s="18" t="n">
        <f aca="false">(S23-K23)*100</f>
        <v>-0.000584389699431753</v>
      </c>
      <c r="U23" s="18" t="n">
        <f aca="false">(G23+H23+I23-K23)*100</f>
        <v>0</v>
      </c>
      <c r="V23" s="18" t="n">
        <f aca="false">(I23+H23-J23)*100</f>
        <v>0</v>
      </c>
      <c r="W23" s="18" t="n">
        <f aca="false">(K23-O23)*100</f>
        <v>-4.31</v>
      </c>
      <c r="X23" s="18" t="n">
        <f aca="false">(K23-AVERAGE(M23:O23))*100</f>
        <v>-5.75666666666668</v>
      </c>
      <c r="Y23" s="18" t="n">
        <f aca="false">(K23-L23)*100</f>
        <v>-16.69</v>
      </c>
      <c r="Z23" s="18" t="n">
        <f aca="false">(R23-O23)*100</f>
        <v>12.32</v>
      </c>
      <c r="AA23" s="20" t="n">
        <f aca="false">K23+(R23-O23)</f>
        <v>0.9563</v>
      </c>
      <c r="AB23" s="12" t="n">
        <f aca="false">E23/C23</f>
        <v>0.848460615753699</v>
      </c>
      <c r="AC23" s="14" t="n">
        <f aca="false">D23*100/C23</f>
        <v>20.0607756897241</v>
      </c>
      <c r="AD23" s="16" t="n">
        <f aca="false">D23-F23</f>
        <v>83.74</v>
      </c>
    </row>
    <row r="24" customFormat="false" ht="15" hidden="false" customHeight="false" outlineLevel="0" collapsed="false">
      <c r="A24" s="10" t="n">
        <v>4</v>
      </c>
      <c r="B24" s="10" t="s">
        <v>102</v>
      </c>
      <c r="C24" s="11" t="n">
        <v>3989</v>
      </c>
      <c r="D24" s="13" t="n">
        <v>84.61</v>
      </c>
      <c r="E24" s="11" t="n">
        <v>2253</v>
      </c>
      <c r="F24" s="13" t="n">
        <v>49.69</v>
      </c>
      <c r="G24" s="15" t="n">
        <v>0</v>
      </c>
      <c r="H24" s="15" t="n">
        <v>0</v>
      </c>
      <c r="I24" s="15" t="n">
        <v>0.5873</v>
      </c>
      <c r="J24" s="15" t="n">
        <v>0.5873</v>
      </c>
      <c r="K24" s="15" t="n">
        <v>0.5873</v>
      </c>
      <c r="L24" s="15" t="n">
        <v>1</v>
      </c>
      <c r="M24" s="15" t="n">
        <v>0.7536</v>
      </c>
      <c r="N24" s="15" t="n">
        <v>0.6973</v>
      </c>
      <c r="O24" s="15" t="n">
        <v>0.7129</v>
      </c>
      <c r="P24" s="15" t="n">
        <v>0.9693</v>
      </c>
      <c r="Q24" s="15" t="n">
        <v>0.9491</v>
      </c>
      <c r="R24" s="15" t="n">
        <v>0.9657</v>
      </c>
      <c r="S24" s="20" t="n">
        <f aca="false">F24/D24</f>
        <v>0.587282827088997</v>
      </c>
      <c r="T24" s="18" t="n">
        <f aca="false">(S24-K24)*100</f>
        <v>-0.00171729110034491</v>
      </c>
      <c r="U24" s="18" t="n">
        <f aca="false">(G24+H24+I24-K24)*100</f>
        <v>0</v>
      </c>
      <c r="V24" s="18" t="n">
        <f aca="false">(I24+H24-J24)*100</f>
        <v>0</v>
      </c>
      <c r="W24" s="18" t="n">
        <f aca="false">(K24-O24)*100</f>
        <v>-12.56</v>
      </c>
      <c r="X24" s="18" t="n">
        <f aca="false">(K24-AVERAGE(M24:O24))*100</f>
        <v>-13.3966666666667</v>
      </c>
      <c r="Y24" s="18" t="n">
        <f aca="false">(K24-L24)*100</f>
        <v>-41.27</v>
      </c>
      <c r="Z24" s="18" t="n">
        <f aca="false">(R24-O24)*100</f>
        <v>25.28</v>
      </c>
      <c r="AA24" s="20" t="n">
        <f aca="false">K24+(R24-O24)</f>
        <v>0.8401</v>
      </c>
      <c r="AB24" s="12" t="n">
        <f aca="false">E24/C24</f>
        <v>0.564803208824267</v>
      </c>
      <c r="AC24" s="14" t="n">
        <f aca="false">D24*100/C24</f>
        <v>2.12108297819002</v>
      </c>
      <c r="AD24" s="16" t="n">
        <f aca="false">D24-F24</f>
        <v>34.92</v>
      </c>
    </row>
    <row r="25" customFormat="false" ht="15" hidden="false" customHeight="false" outlineLevel="0" collapsed="false">
      <c r="A25" s="10" t="n">
        <v>5</v>
      </c>
      <c r="B25" s="10" t="s">
        <v>103</v>
      </c>
      <c r="C25" s="11" t="n">
        <v>9284</v>
      </c>
      <c r="D25" s="13" t="n">
        <v>526.98</v>
      </c>
      <c r="E25" s="11" t="n">
        <v>2666</v>
      </c>
      <c r="F25" s="13" t="n">
        <v>155.26</v>
      </c>
      <c r="G25" s="15" t="n">
        <v>0</v>
      </c>
      <c r="H25" s="15" t="n">
        <v>0</v>
      </c>
      <c r="I25" s="15" t="n">
        <v>0.2946</v>
      </c>
      <c r="J25" s="15" t="n">
        <v>0.2946</v>
      </c>
      <c r="K25" s="15" t="n">
        <v>0.2946</v>
      </c>
      <c r="L25" s="15" t="n">
        <v>0.9676</v>
      </c>
      <c r="M25" s="15" t="n">
        <v>0.2635</v>
      </c>
      <c r="N25" s="15" t="n">
        <v>0.3843</v>
      </c>
      <c r="O25" s="15" t="n">
        <v>0.3833</v>
      </c>
      <c r="P25" s="15" t="n">
        <v>0.9502</v>
      </c>
      <c r="Q25" s="15" t="n">
        <v>0.957</v>
      </c>
      <c r="R25" s="15" t="n">
        <v>0.9644</v>
      </c>
      <c r="S25" s="20" t="n">
        <f aca="false">F25/D25</f>
        <v>0.294622186800258</v>
      </c>
      <c r="T25" s="18" t="n">
        <f aca="false">(S25-K25)*100</f>
        <v>0.00221868002580616</v>
      </c>
      <c r="U25" s="18" t="n">
        <f aca="false">(G25+H25+I25-K25)*100</f>
        <v>0</v>
      </c>
      <c r="V25" s="18" t="n">
        <f aca="false">(I25+H25-J25)*100</f>
        <v>0</v>
      </c>
      <c r="W25" s="18" t="n">
        <f aca="false">(K25-O25)*100</f>
        <v>-8.87</v>
      </c>
      <c r="X25" s="18" t="n">
        <f aca="false">(K25-AVERAGE(M25:O25))*100</f>
        <v>-4.91</v>
      </c>
      <c r="Y25" s="18" t="n">
        <f aca="false">(K25-L25)*100</f>
        <v>-67.3</v>
      </c>
      <c r="Z25" s="18" t="n">
        <f aca="false">(R25-O25)*100</f>
        <v>58.11</v>
      </c>
      <c r="AA25" s="20" t="n">
        <f aca="false">K25+(R25-O25)</f>
        <v>0.8757</v>
      </c>
      <c r="AB25" s="12" t="n">
        <f aca="false">E25/C25</f>
        <v>0.287160706591986</v>
      </c>
      <c r="AC25" s="14" t="n">
        <f aca="false">D25*100/C25</f>
        <v>5.67621714778113</v>
      </c>
      <c r="AD25" s="16" t="n">
        <f aca="false">D25-F25</f>
        <v>371.72</v>
      </c>
    </row>
    <row r="26" customFormat="false" ht="15" hidden="false" customHeight="false" outlineLevel="0" collapsed="false">
      <c r="A26" s="10" t="n">
        <v>6</v>
      </c>
      <c r="B26" s="10" t="s">
        <v>104</v>
      </c>
      <c r="C26" s="11" t="n">
        <v>6491</v>
      </c>
      <c r="D26" s="13" t="n">
        <v>450.61</v>
      </c>
      <c r="E26" s="11" t="n">
        <v>1338</v>
      </c>
      <c r="F26" s="13" t="n">
        <v>125.03</v>
      </c>
      <c r="G26" s="15" t="n">
        <v>0</v>
      </c>
      <c r="H26" s="15" t="n">
        <v>0</v>
      </c>
      <c r="I26" s="15" t="n">
        <v>0.2775</v>
      </c>
      <c r="J26" s="15" t="n">
        <v>0.2775</v>
      </c>
      <c r="K26" s="15" t="n">
        <v>0.2775</v>
      </c>
      <c r="L26" s="15" t="n">
        <v>0.9677</v>
      </c>
      <c r="M26" s="15" t="n">
        <v>0.1682</v>
      </c>
      <c r="N26" s="15" t="n">
        <v>0.357</v>
      </c>
      <c r="O26" s="15" t="n">
        <v>0.3638</v>
      </c>
      <c r="P26" s="15" t="n">
        <v>0.9532</v>
      </c>
      <c r="Q26" s="15" t="n">
        <v>0.9628</v>
      </c>
      <c r="R26" s="15" t="n">
        <v>0.9647</v>
      </c>
      <c r="S26" s="20" t="n">
        <f aca="false">F26/D26</f>
        <v>0.277468320720801</v>
      </c>
      <c r="T26" s="18" t="n">
        <f aca="false">(S26-K26)*100</f>
        <v>-0.0031679279199337</v>
      </c>
      <c r="U26" s="18" t="n">
        <f aca="false">(G26+H26+I26-K26)*100</f>
        <v>0</v>
      </c>
      <c r="V26" s="18" t="n">
        <f aca="false">(I26+H26-J26)*100</f>
        <v>0</v>
      </c>
      <c r="W26" s="18" t="n">
        <f aca="false">(K26-O26)*100</f>
        <v>-8.63</v>
      </c>
      <c r="X26" s="18" t="n">
        <f aca="false">(K26-AVERAGE(M26:O26))*100</f>
        <v>-1.88333333333333</v>
      </c>
      <c r="Y26" s="18" t="n">
        <f aca="false">(K26-L26)*100</f>
        <v>-69.02</v>
      </c>
      <c r="Z26" s="18" t="n">
        <f aca="false">(R26-O26)*100</f>
        <v>60.09</v>
      </c>
      <c r="AA26" s="20" t="n">
        <f aca="false">K26+(R26-O26)</f>
        <v>0.8784</v>
      </c>
      <c r="AB26" s="12" t="n">
        <f aca="false">E26/C26</f>
        <v>0.206131566784779</v>
      </c>
      <c r="AC26" s="14" t="n">
        <f aca="false">D26*100/C26</f>
        <v>6.9420736404252</v>
      </c>
      <c r="AD26" s="16" t="n">
        <f aca="false">D26-F26</f>
        <v>325.58</v>
      </c>
    </row>
    <row r="27" customFormat="false" ht="15" hidden="false" customHeight="false" outlineLevel="0" collapsed="false">
      <c r="A27" s="10" t="n">
        <v>7</v>
      </c>
      <c r="B27" s="10" t="s">
        <v>105</v>
      </c>
      <c r="C27" s="11" t="n">
        <v>2793</v>
      </c>
      <c r="D27" s="13" t="n">
        <v>69.87</v>
      </c>
      <c r="E27" s="11" t="n">
        <v>921</v>
      </c>
      <c r="F27" s="13" t="n">
        <v>28.19</v>
      </c>
      <c r="G27" s="15" t="n">
        <v>0</v>
      </c>
      <c r="H27" s="15" t="n">
        <v>0</v>
      </c>
      <c r="I27" s="15" t="n">
        <v>0.4034</v>
      </c>
      <c r="J27" s="15" t="n">
        <v>0.4034</v>
      </c>
      <c r="K27" s="15" t="n">
        <v>0.4034</v>
      </c>
      <c r="L27" s="15" t="n">
        <v>0.9677</v>
      </c>
      <c r="M27" s="15" t="n">
        <v>0.4429</v>
      </c>
      <c r="N27" s="15" t="n">
        <v>0.5466</v>
      </c>
      <c r="O27" s="15" t="n">
        <v>0.5024</v>
      </c>
      <c r="P27" s="15" t="n">
        <v>0.9447</v>
      </c>
      <c r="Q27" s="15" t="n">
        <v>0.9278</v>
      </c>
      <c r="R27" s="15" t="n">
        <v>0.9675</v>
      </c>
      <c r="S27" s="20" t="n">
        <f aca="false">F27/D27</f>
        <v>0.403463575211106</v>
      </c>
      <c r="T27" s="18" t="n">
        <f aca="false">(S27-K27)*100</f>
        <v>0.0063575211106337</v>
      </c>
      <c r="U27" s="18" t="n">
        <f aca="false">(G27+H27+I27-K27)*100</f>
        <v>0</v>
      </c>
      <c r="V27" s="18" t="n">
        <f aca="false">(I27+H27-J27)*100</f>
        <v>0</v>
      </c>
      <c r="W27" s="18" t="n">
        <f aca="false">(K27-O27)*100</f>
        <v>-9.9</v>
      </c>
      <c r="X27" s="18" t="n">
        <f aca="false">(K27-AVERAGE(M27:O27))*100</f>
        <v>-9.39</v>
      </c>
      <c r="Y27" s="18" t="n">
        <f aca="false">(K27-L27)*100</f>
        <v>-56.43</v>
      </c>
      <c r="Z27" s="18" t="n">
        <f aca="false">(R27-O27)*100</f>
        <v>46.51</v>
      </c>
      <c r="AA27" s="20" t="n">
        <f aca="false">K27+(R27-O27)</f>
        <v>0.8685</v>
      </c>
      <c r="AB27" s="12" t="n">
        <f aca="false">E27/C27</f>
        <v>0.329752953813104</v>
      </c>
      <c r="AC27" s="14" t="n">
        <f aca="false">D27*100/C27</f>
        <v>2.5016111707841</v>
      </c>
      <c r="AD27" s="16" t="n">
        <f aca="false">D27-F27</f>
        <v>41.68</v>
      </c>
    </row>
    <row r="28" customFormat="false" ht="15" hidden="false" customHeight="false" outlineLevel="0" collapsed="false">
      <c r="A28" s="10" t="n">
        <v>8</v>
      </c>
      <c r="B28" s="21" t="s">
        <v>106</v>
      </c>
      <c r="C28" s="11" t="n">
        <v>14575</v>
      </c>
      <c r="D28" s="13" t="n">
        <v>1232.22</v>
      </c>
      <c r="E28" s="11" t="n">
        <v>7277</v>
      </c>
      <c r="F28" s="13" t="n">
        <v>749.35</v>
      </c>
      <c r="G28" s="15" t="n">
        <v>0</v>
      </c>
      <c r="H28" s="15" t="n">
        <v>0</v>
      </c>
      <c r="I28" s="15" t="n">
        <v>0.6081</v>
      </c>
      <c r="J28" s="15" t="n">
        <v>0.6081</v>
      </c>
      <c r="K28" s="15" t="n">
        <v>0.6081</v>
      </c>
      <c r="L28" s="15" t="n">
        <v>0.9779</v>
      </c>
      <c r="M28" s="15" t="n">
        <v>0.6397</v>
      </c>
      <c r="N28" s="15" t="n">
        <v>0.6852</v>
      </c>
      <c r="O28" s="15" t="n">
        <v>0.6883</v>
      </c>
      <c r="P28" s="15" t="n">
        <v>0.9742</v>
      </c>
      <c r="Q28" s="15" t="n">
        <v>0.9766</v>
      </c>
      <c r="R28" s="15" t="n">
        <v>0.9837</v>
      </c>
      <c r="S28" s="20" t="n">
        <f aca="false">F28/D28</f>
        <v>0.60813004171333</v>
      </c>
      <c r="T28" s="18" t="n">
        <f aca="false">(S28-K28)*100</f>
        <v>0.00300417133304309</v>
      </c>
      <c r="U28" s="18" t="n">
        <f aca="false">(G28+H28+I28-K28)*100</f>
        <v>0</v>
      </c>
      <c r="V28" s="18" t="n">
        <f aca="false">(I28+H28-J28)*100</f>
        <v>0</v>
      </c>
      <c r="W28" s="18" t="n">
        <f aca="false">(K28-O28)*100</f>
        <v>-8.02000000000001</v>
      </c>
      <c r="X28" s="18" t="n">
        <f aca="false">(K28-AVERAGE(M28:O28))*100</f>
        <v>-6.29666666666668</v>
      </c>
      <c r="Y28" s="18" t="n">
        <f aca="false">(K28-L28)*100</f>
        <v>-36.98</v>
      </c>
      <c r="Z28" s="18" t="n">
        <f aca="false">(R28-O28)*100</f>
        <v>29.54</v>
      </c>
      <c r="AA28" s="20" t="n">
        <f aca="false">K28+(R28-O28)</f>
        <v>0.9035</v>
      </c>
      <c r="AB28" s="12" t="n">
        <f aca="false">E28/C28</f>
        <v>0.499279588336192</v>
      </c>
      <c r="AC28" s="14" t="n">
        <f aca="false">D28*100/C28</f>
        <v>8.45433962264151</v>
      </c>
      <c r="AD28" s="16" t="n">
        <f aca="false">D28-F28</f>
        <v>482.87</v>
      </c>
    </row>
    <row r="29" customFormat="false" ht="15" hidden="false" customHeight="false" outlineLevel="0" collapsed="false">
      <c r="A29" s="10" t="n">
        <v>9</v>
      </c>
      <c r="B29" s="21" t="s">
        <v>107</v>
      </c>
      <c r="C29" s="11" t="n">
        <v>2200</v>
      </c>
      <c r="D29" s="13" t="n">
        <v>147.1</v>
      </c>
      <c r="E29" s="11" t="n">
        <v>606</v>
      </c>
      <c r="F29" s="13" t="n">
        <v>16.92</v>
      </c>
      <c r="G29" s="15" t="n">
        <v>0.0972</v>
      </c>
      <c r="H29" s="15" t="n">
        <v>0</v>
      </c>
      <c r="I29" s="15" t="n">
        <v>0.0178</v>
      </c>
      <c r="J29" s="15" t="n">
        <v>0.0178</v>
      </c>
      <c r="K29" s="15" t="n">
        <v>0.115</v>
      </c>
      <c r="L29" s="15" t="n">
        <v>0.8886</v>
      </c>
      <c r="M29" s="15" t="n">
        <v>0.2215</v>
      </c>
      <c r="N29" s="15" t="n">
        <v>0.1449</v>
      </c>
      <c r="O29" s="15" t="n">
        <v>0.2154</v>
      </c>
      <c r="P29" s="15" t="n">
        <v>0.848</v>
      </c>
      <c r="Q29" s="15" t="n">
        <v>0.7803</v>
      </c>
      <c r="R29" s="15" t="n">
        <v>0.8474</v>
      </c>
      <c r="S29" s="20" t="n">
        <f aca="false">F29/D29</f>
        <v>0.115023793337865</v>
      </c>
      <c r="T29" s="18" t="n">
        <f aca="false">(S29-K29)*100</f>
        <v>0.00237933378654104</v>
      </c>
      <c r="U29" s="18" t="n">
        <f aca="false">(G29+H29+I29-K29)*100</f>
        <v>0</v>
      </c>
      <c r="V29" s="18" t="n">
        <f aca="false">(I29+H29-J29)*100</f>
        <v>0</v>
      </c>
      <c r="W29" s="18" t="n">
        <f aca="false">(K29-O29)*100</f>
        <v>-10.04</v>
      </c>
      <c r="X29" s="18" t="n">
        <f aca="false">(K29-AVERAGE(M29:O29))*100</f>
        <v>-7.89333333333333</v>
      </c>
      <c r="Y29" s="18" t="n">
        <f aca="false">(K29-L29)*100</f>
        <v>-77.36</v>
      </c>
      <c r="Z29" s="18" t="n">
        <f aca="false">(R29-O29)*100</f>
        <v>63.2</v>
      </c>
      <c r="AA29" s="20" t="n">
        <f aca="false">K29+(R29-O29)</f>
        <v>0.747</v>
      </c>
      <c r="AB29" s="12" t="n">
        <f aca="false">E29/C29</f>
        <v>0.275454545454545</v>
      </c>
      <c r="AC29" s="14" t="n">
        <f aca="false">D29*100/C29</f>
        <v>6.68636363636364</v>
      </c>
      <c r="AD29" s="16" t="n">
        <f aca="false">D29-F29</f>
        <v>130.18</v>
      </c>
    </row>
    <row r="30" customFormat="false" ht="15" hidden="false" customHeight="false" outlineLevel="0" collapsed="false">
      <c r="A30" s="10" t="n">
        <v>10</v>
      </c>
      <c r="B30" s="21" t="s">
        <v>108</v>
      </c>
      <c r="C30" s="11" t="n">
        <v>1468</v>
      </c>
      <c r="D30" s="13" t="n">
        <v>103.04</v>
      </c>
      <c r="E30" s="11" t="n">
        <v>308</v>
      </c>
      <c r="F30" s="13" t="n">
        <v>10.96</v>
      </c>
      <c r="G30" s="15" t="n">
        <v>0.0945</v>
      </c>
      <c r="H30" s="15" t="n">
        <v>0.0025</v>
      </c>
      <c r="I30" s="15" t="n">
        <v>0.0094</v>
      </c>
      <c r="J30" s="15" t="n">
        <v>0.0119</v>
      </c>
      <c r="K30" s="15" t="n">
        <v>0.1064</v>
      </c>
      <c r="L30" s="15" t="n">
        <v>0.8686</v>
      </c>
      <c r="M30" s="15" t="n">
        <v>0.1657</v>
      </c>
      <c r="N30" s="15" t="n">
        <v>0.1954</v>
      </c>
      <c r="O30" s="15" t="n">
        <v>0.1874</v>
      </c>
      <c r="P30" s="15" t="n">
        <v>0.9496</v>
      </c>
      <c r="Q30" s="15" t="n">
        <v>0.9071</v>
      </c>
      <c r="R30" s="15" t="n">
        <v>0.8381</v>
      </c>
      <c r="S30" s="20" t="n">
        <f aca="false">F30/D30</f>
        <v>0.106366459627329</v>
      </c>
      <c r="T30" s="18" t="n">
        <f aca="false">(S30-K30)*100</f>
        <v>-0.00335403726707956</v>
      </c>
      <c r="U30" s="18" t="n">
        <f aca="false">(G30+H30+I30-K30)*100</f>
        <v>0</v>
      </c>
      <c r="V30" s="18" t="n">
        <f aca="false">(I30+H30-J30)*100</f>
        <v>0</v>
      </c>
      <c r="W30" s="18" t="n">
        <f aca="false">(K30-O30)*100</f>
        <v>-8.1</v>
      </c>
      <c r="X30" s="18" t="n">
        <f aca="false">(K30-AVERAGE(M30:O30))*100</f>
        <v>-7.64333333333333</v>
      </c>
      <c r="Y30" s="18" t="n">
        <f aca="false">(K30-L30)*100</f>
        <v>-76.22</v>
      </c>
      <c r="Z30" s="18" t="n">
        <f aca="false">(R30-O30)*100</f>
        <v>65.07</v>
      </c>
      <c r="AA30" s="20" t="n">
        <f aca="false">K30+(R30-O30)</f>
        <v>0.7571</v>
      </c>
      <c r="AB30" s="12" t="n">
        <f aca="false">E30/C30</f>
        <v>0.209809264305177</v>
      </c>
      <c r="AC30" s="14" t="n">
        <f aca="false">D30*100/C30</f>
        <v>7.01907356948229</v>
      </c>
      <c r="AD30" s="16" t="n">
        <f aca="false">D30-F30</f>
        <v>92.08</v>
      </c>
    </row>
    <row r="31" customFormat="false" ht="15" hidden="false" customHeight="false" outlineLevel="0" collapsed="false">
      <c r="B31" s="21" t="s">
        <v>109</v>
      </c>
      <c r="D31" s="16" t="n">
        <f aca="false">D28+D29+D30</f>
        <v>1482.36</v>
      </c>
      <c r="F31" s="16" t="n">
        <f aca="false">F28+F29+F30</f>
        <v>777.23</v>
      </c>
      <c r="K31" s="20" t="n">
        <f aca="false">F31/D31</f>
        <v>0.524319328638118</v>
      </c>
      <c r="AD31" s="16" t="n">
        <f aca="false">D31-F31</f>
        <v>705.13</v>
      </c>
    </row>
    <row r="32" customFormat="false" ht="15" hidden="false" customHeight="false" outlineLevel="0" collapsed="false">
      <c r="B32" s="10" t="s">
        <v>110</v>
      </c>
      <c r="D32" s="16" t="n">
        <f aca="false">SUM(D21:D27)</f>
        <v>2370.7</v>
      </c>
      <c r="F32" s="16" t="n">
        <f aca="false">D32-D28</f>
        <v>1138.48</v>
      </c>
    </row>
    <row r="34" customFormat="false" ht="15" hidden="false" customHeight="false" outlineLevel="0" collapsed="false">
      <c r="A34" s="5" t="s">
        <v>111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customFormat="false" ht="35.05" hidden="false" customHeight="false" outlineLevel="0" collapsed="false">
      <c r="A35" s="9" t="s">
        <v>39</v>
      </c>
      <c r="B35" s="9" t="s">
        <v>112</v>
      </c>
      <c r="C35" s="9" t="s">
        <v>113</v>
      </c>
      <c r="D35" s="9" t="s">
        <v>114</v>
      </c>
      <c r="E35" s="9" t="s">
        <v>115</v>
      </c>
      <c r="F35" s="9" t="s">
        <v>116</v>
      </c>
      <c r="G35" s="9" t="s">
        <v>117</v>
      </c>
      <c r="H35" s="9" t="s">
        <v>118</v>
      </c>
      <c r="I35" s="9" t="s">
        <v>119</v>
      </c>
      <c r="J35" s="9" t="s">
        <v>120</v>
      </c>
      <c r="K35" s="9" t="s">
        <v>121</v>
      </c>
      <c r="L35" s="9" t="s">
        <v>122</v>
      </c>
      <c r="M35" s="9" t="s">
        <v>123</v>
      </c>
      <c r="N35" s="9" t="s">
        <v>124</v>
      </c>
      <c r="O35" s="9" t="s">
        <v>125</v>
      </c>
    </row>
    <row r="36" customFormat="false" ht="15" hidden="false" customHeight="false" outlineLevel="0" collapsed="false">
      <c r="A36" s="10" t="n">
        <v>1</v>
      </c>
      <c r="B36" s="10" t="s">
        <v>126</v>
      </c>
      <c r="C36" s="15" t="n">
        <v>0.4906</v>
      </c>
      <c r="D36" s="15" t="n">
        <v>0.5591</v>
      </c>
      <c r="E36" s="15" t="n">
        <v>0.6233</v>
      </c>
      <c r="F36" s="15" t="n">
        <v>0.5335</v>
      </c>
      <c r="G36" s="15" t="n">
        <v>0.4788</v>
      </c>
      <c r="H36" s="15" t="n">
        <v>0.5521</v>
      </c>
      <c r="I36" s="18" t="n">
        <f aca="false">(H36-G36)*100</f>
        <v>7.33</v>
      </c>
      <c r="J36" s="18" t="n">
        <f aca="false">(H36-C36)*100</f>
        <v>6.15000000000001</v>
      </c>
      <c r="K36" s="20" t="n">
        <f aca="false">AVERAGE(C36:H36)</f>
        <v>0.539566666666667</v>
      </c>
      <c r="L36" s="20" t="n">
        <f aca="false">MIN(C36:H36)</f>
        <v>0.4788</v>
      </c>
      <c r="M36" s="20" t="n">
        <f aca="false">MAX(C36:H36)</f>
        <v>0.6233</v>
      </c>
      <c r="N36" s="17" t="n">
        <f aca="false">RANK(H36,C36:H36)</f>
        <v>3</v>
      </c>
      <c r="O36" s="18" t="n">
        <f aca="false">(H36-R21)*100</f>
        <v>0</v>
      </c>
    </row>
    <row r="37" customFormat="false" ht="15" hidden="false" customHeight="false" outlineLevel="0" collapsed="false">
      <c r="A37" s="10" t="n">
        <v>2</v>
      </c>
      <c r="B37" s="10" t="s">
        <v>127</v>
      </c>
      <c r="C37" s="15" t="n">
        <v>0.8628</v>
      </c>
      <c r="D37" s="15" t="n">
        <v>0.7554</v>
      </c>
      <c r="E37" s="15" t="n">
        <v>0.8185</v>
      </c>
      <c r="F37" s="15" t="n">
        <v>0.7785</v>
      </c>
      <c r="G37" s="15" t="n">
        <v>0.8655</v>
      </c>
      <c r="H37" s="15" t="n">
        <v>0.8897</v>
      </c>
      <c r="I37" s="18" t="n">
        <f aca="false">(H37-G37)*100</f>
        <v>2.42</v>
      </c>
      <c r="J37" s="18" t="n">
        <f aca="false">(H37-C37)*100</f>
        <v>2.69</v>
      </c>
      <c r="K37" s="20" t="n">
        <f aca="false">AVERAGE(C37:H37)</f>
        <v>0.8284</v>
      </c>
      <c r="L37" s="20" t="n">
        <f aca="false">MIN(C37:H37)</f>
        <v>0.7554</v>
      </c>
      <c r="M37" s="20" t="n">
        <f aca="false">MAX(C37:H37)</f>
        <v>0.8897</v>
      </c>
      <c r="N37" s="17" t="n">
        <f aca="false">RANK(H37,C37:H37)</f>
        <v>1</v>
      </c>
      <c r="O37" s="18" t="n">
        <f aca="false">(H37-R22)*100</f>
        <v>0</v>
      </c>
    </row>
    <row r="38" customFormat="false" ht="15" hidden="false" customHeight="false" outlineLevel="0" collapsed="false">
      <c r="A38" s="10" t="n">
        <v>3</v>
      </c>
      <c r="B38" s="10" t="s">
        <v>128</v>
      </c>
      <c r="C38" s="15" t="n">
        <v>0.9953</v>
      </c>
      <c r="D38" s="15" t="n">
        <v>0.9916</v>
      </c>
      <c r="E38" s="15" t="n">
        <v>0.9887</v>
      </c>
      <c r="F38" s="15" t="n">
        <v>0.9978</v>
      </c>
      <c r="G38" s="15" t="n">
        <v>0.995</v>
      </c>
      <c r="H38" s="15" t="n">
        <v>0.9994</v>
      </c>
      <c r="I38" s="18" t="n">
        <f aca="false">(H38-G38)*100</f>
        <v>0.439999999999996</v>
      </c>
      <c r="J38" s="18" t="n">
        <f aca="false">(H38-C38)*100</f>
        <v>0.409999999999999</v>
      </c>
      <c r="K38" s="20" t="n">
        <f aca="false">AVERAGE(C38:H38)</f>
        <v>0.994633333333333</v>
      </c>
      <c r="L38" s="20" t="n">
        <f aca="false">MIN(C38:H38)</f>
        <v>0.9887</v>
      </c>
      <c r="M38" s="20" t="n">
        <f aca="false">MAX(C38:H38)</f>
        <v>0.9994</v>
      </c>
      <c r="N38" s="17" t="n">
        <f aca="false">RANK(H38,C38:H38)</f>
        <v>1</v>
      </c>
      <c r="O38" s="18" t="n">
        <f aca="false">(H38-R23)*100</f>
        <v>0</v>
      </c>
    </row>
    <row r="39" customFormat="false" ht="15" hidden="false" customHeight="false" outlineLevel="0" collapsed="false">
      <c r="A39" s="10" t="n">
        <v>4</v>
      </c>
      <c r="B39" s="10" t="s">
        <v>129</v>
      </c>
      <c r="C39" s="15" t="n">
        <v>0.9589</v>
      </c>
      <c r="D39" s="15" t="n">
        <v>0.9693</v>
      </c>
      <c r="E39" s="15" t="n">
        <v>0.9994</v>
      </c>
      <c r="F39" s="15" t="n">
        <v>0.965</v>
      </c>
      <c r="G39" s="15" t="n">
        <v>0.9491</v>
      </c>
      <c r="H39" s="15" t="n">
        <v>0.9657</v>
      </c>
      <c r="I39" s="18" t="n">
        <f aca="false">(H39-G39)*100</f>
        <v>1.65999999999999</v>
      </c>
      <c r="J39" s="18" t="n">
        <f aca="false">(H39-C39)*100</f>
        <v>0.680000000000003</v>
      </c>
      <c r="K39" s="20" t="n">
        <f aca="false">AVERAGE(C39:H39)</f>
        <v>0.9679</v>
      </c>
      <c r="L39" s="20" t="n">
        <f aca="false">MIN(C39:H39)</f>
        <v>0.9491</v>
      </c>
      <c r="M39" s="20" t="n">
        <f aca="false">MAX(C39:H39)</f>
        <v>0.9994</v>
      </c>
      <c r="N39" s="17" t="n">
        <f aca="false">RANK(H39,C39:H39)</f>
        <v>3</v>
      </c>
      <c r="O39" s="18" t="n">
        <f aca="false">(H39-R24)*100</f>
        <v>0</v>
      </c>
    </row>
    <row r="40" customFormat="false" ht="15" hidden="false" customHeight="false" outlineLevel="0" collapsed="false">
      <c r="A40" s="10" t="n">
        <v>5</v>
      </c>
      <c r="B40" s="10" t="s">
        <v>130</v>
      </c>
      <c r="C40" s="15" t="n">
        <v>0.9554</v>
      </c>
      <c r="D40" s="15" t="n">
        <v>0.9502</v>
      </c>
      <c r="E40" s="15" t="n">
        <v>0.9521</v>
      </c>
      <c r="F40" s="15" t="n">
        <v>0.9306</v>
      </c>
      <c r="G40" s="15" t="n">
        <v>0.957</v>
      </c>
      <c r="H40" s="15" t="n">
        <v>0.9644</v>
      </c>
      <c r="I40" s="18" t="n">
        <f aca="false">(H40-G40)*100</f>
        <v>0.740000000000007</v>
      </c>
      <c r="J40" s="18" t="n">
        <f aca="false">(H40-C40)*100</f>
        <v>0.900000000000001</v>
      </c>
      <c r="K40" s="20" t="n">
        <f aca="false">AVERAGE(C40:H40)</f>
        <v>0.951616666666667</v>
      </c>
      <c r="L40" s="20" t="n">
        <f aca="false">MIN(C40:H40)</f>
        <v>0.9306</v>
      </c>
      <c r="M40" s="20" t="n">
        <f aca="false">MAX(C40:H40)</f>
        <v>0.9644</v>
      </c>
      <c r="N40" s="17" t="n">
        <f aca="false">RANK(H40,C40:H40)</f>
        <v>1</v>
      </c>
      <c r="O40" s="18" t="n">
        <f aca="false">(H40-R25)*100</f>
        <v>0</v>
      </c>
    </row>
    <row r="41" customFormat="false" ht="15" hidden="false" customHeight="false" outlineLevel="0" collapsed="false">
      <c r="A41" s="10" t="n">
        <v>6</v>
      </c>
      <c r="B41" s="10" t="s">
        <v>131</v>
      </c>
      <c r="C41" s="15" t="n">
        <v>0.9584</v>
      </c>
      <c r="D41" s="15" t="n">
        <v>0.9532</v>
      </c>
      <c r="E41" s="15" t="n">
        <v>0.9646</v>
      </c>
      <c r="F41" s="15" t="n">
        <v>0.9389</v>
      </c>
      <c r="G41" s="15" t="n">
        <v>0.9628</v>
      </c>
      <c r="H41" s="15" t="n">
        <v>0.9647</v>
      </c>
      <c r="I41" s="18" t="n">
        <f aca="false">(H41-G41)*100</f>
        <v>0.190000000000001</v>
      </c>
      <c r="J41" s="18" t="n">
        <f aca="false">(H41-C41)*100</f>
        <v>0.629999999999997</v>
      </c>
      <c r="K41" s="20" t="n">
        <f aca="false">AVERAGE(C41:H41)</f>
        <v>0.9571</v>
      </c>
      <c r="L41" s="20" t="n">
        <f aca="false">MIN(C41:H41)</f>
        <v>0.9389</v>
      </c>
      <c r="M41" s="20" t="n">
        <f aca="false">MAX(C41:H41)</f>
        <v>0.9647</v>
      </c>
      <c r="N41" s="17" t="n">
        <f aca="false">RANK(H41,C41:H41)</f>
        <v>1</v>
      </c>
      <c r="O41" s="18" t="n">
        <f aca="false">(H41-R26)*100</f>
        <v>0</v>
      </c>
    </row>
    <row r="42" customFormat="false" ht="15" hidden="false" customHeight="false" outlineLevel="0" collapsed="false">
      <c r="A42" s="10" t="n">
        <v>7</v>
      </c>
      <c r="B42" s="10" t="s">
        <v>132</v>
      </c>
      <c r="C42" s="15" t="n">
        <v>0.943</v>
      </c>
      <c r="D42" s="15" t="n">
        <v>0.9447</v>
      </c>
      <c r="E42" s="15" t="n">
        <v>0.879</v>
      </c>
      <c r="F42" s="15" t="n">
        <v>0.8931</v>
      </c>
      <c r="G42" s="15" t="n">
        <v>0.9278</v>
      </c>
      <c r="H42" s="15" t="n">
        <v>0.9675</v>
      </c>
      <c r="I42" s="18" t="n">
        <f aca="false">(H42-G42)*100</f>
        <v>3.97000000000001</v>
      </c>
      <c r="J42" s="18" t="n">
        <f aca="false">(H42-C42)*100</f>
        <v>2.45000000000001</v>
      </c>
      <c r="K42" s="20" t="n">
        <f aca="false">AVERAGE(C42:H42)</f>
        <v>0.92585</v>
      </c>
      <c r="L42" s="20" t="n">
        <f aca="false">MIN(C42:H42)</f>
        <v>0.879</v>
      </c>
      <c r="M42" s="20" t="n">
        <f aca="false">MAX(C42:H42)</f>
        <v>0.9675</v>
      </c>
      <c r="N42" s="17" t="n">
        <f aca="false">RANK(H42,C42:H42)</f>
        <v>1</v>
      </c>
      <c r="O42" s="18" t="n">
        <f aca="false">(H42-R27)*100</f>
        <v>0</v>
      </c>
    </row>
    <row r="43" customFormat="false" ht="15" hidden="false" customHeight="false" outlineLevel="0" collapsed="false">
      <c r="A43" s="10" t="n">
        <v>8</v>
      </c>
      <c r="B43" s="10" t="s">
        <v>133</v>
      </c>
      <c r="C43" s="15" t="n">
        <v>0.977</v>
      </c>
      <c r="D43" s="15" t="n">
        <v>0.9742</v>
      </c>
      <c r="E43" s="15" t="n">
        <v>0.9713</v>
      </c>
      <c r="F43" s="15" t="n">
        <v>0.9612</v>
      </c>
      <c r="G43" s="15" t="n">
        <v>0.9766</v>
      </c>
      <c r="H43" s="15" t="n">
        <v>0.9837</v>
      </c>
      <c r="I43" s="18" t="n">
        <f aca="false">(H43-G43)*100</f>
        <v>0.71</v>
      </c>
      <c r="J43" s="18" t="n">
        <f aca="false">(H43-C43)*100</f>
        <v>0.670000000000004</v>
      </c>
      <c r="K43" s="20" t="n">
        <f aca="false">AVERAGE(C43:H43)</f>
        <v>0.974</v>
      </c>
      <c r="L43" s="20" t="n">
        <f aca="false">MIN(C43:H43)</f>
        <v>0.9612</v>
      </c>
      <c r="M43" s="20" t="n">
        <f aca="false">MAX(C43:H43)</f>
        <v>0.9837</v>
      </c>
      <c r="N43" s="17" t="n">
        <f aca="false">RANK(H43,C43:H43)</f>
        <v>1</v>
      </c>
      <c r="O43" s="18" t="n">
        <f aca="false">(H43-R28)*100</f>
        <v>0</v>
      </c>
    </row>
    <row r="44" customFormat="false" ht="15" hidden="false" customHeight="false" outlineLevel="0" collapsed="false">
      <c r="A44" s="10" t="n">
        <v>9</v>
      </c>
      <c r="B44" s="10" t="s">
        <v>134</v>
      </c>
      <c r="C44" s="15" t="n">
        <v>0.8978</v>
      </c>
      <c r="D44" s="15" t="n">
        <v>0.848</v>
      </c>
      <c r="E44" s="15" t="n">
        <v>0.8351</v>
      </c>
      <c r="F44" s="15" t="n">
        <v>0.8698</v>
      </c>
      <c r="G44" s="15" t="n">
        <v>0.7803</v>
      </c>
      <c r="H44" s="15" t="n">
        <v>0.8474</v>
      </c>
      <c r="I44" s="18" t="n">
        <f aca="false">(H44-G44)*100</f>
        <v>6.71</v>
      </c>
      <c r="J44" s="18" t="n">
        <f aca="false">(H44-C44)*100</f>
        <v>-5.04</v>
      </c>
      <c r="K44" s="20" t="n">
        <f aca="false">AVERAGE(C44:H44)</f>
        <v>0.8464</v>
      </c>
      <c r="L44" s="20" t="n">
        <f aca="false">MIN(C44:H44)</f>
        <v>0.7803</v>
      </c>
      <c r="M44" s="20" t="n">
        <f aca="false">MAX(C44:H44)</f>
        <v>0.8978</v>
      </c>
      <c r="N44" s="17" t="n">
        <f aca="false">RANK(H44,C44:H44)</f>
        <v>4</v>
      </c>
      <c r="O44" s="18" t="n">
        <f aca="false">(H44-R29)*100</f>
        <v>0</v>
      </c>
    </row>
    <row r="45" customFormat="false" ht="15" hidden="false" customHeight="false" outlineLevel="0" collapsed="false">
      <c r="A45" s="10" t="n">
        <v>10</v>
      </c>
      <c r="B45" s="10" t="s">
        <v>135</v>
      </c>
      <c r="C45" s="15" t="n">
        <v>0.8743</v>
      </c>
      <c r="D45" s="15" t="n">
        <v>0.9496</v>
      </c>
      <c r="E45" s="15" t="n">
        <v>0.8873</v>
      </c>
      <c r="F45" s="15" t="n">
        <v>0.931</v>
      </c>
      <c r="G45" s="15" t="n">
        <v>0.9071</v>
      </c>
      <c r="H45" s="15" t="n">
        <v>0.8381</v>
      </c>
      <c r="I45" s="18" t="n">
        <f aca="false">(H45-G45)*100</f>
        <v>-6.90000000000001</v>
      </c>
      <c r="J45" s="18" t="n">
        <f aca="false">(H45-C45)*100</f>
        <v>-3.62</v>
      </c>
      <c r="K45" s="20" t="n">
        <f aca="false">AVERAGE(C45:H45)</f>
        <v>0.8979</v>
      </c>
      <c r="L45" s="20" t="n">
        <f aca="false">MIN(C45:H45)</f>
        <v>0.8381</v>
      </c>
      <c r="M45" s="20" t="n">
        <f aca="false">MAX(C45:H45)</f>
        <v>0.9496</v>
      </c>
      <c r="N45" s="17" t="n">
        <f aca="false">RANK(H45,C45:H45)</f>
        <v>6</v>
      </c>
      <c r="O45" s="18" t="n">
        <f aca="false">(H45-R30)*100</f>
        <v>0</v>
      </c>
    </row>
    <row r="48" customFormat="false" ht="15" hidden="false" customHeight="false" outlineLevel="0" collapsed="false">
      <c r="A48" s="5" t="s">
        <v>136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customFormat="false" ht="23.85" hidden="false" customHeight="false" outlineLevel="0" collapsed="false">
      <c r="A49" s="9" t="s">
        <v>39</v>
      </c>
      <c r="B49" s="9" t="s">
        <v>137</v>
      </c>
      <c r="C49" s="9" t="s">
        <v>138</v>
      </c>
      <c r="D49" s="9" t="s">
        <v>42</v>
      </c>
      <c r="E49" s="9" t="s">
        <v>139</v>
      </c>
    </row>
    <row r="50" customFormat="false" ht="35.05" hidden="false" customHeight="false" outlineLevel="0" collapsed="false">
      <c r="A50" s="10" t="n">
        <v>1</v>
      </c>
      <c r="B50" s="22" t="s">
        <v>140</v>
      </c>
      <c r="C50" s="18" t="n">
        <f aca="false">W28</f>
        <v>-8.02000000000001</v>
      </c>
      <c r="D50" s="10" t="s">
        <v>141</v>
      </c>
      <c r="E50" s="23" t="s">
        <v>142</v>
      </c>
    </row>
    <row r="51" customFormat="false" ht="35.05" hidden="false" customHeight="false" outlineLevel="0" collapsed="false">
      <c r="A51" s="10" t="n">
        <v>2</v>
      </c>
      <c r="B51" s="22" t="s">
        <v>143</v>
      </c>
      <c r="C51" s="20" t="n">
        <f aca="false">AA28</f>
        <v>0.9035</v>
      </c>
      <c r="D51" s="10" t="s">
        <v>55</v>
      </c>
      <c r="E51" s="23" t="s">
        <v>144</v>
      </c>
    </row>
    <row r="52" customFormat="false" ht="35.05" hidden="false" customHeight="false" outlineLevel="0" collapsed="false">
      <c r="A52" s="10" t="n">
        <v>3</v>
      </c>
      <c r="B52" s="22" t="s">
        <v>145</v>
      </c>
      <c r="C52" s="20" t="n">
        <f aca="false">I29</f>
        <v>0.0178</v>
      </c>
      <c r="D52" s="10" t="s">
        <v>55</v>
      </c>
      <c r="E52" s="23" t="s">
        <v>146</v>
      </c>
    </row>
    <row r="53" customFormat="false" ht="57.45" hidden="false" customHeight="false" outlineLevel="0" collapsed="false">
      <c r="A53" s="10" t="n">
        <v>4</v>
      </c>
      <c r="B53" s="22" t="s">
        <v>147</v>
      </c>
      <c r="C53" s="16" t="n">
        <f aca="false">F32</f>
        <v>1138.48</v>
      </c>
      <c r="D53" s="10" t="s">
        <v>48</v>
      </c>
      <c r="E53" s="23" t="s">
        <v>148</v>
      </c>
    </row>
    <row r="54" customFormat="false" ht="46.25" hidden="false" customHeight="false" outlineLevel="0" collapsed="false">
      <c r="A54" s="10" t="n">
        <v>5</v>
      </c>
      <c r="B54" s="22" t="s">
        <v>149</v>
      </c>
      <c r="C54" s="18" t="n">
        <f aca="false">MAX(ABS(MIN(T21:V30)),MAX(T21:V30),ABS(MIN(O36:O45)),MAX(O36:O45))</f>
        <v>0.0063575211106337</v>
      </c>
      <c r="D54" s="10" t="s">
        <v>141</v>
      </c>
      <c r="E54" s="23" t="s">
        <v>150</v>
      </c>
    </row>
    <row r="55" customFormat="false" ht="35.05" hidden="false" customHeight="false" outlineLevel="0" collapsed="false">
      <c r="A55" s="10" t="n">
        <v>6</v>
      </c>
      <c r="B55" s="22" t="s">
        <v>151</v>
      </c>
      <c r="C55" s="18" t="n">
        <f aca="false">F15</f>
        <v>0.39</v>
      </c>
      <c r="D55" s="10" t="s">
        <v>141</v>
      </c>
      <c r="E55" s="23" t="s">
        <v>152</v>
      </c>
    </row>
    <row r="56" customFormat="false" ht="23.85" hidden="false" customHeight="false" outlineLevel="0" collapsed="false">
      <c r="A56" s="10" t="n">
        <v>7</v>
      </c>
      <c r="B56" s="22" t="s">
        <v>153</v>
      </c>
      <c r="C56" s="17" t="n">
        <f aca="false">N45</f>
        <v>6</v>
      </c>
      <c r="D56" s="10" t="s">
        <v>45</v>
      </c>
      <c r="E56" s="23" t="s">
        <v>154</v>
      </c>
    </row>
    <row r="58" customFormat="false" ht="15" hidden="false" customHeight="false" outlineLevel="0" collapsed="false">
      <c r="A58" s="5" t="s">
        <v>155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60" customFormat="false" ht="15" hidden="false" customHeight="false" outlineLevel="0" collapsed="false">
      <c r="A60" s="5" t="s">
        <v>156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customFormat="false" ht="15" hidden="false" customHeight="false" outlineLevel="0" collapsed="false">
      <c r="A61" s="9" t="s">
        <v>39</v>
      </c>
      <c r="B61" s="9" t="s">
        <v>157</v>
      </c>
      <c r="C61" s="9" t="s">
        <v>158</v>
      </c>
      <c r="D61" s="9" t="s">
        <v>159</v>
      </c>
      <c r="E61" s="9" t="s">
        <v>160</v>
      </c>
      <c r="F61" s="9" t="s">
        <v>42</v>
      </c>
      <c r="G61" s="9" t="s">
        <v>161</v>
      </c>
    </row>
    <row r="62" customFormat="false" ht="46.25" hidden="false" customHeight="false" outlineLevel="0" collapsed="false">
      <c r="A62" s="10" t="n">
        <v>1</v>
      </c>
      <c r="B62" s="21" t="s">
        <v>162</v>
      </c>
      <c r="C62" s="23" t="s">
        <v>163</v>
      </c>
      <c r="D62" s="23" t="s">
        <v>164</v>
      </c>
      <c r="E62" s="16" t="n">
        <f aca="false">C10</f>
        <v>32364.12</v>
      </c>
      <c r="F62" s="10" t="s">
        <v>48</v>
      </c>
      <c r="G62" s="23"/>
    </row>
    <row r="63" customFormat="false" ht="35.05" hidden="false" customHeight="false" outlineLevel="0" collapsed="false">
      <c r="A63" s="10" t="n">
        <v>2</v>
      </c>
      <c r="B63" s="21" t="s">
        <v>162</v>
      </c>
      <c r="C63" s="23" t="s">
        <v>165</v>
      </c>
      <c r="D63" s="23" t="s">
        <v>164</v>
      </c>
      <c r="E63" s="20" t="n">
        <f aca="false">K28</f>
        <v>0.6081</v>
      </c>
      <c r="F63" s="10" t="s">
        <v>55</v>
      </c>
      <c r="G63" s="23"/>
    </row>
    <row r="64" customFormat="false" ht="68.65" hidden="false" customHeight="false" outlineLevel="0" collapsed="false">
      <c r="A64" s="10" t="n">
        <v>3</v>
      </c>
      <c r="B64" s="21" t="s">
        <v>162</v>
      </c>
      <c r="C64" s="23" t="s">
        <v>166</v>
      </c>
      <c r="D64" s="23" t="s">
        <v>164</v>
      </c>
      <c r="E64" s="20" t="n">
        <f aca="false">R21</f>
        <v>0.5521</v>
      </c>
      <c r="F64" s="10" t="s">
        <v>55</v>
      </c>
      <c r="G64" s="23"/>
    </row>
    <row r="65" customFormat="false" ht="79.85" hidden="false" customHeight="false" outlineLevel="0" collapsed="false">
      <c r="A65" s="10" t="n">
        <v>4</v>
      </c>
      <c r="B65" s="21" t="s">
        <v>167</v>
      </c>
      <c r="C65" s="23" t="s">
        <v>168</v>
      </c>
      <c r="D65" s="23" t="s">
        <v>169</v>
      </c>
      <c r="E65" s="14" t="n">
        <f aca="false">F13</f>
        <v>14.864092705532</v>
      </c>
      <c r="F65" s="10" t="s">
        <v>170</v>
      </c>
      <c r="G65" s="23"/>
    </row>
    <row r="66" customFormat="false" ht="57.45" hidden="false" customHeight="false" outlineLevel="0" collapsed="false">
      <c r="A66" s="10" t="n">
        <v>5</v>
      </c>
      <c r="B66" s="21" t="s">
        <v>167</v>
      </c>
      <c r="C66" s="23" t="s">
        <v>171</v>
      </c>
      <c r="D66" s="23" t="s">
        <v>172</v>
      </c>
      <c r="E66" s="18" t="n">
        <f aca="false">Y29</f>
        <v>-77.36</v>
      </c>
      <c r="F66" s="10" t="s">
        <v>141</v>
      </c>
      <c r="G66" s="23"/>
    </row>
    <row r="67" customFormat="false" ht="46.25" hidden="false" customHeight="false" outlineLevel="0" collapsed="false">
      <c r="A67" s="10" t="n">
        <v>6</v>
      </c>
      <c r="B67" s="21" t="s">
        <v>167</v>
      </c>
      <c r="C67" s="23" t="s">
        <v>173</v>
      </c>
      <c r="D67" s="23" t="s">
        <v>174</v>
      </c>
      <c r="E67" s="20" t="n">
        <f aca="false">K31</f>
        <v>0.524319328638118</v>
      </c>
      <c r="F67" s="10" t="s">
        <v>55</v>
      </c>
      <c r="G67" s="23"/>
    </row>
    <row r="68" customFormat="false" ht="57.45" hidden="false" customHeight="false" outlineLevel="0" collapsed="false">
      <c r="A68" s="10" t="n">
        <v>7</v>
      </c>
      <c r="B68" s="21" t="s">
        <v>167</v>
      </c>
      <c r="C68" s="23" t="s">
        <v>175</v>
      </c>
      <c r="D68" s="23" t="s">
        <v>176</v>
      </c>
      <c r="E68" s="24" t="str">
        <f aca="false">INDEX(B36:B45,MATCH(MAX(K36:K45),K36:K45,0))</f>
        <v>C. Telecalling (excl. Field Referred)</v>
      </c>
      <c r="F68" s="10" t="s">
        <v>68</v>
      </c>
      <c r="G68" s="23"/>
    </row>
    <row r="69" customFormat="false" ht="124.6" hidden="false" customHeight="false" outlineLevel="0" collapsed="false">
      <c r="A69" s="10" t="n">
        <v>8</v>
      </c>
      <c r="B69" s="21" t="s">
        <v>177</v>
      </c>
      <c r="C69" s="23" t="s">
        <v>178</v>
      </c>
      <c r="D69" s="23" t="s">
        <v>179</v>
      </c>
      <c r="E69" s="18" t="n">
        <f aca="false">MIN(X28:X30)</f>
        <v>-7.89333333333333</v>
      </c>
      <c r="F69" s="10" t="s">
        <v>141</v>
      </c>
      <c r="G69" s="23" t="s">
        <v>180</v>
      </c>
    </row>
    <row r="70" customFormat="false" ht="102.2" hidden="false" customHeight="false" outlineLevel="0" collapsed="false">
      <c r="A70" s="10" t="n">
        <v>9</v>
      </c>
      <c r="B70" s="21" t="s">
        <v>177</v>
      </c>
      <c r="C70" s="23" t="s">
        <v>181</v>
      </c>
      <c r="D70" s="23" t="s">
        <v>182</v>
      </c>
      <c r="E70" s="18" t="n">
        <f aca="false">(AA29-L29)*100</f>
        <v>-14.16</v>
      </c>
      <c r="F70" s="10" t="s">
        <v>141</v>
      </c>
      <c r="G70" s="23" t="s">
        <v>183</v>
      </c>
    </row>
    <row r="71" customFormat="false" ht="68.65" hidden="false" customHeight="false" outlineLevel="0" collapsed="false">
      <c r="A71" s="10" t="n">
        <v>10</v>
      </c>
      <c r="B71" s="21" t="s">
        <v>177</v>
      </c>
      <c r="C71" s="23" t="s">
        <v>184</v>
      </c>
      <c r="D71" s="23" t="s">
        <v>185</v>
      </c>
      <c r="E71" s="16" t="n">
        <f aca="false">AD31</f>
        <v>705.13</v>
      </c>
      <c r="F71" s="10" t="s">
        <v>48</v>
      </c>
      <c r="G71" s="23" t="s">
        <v>186</v>
      </c>
    </row>
    <row r="73" customFormat="false" ht="15" hidden="false" customHeight="false" outlineLevel="0" collapsed="false">
      <c r="A73" s="5" t="s">
        <v>187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customFormat="false" ht="69.75" hidden="false" customHeight="true" outlineLevel="0" collapsed="false">
      <c r="A74" s="25" t="s">
        <v>188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</row>
    <row r="76" customFormat="false" ht="15" hidden="false" customHeight="false" outlineLevel="0" collapsed="false">
      <c r="A76" s="4" t="s">
        <v>2</v>
      </c>
    </row>
  </sheetData>
  <mergeCells count="1">
    <mergeCell ref="A74:X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189</v>
      </c>
    </row>
    <row r="2" customFormat="false" ht="15" hidden="false" customHeight="false" outlineLevel="0" collapsed="false">
      <c r="A2" s="3" t="s">
        <v>190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191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6" t="s">
        <v>192</v>
      </c>
      <c r="C6" s="26" t="s">
        <v>193</v>
      </c>
      <c r="D6" s="26"/>
      <c r="E6" s="26"/>
      <c r="F6" s="26"/>
    </row>
    <row r="7" customFormat="false" ht="15" hidden="false" customHeight="true" outlineLevel="0" collapsed="false">
      <c r="B7" s="21" t="s">
        <v>194</v>
      </c>
      <c r="C7" s="23" t="s">
        <v>195</v>
      </c>
      <c r="D7" s="23"/>
      <c r="E7" s="23"/>
      <c r="F7" s="23"/>
    </row>
    <row r="8" customFormat="false" ht="15" hidden="false" customHeight="true" outlineLevel="0" collapsed="false">
      <c r="B8" s="21" t="s">
        <v>196</v>
      </c>
      <c r="C8" s="23" t="s">
        <v>197</v>
      </c>
      <c r="D8" s="23"/>
      <c r="E8" s="23"/>
      <c r="F8" s="23"/>
    </row>
    <row r="9" customFormat="false" ht="15" hidden="false" customHeight="true" outlineLevel="0" collapsed="false">
      <c r="B9" s="21" t="s">
        <v>198</v>
      </c>
      <c r="C9" s="23" t="s">
        <v>199</v>
      </c>
      <c r="D9" s="23"/>
      <c r="E9" s="23"/>
      <c r="F9" s="23"/>
    </row>
    <row r="10" customFormat="false" ht="15" hidden="false" customHeight="true" outlineLevel="0" collapsed="false">
      <c r="B10" s="21" t="s">
        <v>200</v>
      </c>
      <c r="C10" s="23" t="s">
        <v>201</v>
      </c>
      <c r="D10" s="23"/>
      <c r="E10" s="23"/>
      <c r="F10" s="23"/>
    </row>
    <row r="11" customFormat="false" ht="15" hidden="false" customHeight="true" outlineLevel="0" collapsed="false">
      <c r="B11" s="21" t="s">
        <v>202</v>
      </c>
      <c r="C11" s="23" t="s">
        <v>203</v>
      </c>
      <c r="D11" s="23"/>
      <c r="E11" s="23"/>
      <c r="F11" s="23"/>
    </row>
    <row r="12" customFormat="false" ht="15" hidden="false" customHeight="true" outlineLevel="0" collapsed="false">
      <c r="B12" s="21" t="s">
        <v>204</v>
      </c>
      <c r="C12" s="23" t="s">
        <v>205</v>
      </c>
      <c r="D12" s="23"/>
      <c r="E12" s="23"/>
      <c r="F12" s="23"/>
    </row>
    <row r="13" customFormat="false" ht="15" hidden="false" customHeight="true" outlineLevel="0" collapsed="false">
      <c r="B13" s="21" t="s">
        <v>206</v>
      </c>
      <c r="C13" s="23" t="s">
        <v>207</v>
      </c>
      <c r="D13" s="23"/>
      <c r="E13" s="23"/>
      <c r="F13" s="23"/>
    </row>
    <row r="14" customFormat="false" ht="15" hidden="false" customHeight="true" outlineLevel="0" collapsed="false">
      <c r="B14" s="21" t="s">
        <v>208</v>
      </c>
      <c r="C14" s="23" t="s">
        <v>209</v>
      </c>
      <c r="D14" s="23"/>
      <c r="E14" s="23"/>
      <c r="F14" s="23"/>
    </row>
    <row r="15" customFormat="false" ht="15" hidden="false" customHeight="true" outlineLevel="0" collapsed="false">
      <c r="B15" s="21" t="s">
        <v>210</v>
      </c>
      <c r="C15" s="23" t="s">
        <v>211</v>
      </c>
      <c r="D15" s="23"/>
      <c r="E15" s="23"/>
      <c r="F15" s="23"/>
    </row>
    <row r="16" customFormat="false" ht="15" hidden="false" customHeight="true" outlineLevel="0" collapsed="false">
      <c r="B16" s="21" t="s">
        <v>212</v>
      </c>
      <c r="C16" s="23" t="s">
        <v>213</v>
      </c>
      <c r="D16" s="23"/>
      <c r="E16" s="23"/>
      <c r="F16" s="23"/>
    </row>
    <row r="17" customFormat="false" ht="15" hidden="false" customHeight="false" outlineLevel="0" collapsed="false">
      <c r="B17" s="27" t="s">
        <v>214</v>
      </c>
    </row>
    <row r="19" customFormat="false" ht="15" hidden="false" customHeight="false" outlineLevel="0" collapsed="false">
      <c r="A19" s="5" t="s">
        <v>215</v>
      </c>
      <c r="B19" s="6"/>
      <c r="C19" s="6"/>
      <c r="D19" s="6"/>
      <c r="E19" s="6"/>
      <c r="F19" s="6"/>
    </row>
    <row r="20" customFormat="false" ht="15" hidden="false" customHeight="false" outlineLevel="0" collapsed="false">
      <c r="A20" s="9" t="s">
        <v>39</v>
      </c>
      <c r="B20" s="9" t="s">
        <v>216</v>
      </c>
      <c r="C20" s="9" t="s">
        <v>217</v>
      </c>
      <c r="D20" s="9" t="s">
        <v>218</v>
      </c>
      <c r="E20" s="9" t="s">
        <v>219</v>
      </c>
      <c r="F20" s="9" t="s">
        <v>220</v>
      </c>
    </row>
    <row r="21" customFormat="false" ht="15" hidden="false" customHeight="false" outlineLevel="0" collapsed="false">
      <c r="A21" s="10" t="n">
        <v>1</v>
      </c>
      <c r="B21" s="23" t="s">
        <v>221</v>
      </c>
      <c r="C21" s="23" t="s">
        <v>222</v>
      </c>
      <c r="D21" s="23" t="s">
        <v>223</v>
      </c>
      <c r="E21" s="23" t="s">
        <v>224</v>
      </c>
      <c r="F21" s="28" t="str">
        <f aca="false">"Total "&amp;TEXT(B1_Bounce_Allocation!C7,"#,##0")&amp;" / "&amp;TEXT(B1_Bounce_Allocation!C8,"#,##0.00;-#,##0.00;0.00")&amp;"; current "&amp;TEXT(B1_Bounce_Allocation!C9,"#,##0")&amp;" / "&amp;TEXT(B1_Bounce_Allocation!C10,"#,##0.00;-#,##0.00;0.00")&amp;"; bounce # "&amp;TEXT(B1_Bounce_Allocation!C11,"0.00%")&amp;" ₹ "&amp;TEXT(B1_Bounce_Allocation!C12,"0.00%")</f>
        <v>Total 161,579 / 48,768.14; current 96,063 / 32,364.12; bounce # 15.73% ₹ 6.94%</v>
      </c>
    </row>
    <row r="22" customFormat="false" ht="15" hidden="false" customHeight="false" outlineLevel="0" collapsed="false">
      <c r="A22" s="10" t="n">
        <v>2</v>
      </c>
      <c r="B22" s="23" t="s">
        <v>221</v>
      </c>
      <c r="C22" s="23" t="s">
        <v>225</v>
      </c>
      <c r="D22" s="23" t="s">
        <v>226</v>
      </c>
      <c r="E22" s="23" t="s">
        <v>227</v>
      </c>
      <c r="F22" s="28" t="str">
        <f aca="false">"B1 "&amp;TEXT(B1_Bounce_Allocation!D28,"#,##0.00;-#,##0.00;0.00")&amp;" / "&amp;TEXT(B1_Bounce_Allocation!F28,"#,##0.00;-#,##0.00;0.00")&amp;" / "&amp;TEXT(B1_Bounce_Allocation!K28,"0.00%")&amp;"; B2 "&amp;TEXT(B1_Bounce_Allocation!D29,"#,##0.00;-#,##0.00;0.00")&amp;" / "&amp;TEXT(B1_Bounce_Allocation!F29,"#,##0.00;-#,##0.00;0.00")&amp;" / "&amp;TEXT(B1_Bounce_Allocation!K29,"0.00%")</f>
        <v>B1 1,232.22 / 749.35 / 60.81%; B2 147.10 / 16.92 / 11.50%</v>
      </c>
    </row>
    <row r="23" customFormat="false" ht="15" hidden="false" customHeight="false" outlineLevel="0" collapsed="false">
      <c r="A23" s="10" t="n">
        <v>3</v>
      </c>
      <c r="B23" s="23" t="s">
        <v>228</v>
      </c>
      <c r="C23" s="23" t="s">
        <v>229</v>
      </c>
      <c r="D23" s="23" t="s">
        <v>230</v>
      </c>
      <c r="E23" s="23" t="s">
        <v>227</v>
      </c>
      <c r="F23" s="28" t="str">
        <f aca="false">"max |gap| "&amp;TEXT(MAX(ABS(MIN(B1_Bounce_Allocation!T21:T30)),MAX(B1_Bounce_Allocation!T21:T30)),"+0.0"" pp"";-0.0"" pp"";0.0"" pp""")</f>
        <v>max |gap| +0.0 pp</v>
      </c>
    </row>
    <row r="24" customFormat="false" ht="23.85" hidden="false" customHeight="false" outlineLevel="0" collapsed="false">
      <c r="A24" s="10" t="n">
        <v>4</v>
      </c>
      <c r="B24" s="23" t="s">
        <v>228</v>
      </c>
      <c r="C24" s="23" t="s">
        <v>231</v>
      </c>
      <c r="D24" s="23" t="s">
        <v>232</v>
      </c>
      <c r="E24" s="23" t="s">
        <v>233</v>
      </c>
      <c r="F24" s="28" t="str">
        <f aca="false">"max |gap| "&amp;TEXT(MAX(ABS(MIN(B1_Bounce_Allocation!U21:V30)),MAX(B1_Bounce_Allocation!U21:V30)),"+0.0"" pp"";-0.0"" pp"";0.0"" pp""")</f>
        <v>max |gap| 0.0 pp</v>
      </c>
    </row>
    <row r="25" customFormat="false" ht="15" hidden="false" customHeight="false" outlineLevel="0" collapsed="false">
      <c r="A25" s="10" t="n">
        <v>5</v>
      </c>
      <c r="B25" s="23" t="s">
        <v>228</v>
      </c>
      <c r="C25" s="23" t="s">
        <v>234</v>
      </c>
      <c r="D25" s="23" t="s">
        <v>235</v>
      </c>
      <c r="E25" s="23" t="s">
        <v>236</v>
      </c>
      <c r="F25" s="28" t="str">
        <f aca="false">"max |gap| "&amp;TEXT(MAX(ABS(MIN(B1_Bounce_Allocation!O36:O45)),MAX(B1_Bounce_Allocation!O36:O45)),"+0.0"" pp"";-0.0"" pp"";0.0"" pp""")</f>
        <v>max |gap| 0.0 pp</v>
      </c>
    </row>
    <row r="26" customFormat="false" ht="23.85" hidden="false" customHeight="false" outlineLevel="0" collapsed="false">
      <c r="A26" s="10" t="n">
        <v>6</v>
      </c>
      <c r="B26" s="23" t="s">
        <v>210</v>
      </c>
      <c r="C26" s="23" t="s">
        <v>237</v>
      </c>
      <c r="D26" s="23" t="s">
        <v>238</v>
      </c>
      <c r="E26" s="23" t="s">
        <v>239</v>
      </c>
      <c r="F26" s="28" t="str">
        <f aca="false">TEXT(B1_Bounce_Allocation!F11,"#,##0.00;-#,##0.00;0.00")&amp;" ₹ Cr / "&amp;TEXT(B1_Bounce_Allocation!F12,"#,##0")&amp;" accounts / ATS "&amp;TEXT(B1_Bounce_Allocation!F13,"#,##0.00")&amp;" ₹ lakh"</f>
        <v>2,246.07 ₹ Cr / 15,111 accounts / ATS 14.86 ₹ lakh</v>
      </c>
    </row>
    <row r="27" customFormat="false" ht="15" hidden="false" customHeight="false" outlineLevel="0" collapsed="false">
      <c r="A27" s="10" t="n">
        <v>7</v>
      </c>
      <c r="B27" s="23" t="s">
        <v>210</v>
      </c>
      <c r="C27" s="23" t="s">
        <v>240</v>
      </c>
      <c r="D27" s="23" t="s">
        <v>241</v>
      </c>
      <c r="E27" s="23" t="s">
        <v>242</v>
      </c>
      <c r="F27" s="28" t="str">
        <f aca="false">TEXT(B1_Bounce_Allocation!F9,"#,##0.00")&amp;" / "&amp;TEXT(B1_Bounce_Allocation!F10,"#,##0.00")&amp;" ₹ lakh"</f>
        <v>30.18 / 33.69 ₹ lakh</v>
      </c>
    </row>
    <row r="28" customFormat="false" ht="23.85" hidden="false" customHeight="false" outlineLevel="0" collapsed="false">
      <c r="A28" s="10" t="n">
        <v>8</v>
      </c>
      <c r="B28" s="23" t="s">
        <v>210</v>
      </c>
      <c r="C28" s="23" t="s">
        <v>243</v>
      </c>
      <c r="D28" s="23" t="s">
        <v>244</v>
      </c>
      <c r="E28" s="23" t="s">
        <v>245</v>
      </c>
      <c r="F28" s="28" t="str">
        <f aca="false">TEXT(B1_Bounce_Allocation!C14,"0.00%")&amp;" / "&amp;TEXT(B1_Bounce_Allocation!C15,"0.00%")&amp;" / "&amp;TEXT(B1_Bounce_Allocation!C16,"0.00%")&amp;"; drift "&amp;TEXT(B1_Bounce_Allocation!F15,"+0.0"" pp"";-0.0"" pp"";0.0"" pp""")&amp;"; current vs Jul "&amp;TEXT(B1_Bounce_Allocation!F14,"+0.0"" pp"";-0.0"" pp"";0.0"" pp""")</f>
        <v>7.25% / 7.32% / 7.64%; drift +0.4 pp; current vs Jul -0.7 pp</v>
      </c>
    </row>
    <row r="29" customFormat="false" ht="15" hidden="false" customHeight="false" outlineLevel="0" collapsed="false">
      <c r="A29" s="10" t="n">
        <v>9</v>
      </c>
      <c r="B29" s="23" t="s">
        <v>210</v>
      </c>
      <c r="C29" s="23" t="s">
        <v>246</v>
      </c>
      <c r="D29" s="23" t="s">
        <v>247</v>
      </c>
      <c r="E29" s="23" t="s">
        <v>239</v>
      </c>
      <c r="F29" s="28" t="str">
        <f aca="false">TEXT(B1_Bounce_Allocation!F7,"0.0%")&amp;" / "&amp;TEXT(B1_Bounce_Allocation!F8,"0.0%")</f>
        <v>59.5% / 66.4%</v>
      </c>
    </row>
    <row r="30" customFormat="false" ht="15" hidden="false" customHeight="false" outlineLevel="0" collapsed="false">
      <c r="A30" s="10" t="n">
        <v>10</v>
      </c>
      <c r="B30" s="23" t="s">
        <v>248</v>
      </c>
      <c r="C30" s="23" t="s">
        <v>249</v>
      </c>
      <c r="D30" s="23" t="s">
        <v>250</v>
      </c>
      <c r="E30" s="23" t="s">
        <v>227</v>
      </c>
      <c r="F30" s="28" t="str">
        <f aca="false">TEXT(B1_Bounce_Allocation!K21,"0.00%")&amp;" / "&amp;TEXT(B1_Bounce_Allocation!K22,"0.00%")&amp;" / "&amp;TEXT(B1_Bounce_Allocation!K23,"0.00%")&amp;" / "&amp;TEXT(B1_Bounce_Allocation!K24,"0.00%")&amp;" / "&amp;TEXT(B1_Bounce_Allocation!K25,"0.00%")&amp;" / "&amp;TEXT(B1_Bounce_Allocation!K26,"0.00%")&amp;" / "&amp;TEXT(B1_Bounce_Allocation!K27,"0.00%")&amp;" / "&amp;TEXT(B1_Bounce_Allocation!K28,"0.00%")&amp;" / "&amp;TEXT(B1_Bounce_Allocation!K29,"0.00%")&amp;" / "&amp;TEXT(B1_Bounce_Allocation!K30,"0.00%")</f>
        <v>46.45% / 74.14% / 83.31% / 58.73% / 29.46% / 27.75% / 40.34% / 60.81% / 11.50% / 10.64%</v>
      </c>
    </row>
    <row r="31" customFormat="false" ht="15" hidden="false" customHeight="false" outlineLevel="0" collapsed="false">
      <c r="A31" s="10" t="n">
        <v>11</v>
      </c>
      <c r="B31" s="23" t="s">
        <v>248</v>
      </c>
      <c r="C31" s="23" t="s">
        <v>251</v>
      </c>
      <c r="D31" s="23" t="s">
        <v>252</v>
      </c>
      <c r="E31" s="23" t="s">
        <v>227</v>
      </c>
      <c r="F31" s="28" t="str">
        <f aca="false">"B1 "&amp;TEXT(B1_Bounce_Allocation!AB28,"0.0%")&amp;"; B2 "&amp;TEXT(B1_Bounce_Allocation!AB29,"0.0%")&amp;"; B3 "&amp;TEXT(B1_Bounce_Allocation!AB30,"0.0%")&amp;"; Digital "&amp;TEXT(B1_Bounce_Allocation!AB21,"0.0%")</f>
        <v>B1 49.9%; B2 27.5%; B3 21.0%; Digital 40.8%</v>
      </c>
    </row>
    <row r="32" customFormat="false" ht="15" hidden="false" customHeight="false" outlineLevel="0" collapsed="false">
      <c r="A32" s="10" t="n">
        <v>12</v>
      </c>
      <c r="B32" s="23" t="s">
        <v>248</v>
      </c>
      <c r="C32" s="23" t="s">
        <v>253</v>
      </c>
      <c r="D32" s="23" t="s">
        <v>254</v>
      </c>
      <c r="E32" s="23" t="s">
        <v>255</v>
      </c>
      <c r="F32" s="28" t="str">
        <f aca="false">"B2 "&amp;TEXT(B1_Bounce_Allocation!G29,"0.00%")&amp;" / "&amp;TEXT(B1_Bounce_Allocation!H29,"0.00%")&amp;" / "&amp;TEXT(B1_Bounce_Allocation!I29,"0.00%")&amp;"; B3 "&amp;TEXT(B1_Bounce_Allocation!G30,"0.00%")&amp;" / "&amp;TEXT(B1_Bounce_Allocation!H30,"0.00%")&amp;" / "&amp;TEXT(B1_Bounce_Allocation!I30,"0.00%")</f>
        <v>B2 9.72% / 0.00% / 1.78%; B3 9.45% / 0.25% / 0.94%</v>
      </c>
    </row>
    <row r="33" customFormat="false" ht="15" hidden="false" customHeight="false" outlineLevel="0" collapsed="false">
      <c r="A33" s="10" t="n">
        <v>13</v>
      </c>
      <c r="B33" s="23" t="s">
        <v>248</v>
      </c>
      <c r="C33" s="23" t="s">
        <v>256</v>
      </c>
      <c r="D33" s="23" t="s">
        <v>257</v>
      </c>
      <c r="E33" s="23" t="s">
        <v>239</v>
      </c>
      <c r="F33" s="28" t="str">
        <f aca="false">TEXT(B1_Bounce_Allocation!K31,"0.00%")&amp;"; unresolved "&amp;TEXT(B1_Bounce_Allocation!AD31,"#,##0.00;-#,##0.00;0.00")&amp;" ₹ Cr"</f>
        <v>52.43%; unresolved 705.13 ₹ Cr</v>
      </c>
    </row>
    <row r="34" customFormat="false" ht="15" hidden="false" customHeight="false" outlineLevel="0" collapsed="false">
      <c r="A34" s="10" t="n">
        <v>14</v>
      </c>
      <c r="B34" s="23" t="s">
        <v>248</v>
      </c>
      <c r="C34" s="23" t="s">
        <v>258</v>
      </c>
      <c r="D34" s="23" t="s">
        <v>259</v>
      </c>
      <c r="E34" s="23" t="s">
        <v>227</v>
      </c>
      <c r="F34" s="28" t="str">
        <f aca="false">"B1 "&amp;TEXT(B1_Bounce_Allocation!AD28,"#,##0.00;-#,##0.00;0.00")&amp;"; B2 "&amp;TEXT(B1_Bounce_Allocation!AD29,"#,##0.00;-#,##0.00;0.00")&amp;"; B3 "&amp;TEXT(B1_Bounce_Allocation!AD30,"#,##0.00;-#,##0.00;0.00")</f>
        <v>B1 482.87; B2 130.18; B3 92.08</v>
      </c>
    </row>
    <row r="35" customFormat="false" ht="15" hidden="false" customHeight="false" outlineLevel="0" collapsed="false">
      <c r="A35" s="10" t="n">
        <v>15</v>
      </c>
      <c r="B35" s="23" t="s">
        <v>260</v>
      </c>
      <c r="C35" s="23" t="s">
        <v>261</v>
      </c>
      <c r="D35" s="23" t="s">
        <v>262</v>
      </c>
      <c r="E35" s="23" t="s">
        <v>227</v>
      </c>
      <c r="F35" s="28" t="str">
        <f aca="false">TEXT(B1_Bounce_Allocation!W21,"+0.0"" pp"";-0.0"" pp"";0.0"" pp""")&amp;" / "&amp;TEXT(B1_Bounce_Allocation!W22,"+0.0"" pp"";-0.0"" pp"";0.0"" pp""")&amp;" / "&amp;TEXT(B1_Bounce_Allocation!W23,"+0.0"" pp"";-0.0"" pp"";0.0"" pp""")&amp;" / "&amp;TEXT(B1_Bounce_Allocation!W24,"+0.0"" pp"";-0.0"" pp"";0.0"" pp""")&amp;" / "&amp;TEXT(B1_Bounce_Allocation!W25,"+0.0"" pp"";-0.0"" pp"";0.0"" pp""")&amp;" / "&amp;TEXT(B1_Bounce_Allocation!W26,"+0.0"" pp"";-0.0"" pp"";0.0"" pp""")&amp;" / "&amp;TEXT(B1_Bounce_Allocation!W27,"+0.0"" pp"";-0.0"" pp"";0.0"" pp""")&amp;" / "&amp;TEXT(B1_Bounce_Allocation!W28,"+0.0"" pp"";-0.0"" pp"";0.0"" pp""")&amp;" / "&amp;TEXT(B1_Bounce_Allocation!W29,"+0.0"" pp"";-0.0"" pp"";0.0"" pp""")&amp;" / "&amp;TEXT(B1_Bounce_Allocation!W30,"+0.0"" pp"";-0.0"" pp"";0.0"" pp""")</f>
        <v>-8.7 pp / -4.5 pp / -4.3 pp / -12.6 pp / -8.9 pp / -8.6 pp / -9.9 pp / -8.0 pp / -10.0 pp / -8.1 pp</v>
      </c>
    </row>
    <row r="36" customFormat="false" ht="15" hidden="false" customHeight="false" outlineLevel="0" collapsed="false">
      <c r="A36" s="10" t="n">
        <v>16</v>
      </c>
      <c r="B36" s="23" t="s">
        <v>260</v>
      </c>
      <c r="C36" s="23" t="s">
        <v>263</v>
      </c>
      <c r="D36" s="23" t="s">
        <v>264</v>
      </c>
      <c r="E36" s="23" t="s">
        <v>227</v>
      </c>
      <c r="F36" s="28" t="str">
        <f aca="false">"B1 "&amp;TEXT(B1_Bounce_Allocation!X28,"+0.0"" pp"";-0.0"" pp"";0.0"" pp""")&amp;"; B2 "&amp;TEXT(B1_Bounce_Allocation!X29,"+0.0"" pp"";-0.0"" pp"";0.0"" pp""")&amp;"; B3 "&amp;TEXT(B1_Bounce_Allocation!X30,"+0.0"" pp"";-0.0"" pp"";0.0"" pp""")&amp;"; Telecalling incl "&amp;TEXT(B1_Bounce_Allocation!X22,"+0.0"" pp"";-0.0"" pp"";0.0"" pp""")</f>
        <v>B1 -6.3 pp; B2 -7.9 pp; B3 -7.6 pp; Telecalling incl -1.7 pp</v>
      </c>
    </row>
    <row r="37" customFormat="false" ht="15" hidden="false" customHeight="false" outlineLevel="0" collapsed="false">
      <c r="A37" s="10" t="n">
        <v>17</v>
      </c>
      <c r="B37" s="23" t="s">
        <v>260</v>
      </c>
      <c r="C37" s="23" t="s">
        <v>265</v>
      </c>
      <c r="D37" s="23" t="s">
        <v>266</v>
      </c>
      <c r="E37" s="23" t="s">
        <v>227</v>
      </c>
      <c r="F37" s="28" t="str">
        <f aca="false">"B1 "&amp;TEXT(B1_Bounce_Allocation!Z28,"+0.0"" pp"";-0.0"" pp"";0.0"" pp""")&amp;"; B2 "&amp;TEXT(B1_Bounce_Allocation!Z29,"+0.0"" pp"";-0.0"" pp"";0.0"" pp""")&amp;"; B3 "&amp;TEXT(B1_Bounce_Allocation!Z30,"+0.0"" pp"";-0.0"" pp"";0.0"" pp""")&amp;"; Field FTE "&amp;TEXT(B1_Bounce_Allocation!Z25,"+0.0"" pp"";-0.0"" pp"";0.0"" pp""")</f>
        <v>B1 +29.5 pp; B2 +63.2 pp; B3 +65.1 pp; Field FTE +58.1 pp</v>
      </c>
    </row>
    <row r="38" customFormat="false" ht="15" hidden="false" customHeight="false" outlineLevel="0" collapsed="false">
      <c r="A38" s="10" t="n">
        <v>18</v>
      </c>
      <c r="B38" s="23" t="s">
        <v>260</v>
      </c>
      <c r="C38" s="23" t="s">
        <v>95</v>
      </c>
      <c r="D38" s="23" t="s">
        <v>267</v>
      </c>
      <c r="E38" s="23" t="s">
        <v>227</v>
      </c>
      <c r="F38" s="28" t="str">
        <f aca="false">"B1 "&amp;TEXT(B1_Bounce_Allocation!AA28,"0.00%")&amp;"; B2 "&amp;TEXT(B1_Bounce_Allocation!AA29,"0.00%")&amp;"; B3 "&amp;TEXT(B1_Bounce_Allocation!AA30,"0.00%")</f>
        <v>B1 90.35%; B2 74.70%; B3 75.71%</v>
      </c>
    </row>
    <row r="39" customFormat="false" ht="15" hidden="false" customHeight="false" outlineLevel="0" collapsed="false">
      <c r="A39" s="10" t="n">
        <v>19</v>
      </c>
      <c r="B39" s="23" t="s">
        <v>260</v>
      </c>
      <c r="C39" s="23" t="s">
        <v>268</v>
      </c>
      <c r="D39" s="23" t="s">
        <v>269</v>
      </c>
      <c r="E39" s="23" t="s">
        <v>227</v>
      </c>
      <c r="F39" s="28" t="str">
        <f aca="false">"B1 "&amp;TEXT(B1_Bounce_Allocation!Y28,"+0.0"" pp"";-0.0"" pp"";0.0"" pp""")&amp;" / "&amp;TEXT((B1_Bounce_Allocation!AA28-B1_Bounce_Allocation!L28)*100,"+0.0"" pp"";-0.0"" pp"";0.0"" pp""")&amp;"; B2 "&amp;TEXT(B1_Bounce_Allocation!Y29,"+0.0"" pp"";-0.0"" pp"";0.0"" pp""")&amp;" / "&amp;TEXT((B1_Bounce_Allocation!AA29-B1_Bounce_Allocation!L29)*100,"+0.0"" pp"";-0.0"" pp"";0.0"" pp""")&amp;"; B3 "&amp;TEXT(B1_Bounce_Allocation!Y30,"+0.0"" pp"";-0.0"" pp"";0.0"" pp""")&amp;" / "&amp;TEXT((B1_Bounce_Allocation!AA30-B1_Bounce_Allocation!L30)*100,"+0.0"" pp"";-0.0"" pp"";0.0"" pp""")</f>
        <v>B1 -37.0 pp / -7.4 pp; B2 -77.4 pp / -14.2 pp; B3 -76.2 pp / -11.2 pp</v>
      </c>
    </row>
    <row r="40" customFormat="false" ht="15" hidden="false" customHeight="false" outlineLevel="0" collapsed="false">
      <c r="A40" s="10" t="n">
        <v>20</v>
      </c>
      <c r="B40" s="23" t="s">
        <v>270</v>
      </c>
      <c r="C40" s="23" t="s">
        <v>271</v>
      </c>
      <c r="D40" s="23" t="s">
        <v>272</v>
      </c>
      <c r="E40" s="23" t="s">
        <v>273</v>
      </c>
      <c r="F40" s="28" t="str">
        <f aca="false">"B1 Feb → Jul "&amp;TEXT(B1_Bounce_Allocation!C43,"0.00%")&amp;" / "&amp;TEXT(B1_Bounce_Allocation!D43,"0.00%")&amp;" / "&amp;TEXT(B1_Bounce_Allocation!E43,"0.00%")&amp;" / "&amp;TEXT(B1_Bounce_Allocation!F43,"0.00%")&amp;" / "&amp;TEXT(B1_Bounce_Allocation!G43,"0.00%")&amp;" / "&amp;TEXT(B1_Bounce_Allocation!H43,"0.00%")</f>
        <v>B1 Feb → Jul 97.70% / 97.42% / 97.13% / 96.12% / 97.66% / 98.37%</v>
      </c>
    </row>
    <row r="41" customFormat="false" ht="15" hidden="false" customHeight="false" outlineLevel="0" collapsed="false">
      <c r="A41" s="10" t="n">
        <v>21</v>
      </c>
      <c r="B41" s="23" t="s">
        <v>270</v>
      </c>
      <c r="C41" s="23" t="s">
        <v>274</v>
      </c>
      <c r="D41" s="23" t="s">
        <v>275</v>
      </c>
      <c r="E41" s="23" t="s">
        <v>236</v>
      </c>
      <c r="F41" s="28" t="str">
        <f aca="false">"B2 "&amp;TEXT(B1_Bounce_Allocation!I44,"+0.0"" pp"";-0.0"" pp"";0.0"" pp""")&amp;" / "&amp;TEXT(B1_Bounce_Allocation!J44,"+0.0"" pp"";-0.0"" pp"";0.0"" pp""")&amp;"; B3 "&amp;TEXT(B1_Bounce_Allocation!I45,"+0.0"" pp"";-0.0"" pp"";0.0"" pp""")&amp;" / "&amp;TEXT(B1_Bounce_Allocation!J45,"+0.0"" pp"";-0.0"" pp"";0.0"" pp""")&amp;"; Digital "&amp;TEXT(B1_Bounce_Allocation!I36,"+0.0"" pp"";-0.0"" pp"";0.0"" pp""")</f>
        <v>B2 +6.7 pp / -5.0 pp; B3 -6.9 pp / -3.6 pp; Digital +7.3 pp</v>
      </c>
    </row>
    <row r="42" customFormat="false" ht="15" hidden="false" customHeight="false" outlineLevel="0" collapsed="false">
      <c r="A42" s="10" t="n">
        <v>22</v>
      </c>
      <c r="B42" s="23" t="s">
        <v>270</v>
      </c>
      <c r="C42" s="23" t="s">
        <v>276</v>
      </c>
      <c r="D42" s="23" t="s">
        <v>277</v>
      </c>
      <c r="E42" s="23" t="s">
        <v>236</v>
      </c>
      <c r="F42" s="28" t="str">
        <f aca="false">"B2 "&amp;TEXT(B1_Bounce_Allocation!K44,"0.00%")&amp;" / "&amp;TEXT(B1_Bounce_Allocation!L44,"0.00%")&amp;" / "&amp;TEXT(B1_Bounce_Allocation!M44,"0.00%")&amp;"; Digital "&amp;TEXT(B1_Bounce_Allocation!K36,"0.00%")&amp;" / "&amp;TEXT(B1_Bounce_Allocation!L36,"0.00%")&amp;" / "&amp;TEXT(B1_Bounce_Allocation!M36,"0.00%")</f>
        <v>B2 84.64% / 78.03% / 89.78%; Digital 53.96% / 47.88% / 62.33%</v>
      </c>
    </row>
    <row r="43" customFormat="false" ht="15" hidden="false" customHeight="false" outlineLevel="0" collapsed="false">
      <c r="A43" s="10" t="n">
        <v>23</v>
      </c>
      <c r="B43" s="23" t="s">
        <v>270</v>
      </c>
      <c r="C43" s="23" t="s">
        <v>278</v>
      </c>
      <c r="D43" s="23" t="s">
        <v>279</v>
      </c>
      <c r="E43" s="23" t="s">
        <v>236</v>
      </c>
      <c r="F43" s="28" t="str">
        <f aca="false">TEXT(B1_Bounce_Allocation!N36,"#,##0")&amp;" / "&amp;TEXT(B1_Bounce_Allocation!N37,"#,##0")&amp;" / "&amp;TEXT(B1_Bounce_Allocation!N38,"#,##0")&amp;" / "&amp;TEXT(B1_Bounce_Allocation!N39,"#,##0")&amp;" / "&amp;TEXT(B1_Bounce_Allocation!N40,"#,##0")&amp;" / "&amp;TEXT(B1_Bounce_Allocation!N41,"#,##0")&amp;" / "&amp;TEXT(B1_Bounce_Allocation!N42,"#,##0")&amp;" / "&amp;TEXT(B1_Bounce_Allocation!N43,"#,##0")&amp;" / "&amp;TEXT(B1_Bounce_Allocation!N44,"#,##0")&amp;" / "&amp;TEXT(B1_Bounce_Allocation!N45,"#,##0")&amp;" (A … K)"</f>
        <v>3 / 1 / 1 / 3 / 1 / 1 / 1 / 1 / 4 / 6 (A … K)</v>
      </c>
    </row>
    <row r="44" customFormat="false" ht="15" hidden="false" customHeight="false" outlineLevel="0" collapsed="false">
      <c r="A44" s="10" t="n">
        <v>24</v>
      </c>
      <c r="B44" s="23" t="s">
        <v>280</v>
      </c>
      <c r="C44" s="23" t="s">
        <v>281</v>
      </c>
      <c r="D44" s="23" t="s">
        <v>282</v>
      </c>
      <c r="E44" s="23" t="s">
        <v>227</v>
      </c>
      <c r="F44" s="28" t="str">
        <f aca="false">"B1 "&amp;TEXT(B1_Bounce_Allocation!AC28,"#,##0.00")&amp;"; B3 "&amp;TEXT(B1_Bounce_Allocation!AC30,"#,##0.00")&amp;"; Telecalling excl "&amp;TEXT(B1_Bounce_Allocation!AC23,"#,##0.00")&amp;"; Field FTE "&amp;TEXT(B1_Bounce_Allocation!AC25,"#,##0.00")&amp;" ₹ lakh"</f>
        <v>B1 8.45; B3 7.02; Telecalling excl 20.06; Field FTE 5.68 ₹ lakh</v>
      </c>
    </row>
    <row r="45" customFormat="false" ht="15" hidden="false" customHeight="false" outlineLevel="0" collapsed="false">
      <c r="A45" s="10" t="n">
        <v>25</v>
      </c>
      <c r="B45" s="23" t="s">
        <v>283</v>
      </c>
      <c r="C45" s="23" t="s">
        <v>284</v>
      </c>
      <c r="D45" s="23" t="s">
        <v>285</v>
      </c>
      <c r="E45" s="23" t="s">
        <v>239</v>
      </c>
      <c r="F45" s="28" t="str">
        <f aca="false">TEXT(B1_Bounce_Allocation!F32,"#,##0.00;-#,##0.00;0.00")&amp;" — channel rows and bucket rows are different cuts; do not add"</f>
        <v>1,138.48 — channel rows and bucket rows are different cuts; do not add</v>
      </c>
    </row>
    <row r="46" customFormat="false" ht="15" hidden="false" customHeight="false" outlineLevel="0" collapsed="false">
      <c r="A46" s="10" t="n">
        <v>26</v>
      </c>
      <c r="B46" s="23" t="s">
        <v>283</v>
      </c>
      <c r="C46" s="23" t="s">
        <v>286</v>
      </c>
      <c r="D46" s="23" t="s">
        <v>287</v>
      </c>
      <c r="E46" s="23" t="s">
        <v>239</v>
      </c>
      <c r="F46" s="23" t="s">
        <v>288</v>
      </c>
    </row>
    <row r="48" customFormat="false" ht="15" hidden="false" customHeight="false" outlineLevel="0" collapsed="false">
      <c r="A48" s="4" t="s">
        <v>2</v>
      </c>
    </row>
  </sheetData>
  <mergeCells count="11"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4" min="3" style="1" width="11"/>
  </cols>
  <sheetData>
    <row r="1" customFormat="false" ht="17.35" hidden="false" customHeight="false" outlineLevel="0" collapsed="false">
      <c r="A1" s="2" t="s">
        <v>289</v>
      </c>
    </row>
    <row r="2" customFormat="false" ht="15" hidden="false" customHeight="false" outlineLevel="0" collapsed="false">
      <c r="A2" s="3" t="s">
        <v>290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291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35.05" hidden="false" customHeight="false" outlineLevel="0" collapsed="false">
      <c r="A6" s="9" t="s">
        <v>39</v>
      </c>
      <c r="B6" s="9" t="s">
        <v>292</v>
      </c>
      <c r="C6" s="9" t="s">
        <v>71</v>
      </c>
      <c r="D6" s="9" t="s">
        <v>72</v>
      </c>
      <c r="E6" s="9" t="s">
        <v>293</v>
      </c>
      <c r="F6" s="9" t="s">
        <v>294</v>
      </c>
      <c r="G6" s="9" t="s">
        <v>295</v>
      </c>
      <c r="H6" s="9" t="s">
        <v>296</v>
      </c>
      <c r="I6" s="9" t="s">
        <v>297</v>
      </c>
      <c r="J6" s="9" t="s">
        <v>298</v>
      </c>
      <c r="K6" s="9" t="s">
        <v>299</v>
      </c>
      <c r="L6" s="9" t="s">
        <v>300</v>
      </c>
      <c r="M6" s="9" t="s">
        <v>301</v>
      </c>
      <c r="N6" s="9" t="s">
        <v>302</v>
      </c>
      <c r="O6" s="9" t="s">
        <v>303</v>
      </c>
      <c r="P6" s="9" t="s">
        <v>304</v>
      </c>
      <c r="Q6" s="9" t="s">
        <v>305</v>
      </c>
      <c r="R6" s="9" t="s">
        <v>306</v>
      </c>
      <c r="S6" s="9" t="s">
        <v>307</v>
      </c>
      <c r="T6" s="9" t="s">
        <v>308</v>
      </c>
      <c r="U6" s="9" t="s">
        <v>309</v>
      </c>
      <c r="V6" s="9" t="s">
        <v>310</v>
      </c>
      <c r="W6" s="9" t="s">
        <v>311</v>
      </c>
      <c r="X6" s="9" t="s">
        <v>312</v>
      </c>
      <c r="Y6" s="9" t="s">
        <v>313</v>
      </c>
      <c r="Z6" s="9" t="s">
        <v>314</v>
      </c>
      <c r="AA6" s="9" t="s">
        <v>315</v>
      </c>
      <c r="AB6" s="9" t="s">
        <v>316</v>
      </c>
      <c r="AC6" s="9" t="s">
        <v>317</v>
      </c>
      <c r="AD6" s="9" t="s">
        <v>318</v>
      </c>
      <c r="AE6" s="9" t="s">
        <v>319</v>
      </c>
      <c r="AF6" s="9" t="s">
        <v>97</v>
      </c>
      <c r="AG6" s="9" t="s">
        <v>320</v>
      </c>
      <c r="AH6" s="9" t="s">
        <v>321</v>
      </c>
    </row>
    <row r="7" customFormat="false" ht="15" hidden="false" customHeight="false" outlineLevel="0" collapsed="false">
      <c r="A7" s="10" t="n">
        <v>1</v>
      </c>
      <c r="B7" s="10" t="s">
        <v>322</v>
      </c>
      <c r="C7" s="11" t="n">
        <v>132</v>
      </c>
      <c r="D7" s="13" t="n">
        <v>48.42</v>
      </c>
      <c r="E7" s="11" t="n">
        <v>62</v>
      </c>
      <c r="F7" s="13" t="n">
        <v>2.03</v>
      </c>
      <c r="G7" s="15" t="n">
        <v>0.0419</v>
      </c>
      <c r="H7" s="11" t="n">
        <v>5</v>
      </c>
      <c r="I7" s="13" t="n">
        <v>0.33</v>
      </c>
      <c r="J7" s="11" t="n">
        <v>57</v>
      </c>
      <c r="K7" s="13" t="n">
        <v>1.7</v>
      </c>
      <c r="L7" s="13" t="n">
        <v>1</v>
      </c>
      <c r="M7" s="13" t="n">
        <v>1.69</v>
      </c>
      <c r="N7" s="13" t="n">
        <v>1.02</v>
      </c>
      <c r="O7" s="15" t="n">
        <v>0.0261</v>
      </c>
      <c r="P7" s="15" t="n">
        <v>0.0703</v>
      </c>
      <c r="Q7" s="15" t="n">
        <v>0.0392</v>
      </c>
      <c r="R7" s="13" t="n">
        <v>4.1</v>
      </c>
      <c r="S7" s="13" t="n">
        <v>5.15</v>
      </c>
      <c r="T7" s="13" t="n">
        <v>2.31</v>
      </c>
      <c r="U7" s="15" t="n">
        <v>0.1067</v>
      </c>
      <c r="V7" s="15" t="n">
        <v>0.2139</v>
      </c>
      <c r="W7" s="15" t="n">
        <v>0.0886</v>
      </c>
      <c r="X7" s="20" t="n">
        <f aca="false">F7/D7</f>
        <v>0.0419248244527055</v>
      </c>
      <c r="Y7" s="18" t="n">
        <f aca="false">(X7-G7)*100</f>
        <v>0.00248244527054908</v>
      </c>
      <c r="Z7" s="16" t="n">
        <f aca="false">I7+K7-F7</f>
        <v>0</v>
      </c>
      <c r="AA7" s="17" t="n">
        <f aca="false">H7+J7-E7</f>
        <v>0</v>
      </c>
      <c r="AB7" s="12" t="n">
        <f aca="false">IF(F7=0,"",I7/F7)</f>
        <v>0.16256157635468</v>
      </c>
      <c r="AC7" s="18" t="n">
        <f aca="false">(G7-Q7)*100</f>
        <v>0.27</v>
      </c>
      <c r="AD7" s="29" t="n">
        <f aca="false">IF(N7=0,"",T7/N7)</f>
        <v>2.26470588235294</v>
      </c>
      <c r="AE7" s="16" t="n">
        <f aca="false">IF(N7=0,"",F7*T7/N7)</f>
        <v>4.59735294117647</v>
      </c>
      <c r="AF7" s="14" t="n">
        <f aca="false">D7*100/C7</f>
        <v>36.6818181818182</v>
      </c>
      <c r="AG7" s="12" t="n">
        <f aca="false">D7/$D$12</f>
        <v>0.138323096700471</v>
      </c>
      <c r="AH7" s="12" t="n">
        <f aca="false">F7/$F$12</f>
        <v>0.27321668909825</v>
      </c>
    </row>
    <row r="8" customFormat="false" ht="15" hidden="false" customHeight="false" outlineLevel="0" collapsed="false">
      <c r="A8" s="10" t="n">
        <v>2</v>
      </c>
      <c r="B8" s="10" t="s">
        <v>323</v>
      </c>
      <c r="C8" s="11" t="n">
        <v>428</v>
      </c>
      <c r="D8" s="13" t="n">
        <v>39.8</v>
      </c>
      <c r="E8" s="11" t="n">
        <v>76</v>
      </c>
      <c r="F8" s="13" t="n">
        <v>0.18</v>
      </c>
      <c r="G8" s="15" t="n">
        <v>0.0046</v>
      </c>
      <c r="H8" s="11" t="n">
        <v>3</v>
      </c>
      <c r="I8" s="13" t="n">
        <v>0.04</v>
      </c>
      <c r="J8" s="11" t="n">
        <v>73</v>
      </c>
      <c r="K8" s="13" t="n">
        <v>0.15</v>
      </c>
      <c r="L8" s="13" t="n">
        <v>0.22</v>
      </c>
      <c r="M8" s="13" t="n">
        <v>0.67</v>
      </c>
      <c r="N8" s="13" t="n">
        <v>0.15</v>
      </c>
      <c r="O8" s="15" t="n">
        <v>0.019</v>
      </c>
      <c r="P8" s="15" t="n">
        <v>0.0682</v>
      </c>
      <c r="Q8" s="15" t="n">
        <v>0.0105</v>
      </c>
      <c r="R8" s="13" t="n">
        <v>2.32</v>
      </c>
      <c r="S8" s="13" t="n">
        <v>1.17</v>
      </c>
      <c r="T8" s="13" t="n">
        <v>0.29</v>
      </c>
      <c r="U8" s="15" t="n">
        <v>0.2016</v>
      </c>
      <c r="V8" s="15" t="n">
        <v>0.1194</v>
      </c>
      <c r="W8" s="15" t="n">
        <v>0.0206</v>
      </c>
      <c r="X8" s="20" t="n">
        <f aca="false">F8/D8</f>
        <v>0.00452261306532663</v>
      </c>
      <c r="Y8" s="18" t="n">
        <f aca="false">(X8-G8)*100</f>
        <v>-0.0077386934673367</v>
      </c>
      <c r="Z8" s="16" t="n">
        <f aca="false">I8+K8-F8</f>
        <v>0.01</v>
      </c>
      <c r="AA8" s="17" t="n">
        <f aca="false">H8+J8-E8</f>
        <v>0</v>
      </c>
      <c r="AB8" s="12" t="n">
        <f aca="false">IF(F8=0,"",I8/F8)</f>
        <v>0.222222222222222</v>
      </c>
      <c r="AC8" s="18" t="n">
        <f aca="false">(G8-Q8)*100</f>
        <v>-0.59</v>
      </c>
      <c r="AD8" s="29" t="n">
        <f aca="false">IF(N8=0,"",T8/N8)</f>
        <v>1.93333333333333</v>
      </c>
      <c r="AE8" s="16" t="n">
        <f aca="false">IF(N8=0,"",F8*T8/N8)</f>
        <v>0.348</v>
      </c>
      <c r="AF8" s="14" t="n">
        <f aca="false">D8*100/C8</f>
        <v>9.29906542056075</v>
      </c>
      <c r="AG8" s="12" t="n">
        <f aca="false">D8/$D$12</f>
        <v>0.113698043136695</v>
      </c>
      <c r="AH8" s="12" t="n">
        <f aca="false">F8/$F$12</f>
        <v>0.0242261103633917</v>
      </c>
    </row>
    <row r="9" customFormat="false" ht="15" hidden="false" customHeight="false" outlineLevel="0" collapsed="false">
      <c r="A9" s="10" t="n">
        <v>3</v>
      </c>
      <c r="B9" s="10" t="s">
        <v>324</v>
      </c>
      <c r="C9" s="11" t="n">
        <v>356</v>
      </c>
      <c r="D9" s="13" t="n">
        <v>30.37</v>
      </c>
      <c r="E9" s="11" t="n">
        <v>50</v>
      </c>
      <c r="F9" s="13" t="n">
        <v>3.96</v>
      </c>
      <c r="G9" s="15" t="n">
        <v>0.1304</v>
      </c>
      <c r="H9" s="11" t="n">
        <v>6</v>
      </c>
      <c r="I9" s="13" t="n">
        <v>3.67</v>
      </c>
      <c r="J9" s="11" t="n">
        <v>44</v>
      </c>
      <c r="K9" s="13" t="n">
        <v>0.29</v>
      </c>
      <c r="L9" s="13" t="n">
        <v>0.24</v>
      </c>
      <c r="M9" s="13" t="n">
        <v>0.17</v>
      </c>
      <c r="N9" s="13" t="n">
        <v>0.38</v>
      </c>
      <c r="O9" s="15" t="n">
        <v>0.0122</v>
      </c>
      <c r="P9" s="15" t="n">
        <v>0.0127</v>
      </c>
      <c r="Q9" s="15" t="n">
        <v>0.0527</v>
      </c>
      <c r="R9" s="13" t="n">
        <v>8.56</v>
      </c>
      <c r="S9" s="13" t="n">
        <v>0.38</v>
      </c>
      <c r="T9" s="13" t="n">
        <v>0.44</v>
      </c>
      <c r="U9" s="15" t="n">
        <v>0.4398</v>
      </c>
      <c r="V9" s="15" t="n">
        <v>0.0285</v>
      </c>
      <c r="W9" s="15" t="n">
        <v>0.0613</v>
      </c>
      <c r="X9" s="20" t="n">
        <f aca="false">F9/D9</f>
        <v>0.130391834046757</v>
      </c>
      <c r="Y9" s="18" t="n">
        <f aca="false">(X9-G9)*100</f>
        <v>-0.000816595324332203</v>
      </c>
      <c r="Z9" s="16" t="n">
        <f aca="false">I9+K9-F9</f>
        <v>0</v>
      </c>
      <c r="AA9" s="17" t="n">
        <f aca="false">H9+J9-E9</f>
        <v>0</v>
      </c>
      <c r="AB9" s="12" t="n">
        <f aca="false">IF(F9=0,"",I9/F9)</f>
        <v>0.926767676767677</v>
      </c>
      <c r="AC9" s="18" t="n">
        <f aca="false">(G9-Q9)*100</f>
        <v>7.77</v>
      </c>
      <c r="AD9" s="29" t="n">
        <f aca="false">IF(N9=0,"",T9/N9)</f>
        <v>1.15789473684211</v>
      </c>
      <c r="AE9" s="16" t="n">
        <f aca="false">IF(N9=0,"",F9*T9/N9)</f>
        <v>4.58526315789474</v>
      </c>
      <c r="AF9" s="14" t="n">
        <f aca="false">D9*100/C9</f>
        <v>8.53089887640449</v>
      </c>
      <c r="AG9" s="12" t="n">
        <f aca="false">D9/$D$12</f>
        <v>0.0867590344236538</v>
      </c>
      <c r="AH9" s="12" t="n">
        <f aca="false">F9/$F$12</f>
        <v>0.532974427994617</v>
      </c>
    </row>
    <row r="10" customFormat="false" ht="15" hidden="false" customHeight="false" outlineLevel="0" collapsed="false">
      <c r="A10" s="10" t="n">
        <v>4</v>
      </c>
      <c r="B10" s="10" t="s">
        <v>325</v>
      </c>
      <c r="C10" s="11" t="n">
        <v>300</v>
      </c>
      <c r="D10" s="13" t="n">
        <v>10.59</v>
      </c>
      <c r="E10" s="11" t="n">
        <v>20</v>
      </c>
      <c r="F10" s="13" t="n">
        <v>0.05</v>
      </c>
      <c r="G10" s="15" t="n">
        <v>0.0051</v>
      </c>
      <c r="H10" s="11" t="n">
        <v>0</v>
      </c>
      <c r="I10" s="13" t="n">
        <v>0</v>
      </c>
      <c r="J10" s="11" t="n">
        <v>20</v>
      </c>
      <c r="K10" s="13" t="n">
        <v>0.05</v>
      </c>
      <c r="L10" s="13" t="n">
        <v>0.04</v>
      </c>
      <c r="M10" s="13" t="n">
        <v>0.03</v>
      </c>
      <c r="N10" s="13" t="n">
        <v>0.56</v>
      </c>
      <c r="O10" s="15" t="n">
        <v>0.0087</v>
      </c>
      <c r="P10" s="15" t="n">
        <v>0.0068</v>
      </c>
      <c r="Q10" s="15" t="n">
        <v>0.0519</v>
      </c>
      <c r="R10" s="13" t="n">
        <v>0.06</v>
      </c>
      <c r="S10" s="13" t="n">
        <v>0.05</v>
      </c>
      <c r="T10" s="13" t="n">
        <v>1.27</v>
      </c>
      <c r="U10" s="15" t="n">
        <v>0.0123</v>
      </c>
      <c r="V10" s="15" t="n">
        <v>0.0119</v>
      </c>
      <c r="W10" s="15" t="n">
        <v>0.1181</v>
      </c>
      <c r="X10" s="20" t="n">
        <f aca="false">F10/D10</f>
        <v>0.00472143531633617</v>
      </c>
      <c r="Y10" s="18" t="n">
        <f aca="false">(X10-G10)*100</f>
        <v>-0.0378564683663834</v>
      </c>
      <c r="Z10" s="16" t="n">
        <f aca="false">I10+K10-F10</f>
        <v>0</v>
      </c>
      <c r="AA10" s="17" t="n">
        <f aca="false">H10+J10-E10</f>
        <v>0</v>
      </c>
      <c r="AB10" s="12" t="n">
        <f aca="false">IF(F10=0,"",I10/F10)</f>
        <v>0</v>
      </c>
      <c r="AC10" s="18" t="n">
        <f aca="false">(G10-Q10)*100</f>
        <v>-4.68</v>
      </c>
      <c r="AD10" s="29" t="n">
        <f aca="false">IF(N10=0,"",T10/N10)</f>
        <v>2.26785714285714</v>
      </c>
      <c r="AE10" s="16" t="n">
        <f aca="false">IF(N10=0,"",F10*T10/N10)</f>
        <v>0.113392857142857</v>
      </c>
      <c r="AF10" s="14" t="n">
        <f aca="false">D10*100/C10</f>
        <v>3.53</v>
      </c>
      <c r="AG10" s="12" t="n">
        <f aca="false">D10/$D$12</f>
        <v>0.0302528210255678</v>
      </c>
      <c r="AH10" s="12" t="n">
        <f aca="false">F10/$F$12</f>
        <v>0.00672947510094213</v>
      </c>
    </row>
    <row r="11" customFormat="false" ht="15" hidden="false" customHeight="false" outlineLevel="0" collapsed="false">
      <c r="A11" s="10" t="n">
        <v>5</v>
      </c>
      <c r="B11" s="10" t="s">
        <v>326</v>
      </c>
      <c r="C11" s="11" t="n">
        <v>4124</v>
      </c>
      <c r="D11" s="13" t="n">
        <v>220.87</v>
      </c>
      <c r="E11" s="11" t="n">
        <v>96</v>
      </c>
      <c r="F11" s="13" t="n">
        <v>1.21</v>
      </c>
      <c r="G11" s="15" t="n">
        <v>0.0055</v>
      </c>
      <c r="H11" s="11" t="n">
        <v>5</v>
      </c>
      <c r="I11" s="13" t="n">
        <v>0.1</v>
      </c>
      <c r="J11" s="11" t="n">
        <v>91</v>
      </c>
      <c r="K11" s="13" t="n">
        <v>1.11</v>
      </c>
      <c r="L11" s="13" t="n">
        <v>1.35</v>
      </c>
      <c r="M11" s="13" t="n">
        <v>0.4</v>
      </c>
      <c r="N11" s="13" t="n">
        <v>0.65</v>
      </c>
      <c r="O11" s="15" t="n">
        <v>0.0094</v>
      </c>
      <c r="P11" s="15" t="n">
        <v>0.004</v>
      </c>
      <c r="Q11" s="15" t="n">
        <v>0.0062</v>
      </c>
      <c r="R11" s="13" t="n">
        <v>4.87</v>
      </c>
      <c r="S11" s="13" t="n">
        <v>0.72</v>
      </c>
      <c r="T11" s="13" t="n">
        <v>2.16</v>
      </c>
      <c r="U11" s="15" t="n">
        <v>0.0339</v>
      </c>
      <c r="V11" s="15" t="n">
        <v>0.0072</v>
      </c>
      <c r="W11" s="15" t="n">
        <v>0.0203</v>
      </c>
      <c r="X11" s="20" t="n">
        <f aca="false">F11/D11</f>
        <v>0.00547833567256757</v>
      </c>
      <c r="Y11" s="18" t="n">
        <f aca="false">(X11-G11)*100</f>
        <v>-0.0021664327432426</v>
      </c>
      <c r="Z11" s="16" t="n">
        <f aca="false">I11+K11-F11</f>
        <v>0</v>
      </c>
      <c r="AA11" s="17" t="n">
        <f aca="false">H11+J11-E11</f>
        <v>0</v>
      </c>
      <c r="AB11" s="12" t="n">
        <f aca="false">IF(F11=0,"",I11/F11)</f>
        <v>0.0826446280991736</v>
      </c>
      <c r="AC11" s="18" t="n">
        <f aca="false">(G11-Q11)*100</f>
        <v>-0.07</v>
      </c>
      <c r="AD11" s="29" t="n">
        <f aca="false">IF(N11=0,"",T11/N11)</f>
        <v>3.32307692307692</v>
      </c>
      <c r="AE11" s="16" t="n">
        <f aca="false">IF(N11=0,"",F11*T11/N11)</f>
        <v>4.02092307692308</v>
      </c>
      <c r="AF11" s="14" t="n">
        <f aca="false">D11*100/C11</f>
        <v>5.35572259941804</v>
      </c>
      <c r="AG11" s="12" t="n">
        <f aca="false">D11/$D$12</f>
        <v>0.630967004713612</v>
      </c>
      <c r="AH11" s="12" t="n">
        <f aca="false">F11/$F$12</f>
        <v>0.162853297442799</v>
      </c>
    </row>
    <row r="12" customFormat="false" ht="15" hidden="false" customHeight="false" outlineLevel="0" collapsed="false">
      <c r="A12" s="10" t="n">
        <v>6</v>
      </c>
      <c r="B12" s="21" t="s">
        <v>327</v>
      </c>
      <c r="C12" s="11" t="n">
        <v>5340</v>
      </c>
      <c r="D12" s="13" t="n">
        <v>350.05</v>
      </c>
      <c r="E12" s="11" t="n">
        <v>304</v>
      </c>
      <c r="F12" s="13" t="n">
        <v>7.43</v>
      </c>
      <c r="G12" s="15" t="n">
        <v>0.0212</v>
      </c>
      <c r="H12" s="11" t="n">
        <v>19</v>
      </c>
      <c r="I12" s="13" t="n">
        <v>4.14</v>
      </c>
      <c r="J12" s="11" t="n">
        <v>285</v>
      </c>
      <c r="K12" s="13" t="n">
        <v>3.29</v>
      </c>
      <c r="L12" s="13" t="n">
        <v>2.85</v>
      </c>
      <c r="M12" s="13" t="n">
        <v>2.96</v>
      </c>
      <c r="N12" s="13" t="n">
        <v>2.77</v>
      </c>
      <c r="O12" s="15" t="n">
        <v>0.0131</v>
      </c>
      <c r="P12" s="15" t="n">
        <v>0.0195</v>
      </c>
      <c r="Q12" s="15" t="n">
        <v>0.0168</v>
      </c>
      <c r="R12" s="13" t="n">
        <v>19.9</v>
      </c>
      <c r="S12" s="13" t="n">
        <v>7.47</v>
      </c>
      <c r="T12" s="13" t="n">
        <v>6.47</v>
      </c>
      <c r="U12" s="15" t="n">
        <v>0.0915</v>
      </c>
      <c r="V12" s="15" t="n">
        <v>0.0493</v>
      </c>
      <c r="W12" s="15" t="n">
        <v>0.0394</v>
      </c>
      <c r="X12" s="20" t="n">
        <f aca="false">F12/D12</f>
        <v>0.0212255392086845</v>
      </c>
      <c r="Y12" s="18" t="n">
        <f aca="false">(X12-G12)*100</f>
        <v>0.00255392086844705</v>
      </c>
      <c r="Z12" s="16" t="n">
        <f aca="false">I12+K12-F12</f>
        <v>0</v>
      </c>
      <c r="AA12" s="17" t="n">
        <f aca="false">H12+J12-E12</f>
        <v>0</v>
      </c>
      <c r="AB12" s="12" t="n">
        <f aca="false">IF(F12=0,"",I12/F12)</f>
        <v>0.557200538358008</v>
      </c>
      <c r="AC12" s="18" t="n">
        <f aca="false">(G12-Q12)*100</f>
        <v>0.44</v>
      </c>
      <c r="AD12" s="29" t="n">
        <f aca="false">IF(N12=0,"",T12/N12)</f>
        <v>2.33574007220217</v>
      </c>
      <c r="AE12" s="16" t="n">
        <f aca="false">IF(N12=0,"",F12*T12/N12)</f>
        <v>17.3545487364621</v>
      </c>
      <c r="AF12" s="14" t="n">
        <f aca="false">D12*100/C12</f>
        <v>6.55524344569288</v>
      </c>
      <c r="AG12" s="12" t="n">
        <f aca="false">D12/$D$12</f>
        <v>1</v>
      </c>
      <c r="AH12" s="12" t="n">
        <f aca="false">F12/$F$12</f>
        <v>1</v>
      </c>
    </row>
    <row r="13" customFormat="false" ht="15" hidden="false" customHeight="false" outlineLevel="0" collapsed="false">
      <c r="A13" s="10" t="n">
        <v>7</v>
      </c>
      <c r="B13" s="10" t="s">
        <v>328</v>
      </c>
      <c r="C13" s="11" t="n">
        <v>5986</v>
      </c>
      <c r="D13" s="13" t="n">
        <v>194.11</v>
      </c>
      <c r="E13" s="11" t="n">
        <v>44</v>
      </c>
      <c r="F13" s="13" t="n">
        <v>0.48</v>
      </c>
      <c r="G13" s="15" t="n">
        <v>0.0025</v>
      </c>
      <c r="H13" s="11" t="n">
        <v>0</v>
      </c>
      <c r="I13" s="13" t="n">
        <v>0</v>
      </c>
      <c r="J13" s="11" t="n">
        <v>16</v>
      </c>
      <c r="K13" s="13" t="n">
        <v>0.48</v>
      </c>
      <c r="L13" s="13" t="n">
        <v>0.37</v>
      </c>
      <c r="M13" s="13" t="n">
        <v>0.29</v>
      </c>
      <c r="N13" s="13" t="n">
        <v>0.45</v>
      </c>
      <c r="O13" s="15" t="n">
        <v>0.0038</v>
      </c>
      <c r="P13" s="15" t="n">
        <v>0.0029</v>
      </c>
      <c r="Q13" s="15" t="n">
        <v>0.0046</v>
      </c>
      <c r="R13" s="13" t="n">
        <v>1.15</v>
      </c>
      <c r="S13" s="13" t="n">
        <v>1.29</v>
      </c>
      <c r="T13" s="13" t="n">
        <v>2.1</v>
      </c>
      <c r="U13" s="15" t="n">
        <v>0.0118</v>
      </c>
      <c r="V13" s="15" t="n">
        <v>0.0131</v>
      </c>
      <c r="W13" s="15" t="n">
        <v>0.0214</v>
      </c>
      <c r="X13" s="20" t="n">
        <f aca="false">F13/D13</f>
        <v>0.00247282468703313</v>
      </c>
      <c r="Y13" s="18" t="n">
        <f aca="false">(X13-G13)*100</f>
        <v>-0.00271753129668746</v>
      </c>
      <c r="Z13" s="16" t="n">
        <f aca="false">I13+K13-F13</f>
        <v>0</v>
      </c>
      <c r="AA13" s="17" t="n">
        <f aca="false">H13+J13-E13</f>
        <v>-28</v>
      </c>
      <c r="AB13" s="12" t="n">
        <f aca="false">IF(F13=0,"",I13/F13)</f>
        <v>0</v>
      </c>
      <c r="AC13" s="18" t="n">
        <f aca="false">(G13-Q13)*100</f>
        <v>-0.21</v>
      </c>
      <c r="AD13" s="29" t="n">
        <f aca="false">IF(N13=0,"",T13/N13)</f>
        <v>4.66666666666667</v>
      </c>
      <c r="AE13" s="16" t="n">
        <f aca="false">IF(N13=0,"",F13*T13/N13)</f>
        <v>2.24</v>
      </c>
      <c r="AF13" s="14" t="n">
        <f aca="false">D13*100/C13</f>
        <v>3.24273304376879</v>
      </c>
      <c r="AG13" s="12" t="n">
        <f aca="false">D13/$D$12</f>
        <v>0.554520782745322</v>
      </c>
      <c r="AH13" s="12" t="n">
        <f aca="false">F13/$F$12</f>
        <v>0.0646029609690444</v>
      </c>
    </row>
    <row r="14" customFormat="false" ht="15" hidden="false" customHeight="false" outlineLevel="0" collapsed="false">
      <c r="B14" s="10" t="s">
        <v>329</v>
      </c>
      <c r="C14" s="17" t="n">
        <f aca="false">SUM(C7:C11)-C12</f>
        <v>0</v>
      </c>
      <c r="D14" s="16" t="n">
        <f aca="false">SUM(D7:D11)-D12</f>
        <v>0</v>
      </c>
      <c r="F14" s="16" t="n">
        <f aca="false">SUM(F7:F11)-F12</f>
        <v>0</v>
      </c>
      <c r="I14" s="16" t="n">
        <f aca="false">SUM(I7:I11)-I12</f>
        <v>0</v>
      </c>
      <c r="K14" s="16" t="n">
        <f aca="false">SUM(K7:K11)-K12</f>
        <v>0.00999999999999979</v>
      </c>
    </row>
    <row r="15" customFormat="false" ht="15" hidden="false" customHeight="false" outlineLevel="0" collapsed="false">
      <c r="B15" s="21" t="s">
        <v>330</v>
      </c>
      <c r="D15" s="13" t="n">
        <v>2.58</v>
      </c>
      <c r="F15" s="16" t="n">
        <f aca="false">F12</f>
        <v>7.43</v>
      </c>
      <c r="G15" s="12" t="n">
        <f aca="false">F15/D15</f>
        <v>2.87984496124031</v>
      </c>
    </row>
    <row r="16" customFormat="false" ht="15" hidden="false" customHeight="false" outlineLevel="0" collapsed="false">
      <c r="B16" s="10" t="s">
        <v>331</v>
      </c>
      <c r="F16" s="16" t="n">
        <f aca="false">AE12</f>
        <v>17.3545487364621</v>
      </c>
      <c r="G16" s="12" t="n">
        <f aca="false">F16/D15</f>
        <v>6.72656927769849</v>
      </c>
    </row>
    <row r="17" customFormat="false" ht="15" hidden="false" customHeight="false" outlineLevel="0" collapsed="false">
      <c r="B17" s="10" t="s">
        <v>332</v>
      </c>
      <c r="D17" s="16" t="n">
        <f aca="false">D12+D13</f>
        <v>544.16</v>
      </c>
      <c r="F17" s="16" t="n">
        <f aca="false">F12+F13</f>
        <v>7.91</v>
      </c>
      <c r="G17" s="20" t="n">
        <f aca="false">F17/D17</f>
        <v>0.0145361658335784</v>
      </c>
    </row>
    <row r="19" customFormat="false" ht="15" hidden="false" customHeight="false" outlineLevel="0" collapsed="false">
      <c r="A19" s="5" t="s">
        <v>333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23.85" hidden="false" customHeight="false" outlineLevel="0" collapsed="false">
      <c r="A20" s="9" t="s">
        <v>39</v>
      </c>
      <c r="B20" s="9" t="s">
        <v>334</v>
      </c>
      <c r="C20" s="9" t="s">
        <v>71</v>
      </c>
      <c r="D20" s="9" t="s">
        <v>72</v>
      </c>
      <c r="E20" s="9" t="s">
        <v>293</v>
      </c>
      <c r="F20" s="9" t="s">
        <v>294</v>
      </c>
      <c r="G20" s="9" t="s">
        <v>295</v>
      </c>
      <c r="H20" s="9" t="s">
        <v>296</v>
      </c>
      <c r="I20" s="9" t="s">
        <v>297</v>
      </c>
      <c r="J20" s="9" t="s">
        <v>298</v>
      </c>
      <c r="K20" s="9" t="s">
        <v>299</v>
      </c>
      <c r="L20" s="9" t="s">
        <v>303</v>
      </c>
      <c r="M20" s="9" t="s">
        <v>304</v>
      </c>
      <c r="N20" s="9" t="s">
        <v>305</v>
      </c>
      <c r="O20" s="9" t="s">
        <v>309</v>
      </c>
      <c r="P20" s="9" t="s">
        <v>310</v>
      </c>
      <c r="Q20" s="9" t="s">
        <v>311</v>
      </c>
      <c r="R20" s="9" t="s">
        <v>312</v>
      </c>
      <c r="S20" s="9" t="s">
        <v>313</v>
      </c>
      <c r="T20" s="9" t="s">
        <v>317</v>
      </c>
      <c r="U20" s="9" t="s">
        <v>97</v>
      </c>
      <c r="V20" s="9" t="s">
        <v>335</v>
      </c>
      <c r="W20" s="9" t="s">
        <v>336</v>
      </c>
      <c r="X20" s="9" t="s">
        <v>316</v>
      </c>
    </row>
    <row r="21" customFormat="false" ht="15" hidden="false" customHeight="false" outlineLevel="0" collapsed="false">
      <c r="A21" s="10" t="n">
        <v>1</v>
      </c>
      <c r="B21" s="10" t="s">
        <v>337</v>
      </c>
      <c r="C21" s="11" t="n">
        <v>2349</v>
      </c>
      <c r="D21" s="13" t="n">
        <v>158.07</v>
      </c>
      <c r="E21" s="11" t="n">
        <v>196</v>
      </c>
      <c r="F21" s="13" t="n">
        <v>5.03</v>
      </c>
      <c r="G21" s="15" t="n">
        <v>0.0318</v>
      </c>
      <c r="H21" s="11" t="n">
        <v>18</v>
      </c>
      <c r="I21" s="13" t="n">
        <v>4.14</v>
      </c>
      <c r="J21" s="11" t="n">
        <v>178</v>
      </c>
      <c r="K21" s="13" t="n">
        <v>0.89</v>
      </c>
      <c r="L21" s="15" t="n">
        <v>0.0135</v>
      </c>
      <c r="M21" s="15" t="n">
        <v>0.0332</v>
      </c>
      <c r="N21" s="15" t="n">
        <v>0.0245</v>
      </c>
      <c r="O21" s="15" t="n">
        <v>0.2019</v>
      </c>
      <c r="P21" s="15" t="n">
        <v>0.0767</v>
      </c>
      <c r="Q21" s="15" t="n">
        <v>0.0572</v>
      </c>
      <c r="R21" s="20" t="n">
        <f aca="false">F21/D21</f>
        <v>0.0318213449737458</v>
      </c>
      <c r="S21" s="18" t="n">
        <f aca="false">(R21-G21)*100</f>
        <v>0.00213449737458127</v>
      </c>
      <c r="T21" s="18" t="n">
        <f aca="false">(G21-N21)*100</f>
        <v>0.73</v>
      </c>
      <c r="U21" s="14" t="n">
        <f aca="false">D21*100/C21</f>
        <v>6.72924648786718</v>
      </c>
      <c r="V21" s="12" t="n">
        <f aca="false">D21/$D$26</f>
        <v>0.451564062276818</v>
      </c>
      <c r="W21" s="12" t="n">
        <f aca="false">F21/$F$26</f>
        <v>0.676985195154778</v>
      </c>
      <c r="X21" s="12" t="n">
        <f aca="false">IF(F21=0,"",I21/F21)</f>
        <v>0.823061630218688</v>
      </c>
    </row>
    <row r="22" customFormat="false" ht="15" hidden="false" customHeight="false" outlineLevel="0" collapsed="false">
      <c r="A22" s="10" t="n">
        <v>2</v>
      </c>
      <c r="B22" s="10" t="s">
        <v>338</v>
      </c>
      <c r="C22" s="11" t="n">
        <v>1295</v>
      </c>
      <c r="D22" s="13" t="n">
        <v>60.37</v>
      </c>
      <c r="E22" s="11" t="n">
        <v>51</v>
      </c>
      <c r="F22" s="13" t="n">
        <v>0.37</v>
      </c>
      <c r="G22" s="15" t="n">
        <v>0.0062</v>
      </c>
      <c r="H22" s="11" t="n">
        <v>0</v>
      </c>
      <c r="I22" s="13" t="n">
        <v>0</v>
      </c>
      <c r="J22" s="11" t="n">
        <v>51</v>
      </c>
      <c r="K22" s="13" t="n">
        <v>0.37</v>
      </c>
      <c r="L22" s="15" t="n">
        <v>0.0103</v>
      </c>
      <c r="M22" s="15" t="n">
        <v>0.0186</v>
      </c>
      <c r="N22" s="15" t="n">
        <v>0.0019</v>
      </c>
      <c r="O22" s="15" t="n">
        <v>0.0364</v>
      </c>
      <c r="P22" s="15" t="n">
        <v>0.0264</v>
      </c>
      <c r="Q22" s="15" t="n">
        <v>0.0101</v>
      </c>
      <c r="R22" s="20" t="n">
        <f aca="false">F22/D22</f>
        <v>0.00612887195626967</v>
      </c>
      <c r="S22" s="18" t="n">
        <f aca="false">(R22-G22)*100</f>
        <v>-0.00711280437303294</v>
      </c>
      <c r="T22" s="18" t="n">
        <f aca="false">(G22-N22)*100</f>
        <v>0.43</v>
      </c>
      <c r="U22" s="14" t="n">
        <f aca="false">D22*100/C22</f>
        <v>4.66177606177606</v>
      </c>
      <c r="V22" s="12" t="n">
        <f aca="false">D22/$D$26</f>
        <v>0.172461076989002</v>
      </c>
      <c r="W22" s="12" t="n">
        <f aca="false">F22/$F$26</f>
        <v>0.0497981157469717</v>
      </c>
      <c r="X22" s="12" t="n">
        <f aca="false">IF(F22=0,"",I22/F22)</f>
        <v>0</v>
      </c>
    </row>
    <row r="23" customFormat="false" ht="15" hidden="false" customHeight="false" outlineLevel="0" collapsed="false">
      <c r="A23" s="10" t="n">
        <v>3</v>
      </c>
      <c r="B23" s="10" t="s">
        <v>339</v>
      </c>
      <c r="C23" s="11" t="n">
        <v>886</v>
      </c>
      <c r="D23" s="13" t="n">
        <v>46.81</v>
      </c>
      <c r="E23" s="11" t="n">
        <v>27</v>
      </c>
      <c r="F23" s="13" t="n">
        <v>0.48</v>
      </c>
      <c r="G23" s="15" t="n">
        <v>0.0104</v>
      </c>
      <c r="H23" s="11" t="n">
        <v>1</v>
      </c>
      <c r="I23" s="13" t="n">
        <v>0</v>
      </c>
      <c r="J23" s="11" t="n">
        <v>26</v>
      </c>
      <c r="K23" s="13" t="n">
        <v>0.48</v>
      </c>
      <c r="L23" s="15" t="n">
        <v>0.0095</v>
      </c>
      <c r="M23" s="15" t="n">
        <v>0.0075</v>
      </c>
      <c r="N23" s="15" t="n">
        <v>0.0253</v>
      </c>
      <c r="O23" s="15" t="n">
        <v>0.0386</v>
      </c>
      <c r="P23" s="15" t="n">
        <v>0.0271</v>
      </c>
      <c r="Q23" s="15" t="n">
        <v>0.0386</v>
      </c>
      <c r="R23" s="20" t="n">
        <f aca="false">F23/D23</f>
        <v>0.0102542191839351</v>
      </c>
      <c r="S23" s="18" t="n">
        <f aca="false">(R23-G23)*100</f>
        <v>-0.0145780816064945</v>
      </c>
      <c r="T23" s="18" t="n">
        <f aca="false">(G23-N23)*100</f>
        <v>-1.49</v>
      </c>
      <c r="U23" s="14" t="n">
        <f aca="false">D23*100/C23</f>
        <v>5.28329571106095</v>
      </c>
      <c r="V23" s="12" t="n">
        <f aca="false">D23/$D$26</f>
        <v>0.133723753749464</v>
      </c>
      <c r="W23" s="12" t="n">
        <f aca="false">F23/$F$26</f>
        <v>0.0646029609690444</v>
      </c>
      <c r="X23" s="12" t="n">
        <f aca="false">IF(F23=0,"",I23/F23)</f>
        <v>0</v>
      </c>
    </row>
    <row r="24" customFormat="false" ht="15" hidden="false" customHeight="false" outlineLevel="0" collapsed="false">
      <c r="A24" s="10" t="n">
        <v>4</v>
      </c>
      <c r="B24" s="10" t="s">
        <v>340</v>
      </c>
      <c r="C24" s="11" t="n">
        <v>444</v>
      </c>
      <c r="D24" s="13" t="n">
        <v>71.33</v>
      </c>
      <c r="E24" s="11" t="n">
        <v>21</v>
      </c>
      <c r="F24" s="13" t="n">
        <v>1.3</v>
      </c>
      <c r="G24" s="15" t="n">
        <v>0.0182</v>
      </c>
      <c r="H24" s="11" t="n">
        <v>0</v>
      </c>
      <c r="I24" s="13" t="n">
        <v>0</v>
      </c>
      <c r="J24" s="11" t="n">
        <v>21</v>
      </c>
      <c r="K24" s="13" t="n">
        <v>1.3</v>
      </c>
      <c r="L24" s="15" t="n">
        <v>0.0017</v>
      </c>
      <c r="M24" s="15" t="n">
        <v>0.0015</v>
      </c>
      <c r="N24" s="15" t="n">
        <v>0.0154</v>
      </c>
      <c r="O24" s="15" t="n">
        <v>0.0322</v>
      </c>
      <c r="P24" s="15" t="n">
        <v>0.0208</v>
      </c>
      <c r="Q24" s="15" t="n">
        <v>0.0388</v>
      </c>
      <c r="R24" s="20" t="n">
        <f aca="false">F24/D24</f>
        <v>0.018225150707977</v>
      </c>
      <c r="S24" s="18" t="n">
        <f aca="false">(R24-G24)*100</f>
        <v>0.00251507079770084</v>
      </c>
      <c r="T24" s="18" t="n">
        <f aca="false">(G24-N24)*100</f>
        <v>0.28</v>
      </c>
      <c r="U24" s="14" t="n">
        <f aca="false">D24*100/C24</f>
        <v>16.0653153153153</v>
      </c>
      <c r="V24" s="12" t="n">
        <f aca="false">D24/$D$26</f>
        <v>0.203770889872875</v>
      </c>
      <c r="W24" s="12" t="n">
        <f aca="false">F24/$F$26</f>
        <v>0.174966352624495</v>
      </c>
      <c r="X24" s="12" t="n">
        <f aca="false">IF(F24=0,"",I24/F24)</f>
        <v>0</v>
      </c>
    </row>
    <row r="25" customFormat="false" ht="15" hidden="false" customHeight="false" outlineLevel="0" collapsed="false">
      <c r="A25" s="10" t="n">
        <v>5</v>
      </c>
      <c r="B25" s="10" t="s">
        <v>341</v>
      </c>
      <c r="C25" s="11" t="n">
        <v>366</v>
      </c>
      <c r="D25" s="13" t="n">
        <v>13.48</v>
      </c>
      <c r="E25" s="11" t="n">
        <v>9</v>
      </c>
      <c r="F25" s="13" t="n">
        <v>0.25</v>
      </c>
      <c r="G25" s="15" t="n">
        <v>0.0183</v>
      </c>
      <c r="H25" s="11" t="n">
        <v>0</v>
      </c>
      <c r="I25" s="13" t="n">
        <v>0</v>
      </c>
      <c r="J25" s="11" t="n">
        <v>9</v>
      </c>
      <c r="K25" s="13" t="n">
        <v>0.25</v>
      </c>
      <c r="L25" s="15" t="n">
        <v>0.0081</v>
      </c>
      <c r="M25" s="15" t="n">
        <v>0.002</v>
      </c>
      <c r="N25" s="15" t="n">
        <v>0.0017</v>
      </c>
      <c r="O25" s="15" t="n">
        <v>0.0785</v>
      </c>
      <c r="P25" s="15" t="n">
        <v>0.0742</v>
      </c>
      <c r="Q25" s="15" t="n">
        <v>0.0047</v>
      </c>
      <c r="R25" s="20" t="n">
        <f aca="false">F25/D25</f>
        <v>0.0185459940652819</v>
      </c>
      <c r="S25" s="18" t="n">
        <f aca="false">(R25-G25)*100</f>
        <v>0.0245994065281897</v>
      </c>
      <c r="T25" s="18" t="n">
        <f aca="false">(G25-N25)*100</f>
        <v>1.66</v>
      </c>
      <c r="U25" s="14" t="n">
        <f aca="false">D25*100/C25</f>
        <v>3.68306010928962</v>
      </c>
      <c r="V25" s="12" t="n">
        <f aca="false">D25/$D$26</f>
        <v>0.038508784459363</v>
      </c>
      <c r="W25" s="12" t="n">
        <f aca="false">F25/$F$26</f>
        <v>0.0336473755047106</v>
      </c>
      <c r="X25" s="12" t="n">
        <f aca="false">IF(F25=0,"",I25/F25)</f>
        <v>0</v>
      </c>
    </row>
    <row r="26" customFormat="false" ht="15" hidden="false" customHeight="false" outlineLevel="0" collapsed="false">
      <c r="A26" s="10" t="n">
        <v>6</v>
      </c>
      <c r="B26" s="21" t="s">
        <v>342</v>
      </c>
      <c r="C26" s="11" t="n">
        <v>5340</v>
      </c>
      <c r="D26" s="13" t="n">
        <v>350.05</v>
      </c>
      <c r="E26" s="11" t="n">
        <v>304</v>
      </c>
      <c r="F26" s="13" t="n">
        <v>7.43</v>
      </c>
      <c r="G26" s="15" t="n">
        <v>0.0212</v>
      </c>
      <c r="H26" s="11" t="n">
        <v>19</v>
      </c>
      <c r="I26" s="13" t="n">
        <v>4.14</v>
      </c>
      <c r="J26" s="11" t="n">
        <v>285</v>
      </c>
      <c r="K26" s="13" t="n">
        <v>3.29</v>
      </c>
      <c r="L26" s="15" t="n">
        <v>0.0092</v>
      </c>
      <c r="M26" s="15" t="n">
        <v>0.012</v>
      </c>
      <c r="N26" s="15" t="n">
        <v>0.011</v>
      </c>
      <c r="O26" s="15" t="n">
        <v>0.0915</v>
      </c>
      <c r="P26" s="15" t="n">
        <v>0.0493</v>
      </c>
      <c r="Q26" s="15" t="n">
        <v>0.0394</v>
      </c>
      <c r="R26" s="20" t="n">
        <f aca="false">F26/D26</f>
        <v>0.0212255392086845</v>
      </c>
      <c r="S26" s="18" t="n">
        <f aca="false">(R26-G26)*100</f>
        <v>0.00255392086844705</v>
      </c>
      <c r="T26" s="18" t="n">
        <f aca="false">(G26-N26)*100</f>
        <v>1.02</v>
      </c>
      <c r="U26" s="14" t="n">
        <f aca="false">D26*100/C26</f>
        <v>6.55524344569288</v>
      </c>
      <c r="V26" s="12" t="n">
        <f aca="false">D26/$D$26</f>
        <v>1</v>
      </c>
      <c r="W26" s="12" t="n">
        <f aca="false">F26/$F$26</f>
        <v>1</v>
      </c>
      <c r="X26" s="12" t="n">
        <f aca="false">IF(F26=0,"",I26/F26)</f>
        <v>0.557200538358008</v>
      </c>
    </row>
    <row r="27" customFormat="false" ht="15" hidden="false" customHeight="false" outlineLevel="0" collapsed="false">
      <c r="B27" s="10" t="s">
        <v>343</v>
      </c>
      <c r="C27" s="17" t="n">
        <f aca="false">SUM(C21:C25)-C26</f>
        <v>0</v>
      </c>
      <c r="D27" s="16" t="n">
        <f aca="false">SUM(D21:D25)-D26</f>
        <v>0.00999999999999091</v>
      </c>
      <c r="F27" s="16" t="n">
        <f aca="false">SUM(F21:F25)-F26</f>
        <v>0</v>
      </c>
    </row>
    <row r="28" customFormat="false" ht="15" hidden="false" customHeight="false" outlineLevel="0" collapsed="false">
      <c r="B28" s="10" t="s">
        <v>344</v>
      </c>
      <c r="D28" s="16" t="n">
        <f aca="false">D26-D12</f>
        <v>0</v>
      </c>
      <c r="F28" s="16" t="n">
        <f aca="false">F26-F12</f>
        <v>0</v>
      </c>
    </row>
    <row r="29" customFormat="false" ht="15" hidden="false" customHeight="false" outlineLevel="0" collapsed="false">
      <c r="B29" s="10" t="s">
        <v>345</v>
      </c>
      <c r="L29" s="18" t="n">
        <f aca="false">(L26-O12)*100</f>
        <v>-0.39</v>
      </c>
      <c r="M29" s="18" t="n">
        <f aca="false">(M26-P12)*100</f>
        <v>-0.75</v>
      </c>
      <c r="N29" s="18" t="n">
        <f aca="false">(N26-Q12)*100</f>
        <v>-0.58</v>
      </c>
    </row>
    <row r="30" customFormat="false" ht="15" hidden="false" customHeight="false" outlineLevel="0" collapsed="false">
      <c r="B30" s="10" t="s">
        <v>346</v>
      </c>
      <c r="O30" s="18" t="n">
        <f aca="false">(O26-U12)*100</f>
        <v>0</v>
      </c>
      <c r="P30" s="18" t="n">
        <f aca="false">(P26-V12)*100</f>
        <v>0</v>
      </c>
      <c r="Q30" s="18" t="n">
        <f aca="false">(Q26-W12)*100</f>
        <v>0</v>
      </c>
    </row>
    <row r="32" customFormat="false" ht="15" hidden="false" customHeight="false" outlineLevel="0" collapsed="false">
      <c r="A32" s="5" t="s">
        <v>347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35.05" hidden="false" customHeight="false" outlineLevel="0" collapsed="false">
      <c r="A33" s="9" t="s">
        <v>39</v>
      </c>
      <c r="B33" s="9" t="s">
        <v>292</v>
      </c>
      <c r="C33" s="9" t="s">
        <v>113</v>
      </c>
      <c r="D33" s="9" t="s">
        <v>114</v>
      </c>
      <c r="E33" s="9" t="s">
        <v>115</v>
      </c>
      <c r="F33" s="9" t="s">
        <v>116</v>
      </c>
      <c r="G33" s="9" t="s">
        <v>117</v>
      </c>
      <c r="H33" s="9" t="s">
        <v>118</v>
      </c>
      <c r="I33" s="9" t="s">
        <v>119</v>
      </c>
      <c r="J33" s="9" t="s">
        <v>121</v>
      </c>
      <c r="K33" s="9" t="s">
        <v>123</v>
      </c>
      <c r="L33" s="9" t="s">
        <v>348</v>
      </c>
    </row>
    <row r="34" customFormat="false" ht="15" hidden="false" customHeight="false" outlineLevel="0" collapsed="false">
      <c r="A34" s="10" t="n">
        <v>1</v>
      </c>
      <c r="B34" s="10" t="s">
        <v>322</v>
      </c>
      <c r="C34" s="15" t="n">
        <v>0.1504</v>
      </c>
      <c r="D34" s="15" t="n">
        <v>0.1233</v>
      </c>
      <c r="E34" s="15" t="n">
        <v>0.2915</v>
      </c>
      <c r="F34" s="15" t="n">
        <v>0.2261</v>
      </c>
      <c r="G34" s="15" t="n">
        <v>0.2012</v>
      </c>
      <c r="H34" s="15" t="n">
        <v>0.0821</v>
      </c>
      <c r="I34" s="18" t="n">
        <f aca="false">(H34-G34)*100</f>
        <v>-11.91</v>
      </c>
      <c r="J34" s="20" t="n">
        <f aca="false">AVERAGE(C34:H34)</f>
        <v>0.1791</v>
      </c>
      <c r="K34" s="20" t="n">
        <f aca="false">MAX(C34:H34)</f>
        <v>0.2915</v>
      </c>
      <c r="L34" s="18" t="n">
        <f aca="false">(H34-W7)*100</f>
        <v>-0.649999999999999</v>
      </c>
    </row>
    <row r="35" customFormat="false" ht="15" hidden="false" customHeight="false" outlineLevel="0" collapsed="false">
      <c r="A35" s="10" t="n">
        <v>2</v>
      </c>
      <c r="B35" s="10" t="s">
        <v>323</v>
      </c>
      <c r="C35" s="15" t="n">
        <v>0.0129</v>
      </c>
      <c r="D35" s="15" t="n">
        <v>0.4365</v>
      </c>
      <c r="E35" s="15" t="n">
        <v>0.0772</v>
      </c>
      <c r="F35" s="15" t="n">
        <v>0.0569</v>
      </c>
      <c r="G35" s="15" t="n">
        <v>0.1094</v>
      </c>
      <c r="H35" s="15" t="n">
        <v>0.0263</v>
      </c>
      <c r="I35" s="18" t="n">
        <f aca="false">(H35-G35)*100</f>
        <v>-8.31</v>
      </c>
      <c r="J35" s="20" t="n">
        <f aca="false">AVERAGE(C35:H35)</f>
        <v>0.119866666666667</v>
      </c>
      <c r="K35" s="20" t="n">
        <f aca="false">MAX(C35:H35)</f>
        <v>0.4365</v>
      </c>
      <c r="L35" s="18" t="n">
        <f aca="false">(H35-W8)*100</f>
        <v>0.57</v>
      </c>
    </row>
    <row r="36" customFormat="false" ht="15" hidden="false" customHeight="false" outlineLevel="0" collapsed="false">
      <c r="A36" s="10" t="n">
        <v>3</v>
      </c>
      <c r="B36" s="10" t="s">
        <v>324</v>
      </c>
      <c r="C36" s="15" t="n">
        <v>0.093</v>
      </c>
      <c r="D36" s="15" t="n">
        <v>0.4302</v>
      </c>
      <c r="E36" s="15" t="n">
        <v>0.0248</v>
      </c>
      <c r="F36" s="15" t="n">
        <v>0.0127</v>
      </c>
      <c r="G36" s="15" t="n">
        <v>0.029</v>
      </c>
      <c r="H36" s="15" t="n">
        <v>0.058</v>
      </c>
      <c r="I36" s="18" t="n">
        <f aca="false">(H36-G36)*100</f>
        <v>2.9</v>
      </c>
      <c r="J36" s="20" t="n">
        <f aca="false">AVERAGE(C36:H36)</f>
        <v>0.10795</v>
      </c>
      <c r="K36" s="20" t="n">
        <f aca="false">MAX(C36:H36)</f>
        <v>0.4302</v>
      </c>
      <c r="L36" s="18" t="n">
        <f aca="false">(H36-W9)*100</f>
        <v>-0.33</v>
      </c>
    </row>
    <row r="37" customFormat="false" ht="15" hidden="false" customHeight="false" outlineLevel="0" collapsed="false">
      <c r="A37" s="10" t="n">
        <v>4</v>
      </c>
      <c r="B37" s="10" t="s">
        <v>325</v>
      </c>
      <c r="C37" s="15" t="n">
        <v>0.0268</v>
      </c>
      <c r="D37" s="15" t="n">
        <v>0.0094</v>
      </c>
      <c r="E37" s="15" t="n">
        <v>0.005</v>
      </c>
      <c r="F37" s="15" t="n">
        <v>0.0097</v>
      </c>
      <c r="G37" s="15" t="n">
        <v>0.0147</v>
      </c>
      <c r="H37" s="15" t="n">
        <v>0.1096</v>
      </c>
      <c r="I37" s="18" t="n">
        <f aca="false">(H37-G37)*100</f>
        <v>9.49</v>
      </c>
      <c r="J37" s="20" t="n">
        <f aca="false">AVERAGE(C37:H37)</f>
        <v>0.0292</v>
      </c>
      <c r="K37" s="20" t="n">
        <f aca="false">MAX(C37:H37)</f>
        <v>0.1096</v>
      </c>
      <c r="L37" s="18" t="n">
        <f aca="false">(H37-W10)*100</f>
        <v>-0.849999999999999</v>
      </c>
    </row>
    <row r="38" customFormat="false" ht="15" hidden="false" customHeight="false" outlineLevel="0" collapsed="false">
      <c r="A38" s="10" t="n">
        <v>5</v>
      </c>
      <c r="B38" s="10" t="s">
        <v>326</v>
      </c>
      <c r="C38" s="15" t="n">
        <v>0.0215</v>
      </c>
      <c r="D38" s="15" t="n">
        <v>0.027</v>
      </c>
      <c r="E38" s="15" t="n">
        <v>0.0091</v>
      </c>
      <c r="F38" s="15" t="n">
        <v>0.011</v>
      </c>
      <c r="G38" s="15" t="n">
        <v>0.0039</v>
      </c>
      <c r="H38" s="15" t="n">
        <v>0.0115</v>
      </c>
      <c r="I38" s="18" t="n">
        <f aca="false">(H38-G38)*100</f>
        <v>0.76</v>
      </c>
      <c r="J38" s="20" t="n">
        <f aca="false">AVERAGE(C38:H38)</f>
        <v>0.014</v>
      </c>
      <c r="K38" s="20" t="n">
        <f aca="false">MAX(C38:H38)</f>
        <v>0.027</v>
      </c>
      <c r="L38" s="18" t="n">
        <f aca="false">(H38-W11)*100</f>
        <v>-0.88</v>
      </c>
    </row>
    <row r="39" customFormat="false" ht="15" hidden="false" customHeight="false" outlineLevel="0" collapsed="false">
      <c r="A39" s="10" t="n">
        <v>6</v>
      </c>
      <c r="B39" s="10" t="s">
        <v>328</v>
      </c>
      <c r="C39" s="15" t="n">
        <v>0.0036</v>
      </c>
      <c r="D39" s="15" t="n">
        <v>0.0084</v>
      </c>
      <c r="E39" s="15" t="n">
        <v>0.0369</v>
      </c>
      <c r="F39" s="15" t="n">
        <v>0.0037</v>
      </c>
      <c r="G39" s="15" t="n">
        <v>0.0094</v>
      </c>
      <c r="H39" s="15" t="n">
        <v>0.0152</v>
      </c>
      <c r="I39" s="18" t="n">
        <f aca="false">(H39-G39)*100</f>
        <v>0.58</v>
      </c>
      <c r="J39" s="20" t="n">
        <f aca="false">AVERAGE(C39:H39)</f>
        <v>0.0128666666666667</v>
      </c>
      <c r="K39" s="20" t="n">
        <f aca="false">MAX(C39:H39)</f>
        <v>0.0369</v>
      </c>
      <c r="L39" s="18" t="n">
        <f aca="false">(H39-W13)*100</f>
        <v>-0.62</v>
      </c>
    </row>
    <row r="42" customFormat="false" ht="15" hidden="false" customHeight="false" outlineLevel="0" collapsed="false">
      <c r="A42" s="5" t="s">
        <v>136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23.85" hidden="false" customHeight="false" outlineLevel="0" collapsed="false">
      <c r="A43" s="9" t="s">
        <v>39</v>
      </c>
      <c r="B43" s="9" t="s">
        <v>137</v>
      </c>
      <c r="C43" s="9" t="s">
        <v>138</v>
      </c>
      <c r="D43" s="9" t="s">
        <v>42</v>
      </c>
      <c r="E43" s="9" t="s">
        <v>139</v>
      </c>
    </row>
    <row r="44" customFormat="false" ht="91" hidden="false" customHeight="false" outlineLevel="0" collapsed="false">
      <c r="A44" s="10" t="n">
        <v>1</v>
      </c>
      <c r="B44" s="22" t="s">
        <v>349</v>
      </c>
      <c r="C44" s="12" t="n">
        <f aca="false">G15</f>
        <v>2.87984496124031</v>
      </c>
      <c r="D44" s="10" t="s">
        <v>55</v>
      </c>
      <c r="E44" s="23" t="s">
        <v>350</v>
      </c>
    </row>
    <row r="45" customFormat="false" ht="68.65" hidden="false" customHeight="false" outlineLevel="0" collapsed="false">
      <c r="A45" s="10" t="n">
        <v>2</v>
      </c>
      <c r="B45" s="22" t="s">
        <v>351</v>
      </c>
      <c r="C45" s="18" t="n">
        <f aca="false">L29</f>
        <v>-0.39</v>
      </c>
      <c r="D45" s="10" t="s">
        <v>141</v>
      </c>
      <c r="E45" s="23" t="s">
        <v>352</v>
      </c>
    </row>
    <row r="46" customFormat="false" ht="79.85" hidden="false" customHeight="false" outlineLevel="0" collapsed="false">
      <c r="A46" s="10" t="n">
        <v>3</v>
      </c>
      <c r="B46" s="22" t="s">
        <v>353</v>
      </c>
      <c r="C46" s="18" t="n">
        <f aca="false">L34</f>
        <v>-0.649999999999999</v>
      </c>
      <c r="D46" s="10" t="s">
        <v>141</v>
      </c>
      <c r="E46" s="23" t="s">
        <v>354</v>
      </c>
    </row>
    <row r="47" customFormat="false" ht="46.25" hidden="false" customHeight="false" outlineLevel="0" collapsed="false">
      <c r="A47" s="10" t="n">
        <v>4</v>
      </c>
      <c r="B47" s="22" t="s">
        <v>355</v>
      </c>
      <c r="C47" s="16" t="n">
        <f aca="false">MAX(ABS(MIN(Y7:Y13)),MAX(Y7:Y13),ABS(MIN(Z7:Z13)),MAX(Z7:Z13),ABS(MIN(C14:K14)),MAX(C14:K14),ABS(MIN(C27:F27)),MAX(C27:F27))</f>
        <v>0.0378564683663834</v>
      </c>
      <c r="D47" s="10" t="s">
        <v>48</v>
      </c>
      <c r="E47" s="23" t="s">
        <v>356</v>
      </c>
    </row>
    <row r="48" customFormat="false" ht="68.65" hidden="false" customHeight="false" outlineLevel="0" collapsed="false">
      <c r="A48" s="10" t="n">
        <v>5</v>
      </c>
      <c r="B48" s="22" t="s">
        <v>357</v>
      </c>
      <c r="C48" s="17" t="n">
        <f aca="false">AA13</f>
        <v>-28</v>
      </c>
      <c r="D48" s="10" t="s">
        <v>45</v>
      </c>
      <c r="E48" s="23" t="s">
        <v>358</v>
      </c>
    </row>
    <row r="49" customFormat="false" ht="68.65" hidden="false" customHeight="false" outlineLevel="0" collapsed="false">
      <c r="A49" s="10" t="n">
        <v>6</v>
      </c>
      <c r="B49" s="22" t="s">
        <v>359</v>
      </c>
      <c r="C49" s="12" t="n">
        <f aca="false">AG11</f>
        <v>0.630967004713612</v>
      </c>
      <c r="D49" s="10" t="s">
        <v>55</v>
      </c>
      <c r="E49" s="23" t="s">
        <v>360</v>
      </c>
    </row>
    <row r="50" customFormat="false" ht="68.65" hidden="false" customHeight="false" outlineLevel="0" collapsed="false">
      <c r="A50" s="10" t="n">
        <v>7</v>
      </c>
      <c r="B50" s="22" t="s">
        <v>361</v>
      </c>
      <c r="C50" s="12" t="n">
        <f aca="false">W21</f>
        <v>0.676985195154778</v>
      </c>
      <c r="D50" s="10" t="s">
        <v>55</v>
      </c>
      <c r="E50" s="23" t="s">
        <v>362</v>
      </c>
    </row>
    <row r="52" customFormat="false" ht="15" hidden="false" customHeight="false" outlineLevel="0" collapsed="false">
      <c r="A52" s="5" t="s">
        <v>363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4" customFormat="false" ht="15" hidden="false" customHeight="false" outlineLevel="0" collapsed="false">
      <c r="A54" s="5" t="s">
        <v>156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35.05" hidden="false" customHeight="false" outlineLevel="0" collapsed="false">
      <c r="A55" s="9" t="s">
        <v>39</v>
      </c>
      <c r="B55" s="9" t="s">
        <v>157</v>
      </c>
      <c r="C55" s="9" t="s">
        <v>158</v>
      </c>
      <c r="D55" s="9" t="s">
        <v>159</v>
      </c>
      <c r="E55" s="9" t="s">
        <v>160</v>
      </c>
      <c r="F55" s="9" t="s">
        <v>42</v>
      </c>
      <c r="G55" s="9" t="s">
        <v>161</v>
      </c>
    </row>
    <row r="56" customFormat="false" ht="35.05" hidden="false" customHeight="false" outlineLevel="0" collapsed="false">
      <c r="A56" s="10" t="n">
        <v>1</v>
      </c>
      <c r="B56" s="21" t="s">
        <v>162</v>
      </c>
      <c r="C56" s="23" t="s">
        <v>364</v>
      </c>
      <c r="D56" s="23" t="s">
        <v>164</v>
      </c>
      <c r="E56" s="16" t="n">
        <f aca="false">D12</f>
        <v>350.05</v>
      </c>
      <c r="F56" s="10" t="s">
        <v>48</v>
      </c>
      <c r="G56" s="23"/>
    </row>
    <row r="57" customFormat="false" ht="46.25" hidden="false" customHeight="false" outlineLevel="0" collapsed="false">
      <c r="A57" s="10" t="n">
        <v>2</v>
      </c>
      <c r="B57" s="21" t="s">
        <v>162</v>
      </c>
      <c r="C57" s="23" t="s">
        <v>365</v>
      </c>
      <c r="D57" s="23" t="s">
        <v>164</v>
      </c>
      <c r="E57" s="20" t="n">
        <f aca="false">G13</f>
        <v>0.0025</v>
      </c>
      <c r="F57" s="10" t="s">
        <v>55</v>
      </c>
      <c r="G57" s="23"/>
    </row>
    <row r="58" customFormat="false" ht="68.65" hidden="false" customHeight="false" outlineLevel="0" collapsed="false">
      <c r="A58" s="10" t="n">
        <v>3</v>
      </c>
      <c r="B58" s="21" t="s">
        <v>162</v>
      </c>
      <c r="C58" s="23" t="s">
        <v>366</v>
      </c>
      <c r="D58" s="23" t="s">
        <v>164</v>
      </c>
      <c r="E58" s="16" t="n">
        <f aca="false">R11</f>
        <v>4.87</v>
      </c>
      <c r="F58" s="10" t="s">
        <v>48</v>
      </c>
      <c r="G58" s="23"/>
    </row>
    <row r="59" customFormat="false" ht="57.45" hidden="false" customHeight="false" outlineLevel="0" collapsed="false">
      <c r="A59" s="10" t="n">
        <v>4</v>
      </c>
      <c r="B59" s="21" t="s">
        <v>167</v>
      </c>
      <c r="C59" s="23" t="s">
        <v>367</v>
      </c>
      <c r="D59" s="23" t="s">
        <v>368</v>
      </c>
      <c r="E59" s="12" t="n">
        <f aca="false">G15</f>
        <v>2.87984496124031</v>
      </c>
      <c r="F59" s="10" t="s">
        <v>55</v>
      </c>
      <c r="G59" s="23"/>
    </row>
    <row r="60" customFormat="false" ht="68.65" hidden="false" customHeight="false" outlineLevel="0" collapsed="false">
      <c r="A60" s="10" t="n">
        <v>5</v>
      </c>
      <c r="B60" s="21" t="s">
        <v>167</v>
      </c>
      <c r="C60" s="23" t="s">
        <v>369</v>
      </c>
      <c r="D60" s="23" t="s">
        <v>370</v>
      </c>
      <c r="E60" s="12" t="n">
        <f aca="false">AB12</f>
        <v>0.557200538358008</v>
      </c>
      <c r="F60" s="10" t="s">
        <v>55</v>
      </c>
      <c r="G60" s="23"/>
    </row>
    <row r="61" customFormat="false" ht="68.65" hidden="false" customHeight="false" outlineLevel="0" collapsed="false">
      <c r="A61" s="10" t="n">
        <v>6</v>
      </c>
      <c r="B61" s="21" t="s">
        <v>167</v>
      </c>
      <c r="C61" s="23" t="s">
        <v>371</v>
      </c>
      <c r="D61" s="23" t="s">
        <v>372</v>
      </c>
      <c r="E61" s="14" t="n">
        <f aca="false">AF12</f>
        <v>6.55524344569288</v>
      </c>
      <c r="F61" s="10" t="s">
        <v>170</v>
      </c>
      <c r="G61" s="23"/>
    </row>
    <row r="62" customFormat="false" ht="57.45" hidden="false" customHeight="false" outlineLevel="0" collapsed="false">
      <c r="A62" s="10" t="n">
        <v>7</v>
      </c>
      <c r="B62" s="21" t="s">
        <v>167</v>
      </c>
      <c r="C62" s="23" t="s">
        <v>373</v>
      </c>
      <c r="D62" s="23" t="s">
        <v>374</v>
      </c>
      <c r="E62" s="24" t="str">
        <f aca="false">INDEX(B21:B25,MATCH(MAX(G21:G25),G21:G25,0))</f>
        <v>V1</v>
      </c>
      <c r="F62" s="10" t="s">
        <v>68</v>
      </c>
      <c r="G62" s="23"/>
    </row>
    <row r="63" customFormat="false" ht="113.4" hidden="false" customHeight="false" outlineLevel="0" collapsed="false">
      <c r="A63" s="10" t="n">
        <v>8</v>
      </c>
      <c r="B63" s="21" t="s">
        <v>177</v>
      </c>
      <c r="C63" s="23" t="s">
        <v>375</v>
      </c>
      <c r="D63" s="23" t="s">
        <v>376</v>
      </c>
      <c r="E63" s="20" t="n">
        <f aca="false">(F12-I9)/D12</f>
        <v>0.0107413226681903</v>
      </c>
      <c r="F63" s="10" t="s">
        <v>55</v>
      </c>
      <c r="G63" s="23" t="s">
        <v>377</v>
      </c>
    </row>
    <row r="64" customFormat="false" ht="180.55" hidden="false" customHeight="false" outlineLevel="0" collapsed="false">
      <c r="A64" s="10" t="n">
        <v>9</v>
      </c>
      <c r="B64" s="21" t="s">
        <v>177</v>
      </c>
      <c r="C64" s="23" t="s">
        <v>378</v>
      </c>
      <c r="D64" s="23" t="s">
        <v>379</v>
      </c>
      <c r="E64" s="16" t="n">
        <f aca="false">N12/Q12</f>
        <v>164.880952380952</v>
      </c>
      <c r="F64" s="10" t="s">
        <v>48</v>
      </c>
      <c r="G64" s="23" t="s">
        <v>380</v>
      </c>
    </row>
    <row r="65" customFormat="false" ht="91" hidden="false" customHeight="false" outlineLevel="0" collapsed="false">
      <c r="A65" s="10" t="n">
        <v>10</v>
      </c>
      <c r="B65" s="21" t="s">
        <v>177</v>
      </c>
      <c r="C65" s="23" t="s">
        <v>381</v>
      </c>
      <c r="D65" s="23" t="s">
        <v>382</v>
      </c>
      <c r="E65" s="16" t="n">
        <f aca="false">F16</f>
        <v>17.3545487364621</v>
      </c>
      <c r="F65" s="10" t="s">
        <v>48</v>
      </c>
      <c r="G65" s="23" t="s">
        <v>383</v>
      </c>
    </row>
    <row r="67" customFormat="false" ht="15" hidden="false" customHeight="false" outlineLevel="0" collapsed="false">
      <c r="A67" s="5" t="s">
        <v>187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69.75" hidden="false" customHeight="true" outlineLevel="0" collapsed="false">
      <c r="A68" s="25" t="s">
        <v>384</v>
      </c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70" customFormat="false" ht="15" hidden="false" customHeight="false" outlineLevel="0" collapsed="false">
      <c r="A70" s="4" t="s">
        <v>2</v>
      </c>
    </row>
  </sheetData>
  <mergeCells count="1">
    <mergeCell ref="A68:Z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36"/>
    <col collapsed="false" customWidth="true" hidden="false" outlineLevel="0" max="4" min="4" style="1" width="44"/>
    <col collapsed="false" customWidth="true" hidden="false" outlineLevel="0" max="5" min="5" style="1" width="24"/>
    <col collapsed="false" customWidth="true" hidden="false" outlineLevel="0" max="6" min="6" style="1" width="78"/>
  </cols>
  <sheetData>
    <row r="1" customFormat="false" ht="17.35" hidden="false" customHeight="false" outlineLevel="0" collapsed="false">
      <c r="A1" s="2" t="s">
        <v>385</v>
      </c>
    </row>
    <row r="2" customFormat="false" ht="15" hidden="false" customHeight="false" outlineLevel="0" collapsed="false">
      <c r="A2" s="3" t="s">
        <v>190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191</v>
      </c>
      <c r="B5" s="6"/>
      <c r="C5" s="6"/>
      <c r="D5" s="6"/>
      <c r="E5" s="6"/>
      <c r="F5" s="6"/>
    </row>
    <row r="6" customFormat="false" ht="15" hidden="false" customHeight="false" outlineLevel="0" collapsed="false">
      <c r="B6" s="26" t="s">
        <v>192</v>
      </c>
      <c r="C6" s="26" t="s">
        <v>193</v>
      </c>
      <c r="D6" s="26"/>
      <c r="E6" s="26"/>
      <c r="F6" s="26"/>
    </row>
    <row r="7" customFormat="false" ht="15" hidden="false" customHeight="true" outlineLevel="0" collapsed="false">
      <c r="B7" s="21" t="s">
        <v>386</v>
      </c>
      <c r="C7" s="23" t="s">
        <v>387</v>
      </c>
      <c r="D7" s="23"/>
      <c r="E7" s="23"/>
      <c r="F7" s="23"/>
    </row>
    <row r="8" customFormat="false" ht="15" hidden="false" customHeight="true" outlineLevel="0" collapsed="false">
      <c r="B8" s="21" t="s">
        <v>388</v>
      </c>
      <c r="C8" s="23" t="s">
        <v>389</v>
      </c>
      <c r="D8" s="23"/>
      <c r="E8" s="23"/>
      <c r="F8" s="23"/>
    </row>
    <row r="9" customFormat="false" ht="15" hidden="false" customHeight="true" outlineLevel="0" collapsed="false">
      <c r="B9" s="21" t="s">
        <v>390</v>
      </c>
      <c r="C9" s="23" t="s">
        <v>391</v>
      </c>
      <c r="D9" s="23"/>
      <c r="E9" s="23"/>
      <c r="F9" s="23"/>
    </row>
    <row r="10" customFormat="false" ht="15" hidden="false" customHeight="true" outlineLevel="0" collapsed="false">
      <c r="B10" s="21" t="s">
        <v>392</v>
      </c>
      <c r="C10" s="23" t="s">
        <v>393</v>
      </c>
      <c r="D10" s="23"/>
      <c r="E10" s="23"/>
      <c r="F10" s="23"/>
    </row>
    <row r="11" customFormat="false" ht="15" hidden="false" customHeight="true" outlineLevel="0" collapsed="false">
      <c r="B11" s="21" t="s">
        <v>394</v>
      </c>
      <c r="C11" s="23" t="s">
        <v>395</v>
      </c>
      <c r="D11" s="23"/>
      <c r="E11" s="23"/>
      <c r="F11" s="23"/>
    </row>
    <row r="12" customFormat="false" ht="15" hidden="false" customHeight="true" outlineLevel="0" collapsed="false">
      <c r="B12" s="21" t="s">
        <v>208</v>
      </c>
      <c r="C12" s="23" t="s">
        <v>396</v>
      </c>
      <c r="D12" s="23"/>
      <c r="E12" s="23"/>
      <c r="F12" s="23"/>
    </row>
    <row r="13" customFormat="false" ht="15" hidden="false" customHeight="true" outlineLevel="0" collapsed="false">
      <c r="B13" s="21" t="s">
        <v>397</v>
      </c>
      <c r="C13" s="23" t="s">
        <v>398</v>
      </c>
      <c r="D13" s="23"/>
      <c r="E13" s="23"/>
      <c r="F13" s="23"/>
    </row>
    <row r="14" customFormat="false" ht="15" hidden="false" customHeight="true" outlineLevel="0" collapsed="false">
      <c r="B14" s="21" t="s">
        <v>399</v>
      </c>
      <c r="C14" s="23" t="s">
        <v>400</v>
      </c>
      <c r="D14" s="23"/>
      <c r="E14" s="23"/>
      <c r="F14" s="23"/>
    </row>
    <row r="15" customFormat="false" ht="15" hidden="false" customHeight="false" outlineLevel="0" collapsed="false">
      <c r="B15" s="27" t="s">
        <v>401</v>
      </c>
    </row>
    <row r="17" customFormat="false" ht="15" hidden="false" customHeight="false" outlineLevel="0" collapsed="false">
      <c r="A17" s="5" t="s">
        <v>215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9" t="s">
        <v>39</v>
      </c>
      <c r="B18" s="9" t="s">
        <v>216</v>
      </c>
      <c r="C18" s="9" t="s">
        <v>217</v>
      </c>
      <c r="D18" s="9" t="s">
        <v>218</v>
      </c>
      <c r="E18" s="9" t="s">
        <v>219</v>
      </c>
      <c r="F18" s="9" t="s">
        <v>220</v>
      </c>
    </row>
    <row r="19" customFormat="false" ht="15" hidden="false" customHeight="false" outlineLevel="0" collapsed="false">
      <c r="A19" s="10" t="n">
        <v>1</v>
      </c>
      <c r="B19" s="23" t="s">
        <v>221</v>
      </c>
      <c r="C19" s="23" t="s">
        <v>402</v>
      </c>
      <c r="D19" s="23" t="s">
        <v>403</v>
      </c>
      <c r="E19" s="23" t="s">
        <v>404</v>
      </c>
      <c r="F19" s="28" t="str">
        <f aca="false">"Total NPA "&amp;TEXT(B2_NPA_Vintage!C12,"#,##0")&amp;" / "&amp;TEXT(B2_NPA_Vintage!D12,"#,##0.00;-#,##0.00;0.00")&amp;" / RU "&amp;TEXT(B2_NPA_Vintage!F12,"#,##0.00;-#,##0.00;0.00")&amp;" / Upg "&amp;TEXT(B2_NPA_Vintage!I12,"#,##0.00;-#,##0.00;0.00")&amp;" / Reco "&amp;TEXT(B2_NPA_Vintage!K12,"#,##0.00;-#,##0.00;0.00")</f>
        <v>Total NPA 5,340 / 350.05 / RU 7.43 / Upg 4.14 / Reco 3.29</v>
      </c>
    </row>
    <row r="20" customFormat="false" ht="15" hidden="false" customHeight="false" outlineLevel="0" collapsed="false">
      <c r="A20" s="10" t="n">
        <v>2</v>
      </c>
      <c r="B20" s="23" t="s">
        <v>221</v>
      </c>
      <c r="C20" s="23" t="s">
        <v>405</v>
      </c>
      <c r="D20" s="23" t="s">
        <v>406</v>
      </c>
      <c r="E20" s="23" t="s">
        <v>407</v>
      </c>
      <c r="F20" s="28" t="str">
        <f aca="false">"Total EOM ₹ "&amp;TEXT(B2_NPA_Vintage!R12,"#,##0.00;-#,##0.00;0.00")&amp;" / "&amp;TEXT(B2_NPA_Vintage!S12,"#,##0.00;-#,##0.00;0.00")&amp;" / "&amp;TEXT(B2_NPA_Vintage!T12,"#,##0.00;-#,##0.00;0.00")&amp;"; EOM % "&amp;TEXT(B2_NPA_Vintage!U12,"0.00%")&amp;" / "&amp;TEXT(B2_NPA_Vintage!V12,"0.00%")&amp;" / "&amp;TEXT(B2_NPA_Vintage!W12,"0.00%")</f>
        <v>Total EOM ₹ 19.90 / 7.47 / 6.47; EOM % 9.15% / 4.93% / 3.94%</v>
      </c>
    </row>
    <row r="21" customFormat="false" ht="15" hidden="false" customHeight="false" outlineLevel="0" collapsed="false">
      <c r="A21" s="10" t="n">
        <v>3</v>
      </c>
      <c r="B21" s="23" t="s">
        <v>228</v>
      </c>
      <c r="C21" s="23" t="s">
        <v>408</v>
      </c>
      <c r="D21" s="23" t="s">
        <v>409</v>
      </c>
      <c r="E21" s="23" t="s">
        <v>410</v>
      </c>
      <c r="F21" s="28" t="str">
        <f aca="false">"max |gap| "&amp;TEXT(MAX(ABS(MIN(B2_NPA_Vintage!Y7:Y13)),MAX(B2_NPA_Vintage!Y7:Y13),ABS(MIN(B2_NPA_Vintage!S21:S26)),MAX(B2_NPA_Vintage!S21:S26)),"+0.0"" pp"";-0.0"" pp"";0.0"" pp""")</f>
        <v>max |gap| +0.0 pp</v>
      </c>
    </row>
    <row r="22" customFormat="false" ht="15" hidden="false" customHeight="false" outlineLevel="0" collapsed="false">
      <c r="A22" s="10" t="n">
        <v>4</v>
      </c>
      <c r="B22" s="23" t="s">
        <v>228</v>
      </c>
      <c r="C22" s="23" t="s">
        <v>411</v>
      </c>
      <c r="D22" s="23" t="s">
        <v>412</v>
      </c>
      <c r="E22" s="23" t="s">
        <v>404</v>
      </c>
      <c r="F22" s="28" t="str">
        <f aca="false">"max |gap ₹| "&amp;TEXT(MAX(ABS(MIN(B2_NPA_Vintage!Z7:Z13)),MAX(B2_NPA_Vintage!Z7:Z13)),"#,##0.00;-#,##0.00;0.00")&amp;"; # "&amp;TEXT(MAX(ABS(MIN(B2_NPA_Vintage!AA7:AA13)),MAX(B2_NPA_Vintage!AA7:AA13)),"#,##0")</f>
        <v>max |gap ₹| 0.01; # 28</v>
      </c>
    </row>
    <row r="23" customFormat="false" ht="15" hidden="false" customHeight="false" outlineLevel="0" collapsed="false">
      <c r="A23" s="10" t="n">
        <v>5</v>
      </c>
      <c r="B23" s="23" t="s">
        <v>228</v>
      </c>
      <c r="C23" s="23" t="s">
        <v>413</v>
      </c>
      <c r="D23" s="23" t="s">
        <v>414</v>
      </c>
      <c r="E23" s="23" t="s">
        <v>415</v>
      </c>
      <c r="F23" s="28" t="str">
        <f aca="false">"NPA "&amp;TEXT(B2_NPA_Vintage!C14,"#,##0.00;-#,##0.00;0.00")&amp;" / "&amp;TEXT(B2_NPA_Vintage!D14,"#,##0.00;-#,##0.00;0.00")&amp;" / "&amp;TEXT(B2_NPA_Vintage!F14,"#,##0.00;-#,##0.00;0.00")&amp;"; vintage "&amp;TEXT(B2_NPA_Vintage!C27,"#,##0.00;-#,##0.00;0.00")&amp;" / "&amp;TEXT(B2_NPA_Vintage!D27,"#,##0.00;-#,##0.00;0.00")&amp;" / "&amp;TEXT(B2_NPA_Vintage!F27,"#,##0.00;-#,##0.00;0.00")&amp;"; vintage vs NPA total "&amp;TEXT(B2_NPA_Vintage!D28,"#,##0.00;-#,##0.00;0.00")</f>
        <v>NPA 0.00 / 0.00 / 0.00; vintage 0.00 / 0.01 / 0.00; vintage vs NPA total 0.00</v>
      </c>
    </row>
    <row r="24" customFormat="false" ht="15" hidden="false" customHeight="false" outlineLevel="0" collapsed="false">
      <c r="A24" s="10" t="n">
        <v>6</v>
      </c>
      <c r="B24" s="23" t="s">
        <v>228</v>
      </c>
      <c r="C24" s="23" t="s">
        <v>416</v>
      </c>
      <c r="D24" s="23" t="s">
        <v>417</v>
      </c>
      <c r="E24" s="23" t="s">
        <v>418</v>
      </c>
      <c r="F24" s="28" t="str">
        <f aca="false">"SD "&amp;TEXT(B2_NPA_Vintage!L29,"+0.0"" pp"";-0.0"" pp"";0.0"" pp""")&amp;" / "&amp;TEXT(B2_NPA_Vintage!M29,"+0.0"" pp"";-0.0"" pp"";0.0"" pp""")&amp;" / "&amp;TEXT(B2_NPA_Vintage!N29,"+0.0"" pp"";-0.0"" pp"";0.0"" pp""")&amp;"; EOM "&amp;TEXT(B2_NPA_Vintage!O30,"+0.0"" pp"";-0.0"" pp"";0.0"" pp""")&amp;" / "&amp;TEXT(B2_NPA_Vintage!P30,"+0.0"" pp"";-0.0"" pp"";0.0"" pp""")&amp;" / "&amp;TEXT(B2_NPA_Vintage!Q30,"+0.0"" pp"";-0.0"" pp"";0.0"" pp""")</f>
        <v>SD -0.4 pp / -0.8 pp / -0.6 pp; EOM 0.0 pp / 0.0 pp / 0.0 pp</v>
      </c>
    </row>
    <row r="25" customFormat="false" ht="15" hidden="false" customHeight="false" outlineLevel="0" collapsed="false">
      <c r="A25" s="10" t="n">
        <v>7</v>
      </c>
      <c r="B25" s="23" t="s">
        <v>228</v>
      </c>
      <c r="C25" s="23" t="s">
        <v>419</v>
      </c>
      <c r="D25" s="23" t="s">
        <v>420</v>
      </c>
      <c r="E25" s="23" t="s">
        <v>421</v>
      </c>
      <c r="F25" s="28" t="str">
        <f aca="false">TEXT(B2_NPA_Vintage!L34,"+0.0"" pp"";-0.0"" pp"";0.0"" pp""")&amp;" / "&amp;TEXT(B2_NPA_Vintage!L35,"+0.0"" pp"";-0.0"" pp"";0.0"" pp""")&amp;" / "&amp;TEXT(B2_NPA_Vintage!L36,"+0.0"" pp"";-0.0"" pp"";0.0"" pp""")&amp;" / "&amp;TEXT(B2_NPA_Vintage!L37,"+0.0"" pp"";-0.0"" pp"";0.0"" pp""")&amp;" / "&amp;TEXT(B2_NPA_Vintage!L38,"+0.0"" pp"";-0.0"" pp"";0.0"" pp""")&amp;" / "&amp;TEXT(B2_NPA_Vintage!L39,"+0.0"" pp"";-0.0"" pp"";0.0"" pp""")</f>
        <v>-0.6 pp / +0.6 pp / -0.3 pp / -0.9 pp / -0.9 pp / -0.6 pp</v>
      </c>
    </row>
    <row r="26" customFormat="false" ht="15" hidden="false" customHeight="false" outlineLevel="0" collapsed="false">
      <c r="A26" s="10" t="n">
        <v>8</v>
      </c>
      <c r="B26" s="23" t="s">
        <v>422</v>
      </c>
      <c r="C26" s="23" t="s">
        <v>423</v>
      </c>
      <c r="D26" s="23" t="s">
        <v>424</v>
      </c>
      <c r="E26" s="23" t="s">
        <v>404</v>
      </c>
      <c r="F26" s="28" t="str">
        <f aca="false">TEXT(B2_NPA_Vintage!G7,"0.00%")&amp;" / "&amp;TEXT(B2_NPA_Vintage!G8,"0.00%")&amp;" / "&amp;TEXT(B2_NPA_Vintage!G9,"0.00%")&amp;" / "&amp;TEXT(B2_NPA_Vintage!G10,"0.00%")&amp;" / "&amp;TEXT(B2_NPA_Vintage!G11,"0.00%")&amp;" / "&amp;TEXT(B2_NPA_Vintage!G12,"0.00%")&amp;" / "&amp;TEXT(B2_NPA_Vintage!G13,"0.00%")</f>
        <v>4.19% / 0.46% / 13.04% / 0.51% / 0.55% / 2.12% / 0.25%</v>
      </c>
    </row>
    <row r="27" customFormat="false" ht="15" hidden="false" customHeight="false" outlineLevel="0" collapsed="false">
      <c r="A27" s="10" t="n">
        <v>9</v>
      </c>
      <c r="B27" s="23" t="s">
        <v>422</v>
      </c>
      <c r="C27" s="23" t="s">
        <v>425</v>
      </c>
      <c r="D27" s="23" t="s">
        <v>426</v>
      </c>
      <c r="E27" s="23" t="s">
        <v>427</v>
      </c>
      <c r="F27" s="28" t="str">
        <f aca="false">TEXT(B2_NPA_Vintage!G21,"0.00%")&amp;" / "&amp;TEXT(B2_NPA_Vintage!G22,"0.00%")&amp;" / "&amp;TEXT(B2_NPA_Vintage!G23,"0.00%")&amp;" / "&amp;TEXT(B2_NPA_Vintage!G24,"0.00%")&amp;" / "&amp;TEXT(B2_NPA_Vintage!G25,"0.00%")&amp;" / "&amp;TEXT(B2_NPA_Vintage!G26,"0.00%")</f>
        <v>3.18% / 0.62% / 1.04% / 1.82% / 1.83% / 2.12%</v>
      </c>
    </row>
    <row r="28" customFormat="false" ht="15" hidden="false" customHeight="false" outlineLevel="0" collapsed="false">
      <c r="A28" s="10" t="n">
        <v>10</v>
      </c>
      <c r="B28" s="23" t="s">
        <v>422</v>
      </c>
      <c r="C28" s="23" t="s">
        <v>428</v>
      </c>
      <c r="D28" s="23" t="s">
        <v>429</v>
      </c>
      <c r="E28" s="23" t="s">
        <v>410</v>
      </c>
      <c r="F28" s="28" t="str">
        <f aca="false">"Total "&amp;TEXT(B2_NPA_Vintage!AB12,"0.0%")&amp;"; DPD 121–150 "&amp;TEXT(B2_NPA_Vintage!AB9,"0.0%")&amp;"; V1 "&amp;TEXT(B2_NPA_Vintage!X21,"0.0%")</f>
        <v>Total 55.7%; DPD 121–150 92.7%; V1 82.3%</v>
      </c>
    </row>
    <row r="29" customFormat="false" ht="15" hidden="false" customHeight="false" outlineLevel="0" collapsed="false">
      <c r="A29" s="10" t="n">
        <v>11</v>
      </c>
      <c r="B29" s="23" t="s">
        <v>422</v>
      </c>
      <c r="C29" s="23" t="s">
        <v>430</v>
      </c>
      <c r="D29" s="23" t="s">
        <v>431</v>
      </c>
      <c r="E29" s="23" t="s">
        <v>342</v>
      </c>
      <c r="F29" s="28" t="str">
        <f aca="false">TEXT((B2_NPA_Vintage!F12-B2_NPA_Vintage!I9)/B2_NPA_Vintage!D12,"0.00%")</f>
        <v>1.07%</v>
      </c>
    </row>
    <row r="30" customFormat="false" ht="15" hidden="false" customHeight="false" outlineLevel="0" collapsed="false">
      <c r="A30" s="10" t="n">
        <v>12</v>
      </c>
      <c r="B30" s="23" t="s">
        <v>422</v>
      </c>
      <c r="C30" s="23" t="s">
        <v>432</v>
      </c>
      <c r="D30" s="23" t="s">
        <v>433</v>
      </c>
      <c r="E30" s="23" t="s">
        <v>342</v>
      </c>
      <c r="F30" s="28" t="str">
        <f aca="false">TEXT(B2_NPA_Vintage!G15,"0.0%")&amp;" / "&amp;TEXT(B2_NPA_Vintage!G16,"0.0%")</f>
        <v>288.0% / 672.7%</v>
      </c>
    </row>
    <row r="31" customFormat="false" ht="15" hidden="false" customHeight="false" outlineLevel="0" collapsed="false">
      <c r="A31" s="10" t="n">
        <v>13</v>
      </c>
      <c r="B31" s="23" t="s">
        <v>422</v>
      </c>
      <c r="C31" s="23" t="s">
        <v>434</v>
      </c>
      <c r="D31" s="23" t="s">
        <v>435</v>
      </c>
      <c r="E31" s="23" t="s">
        <v>239</v>
      </c>
      <c r="F31" s="28" t="str">
        <f aca="false">TEXT(B2_NPA_Vintage!G17,"0.00%")&amp;" on "&amp;TEXT(B2_NPA_Vintage!D17,"#,##0.00;-#,##0.00;0.00")&amp;" ₹ Cr"</f>
        <v>1.45% on 544.16 ₹ Cr</v>
      </c>
    </row>
    <row r="32" customFormat="false" ht="15" hidden="false" customHeight="false" outlineLevel="0" collapsed="false">
      <c r="A32" s="10" t="n">
        <v>14</v>
      </c>
      <c r="B32" s="23" t="s">
        <v>422</v>
      </c>
      <c r="C32" s="23" t="s">
        <v>436</v>
      </c>
      <c r="D32" s="23" t="s">
        <v>437</v>
      </c>
      <c r="E32" s="23" t="s">
        <v>438</v>
      </c>
      <c r="F32" s="28" t="str">
        <f aca="false">TEXT(B2_NPA_Vintage!G12*12,"0.0%")&amp;" / "&amp;TEXT(B2_NPA_Vintage!G13*12,"0.0%")</f>
        <v>25.4% / 3.0%</v>
      </c>
    </row>
    <row r="33" customFormat="false" ht="15" hidden="false" customHeight="false" outlineLevel="0" collapsed="false">
      <c r="A33" s="10" t="n">
        <v>15</v>
      </c>
      <c r="B33" s="23" t="s">
        <v>260</v>
      </c>
      <c r="C33" s="23" t="s">
        <v>261</v>
      </c>
      <c r="D33" s="23" t="s">
        <v>439</v>
      </c>
      <c r="E33" s="23" t="s">
        <v>410</v>
      </c>
      <c r="F33" s="28" t="str">
        <f aca="false">"Total "&amp;TEXT(B2_NPA_Vintage!AC12,"+0.0"" pp"";-0.0"" pp"";0.0"" pp""")&amp;"; &lt;=90 "&amp;TEXT(B2_NPA_Vintage!AC7,"+0.0"" pp"";-0.0"" pp"";0.0"" pp""")&amp;"; V1 "&amp;TEXT(B2_NPA_Vintage!T21,"+0.0"" pp"";-0.0"" pp"";0.0"" pp""")</f>
        <v>Total +0.4 pp; &lt;=90 +0.3 pp; V1 +0.7 pp</v>
      </c>
    </row>
    <row r="34" customFormat="false" ht="15" hidden="false" customHeight="false" outlineLevel="0" collapsed="false">
      <c r="A34" s="10" t="n">
        <v>16</v>
      </c>
      <c r="B34" s="23" t="s">
        <v>260</v>
      </c>
      <c r="C34" s="23" t="s">
        <v>440</v>
      </c>
      <c r="D34" s="23" t="s">
        <v>441</v>
      </c>
      <c r="E34" s="23" t="s">
        <v>404</v>
      </c>
      <c r="F34" s="28" t="str">
        <f aca="false">"Total "&amp;TEXT(B2_NPA_Vintage!AD12,"0.00""x""")&amp;"; &lt;=90 "&amp;TEXT(B2_NPA_Vintage!AD7,"0.00""x""")&amp;"; &gt;180 "&amp;TEXT(B2_NPA_Vintage!AD11,"0.00""x""")</f>
        <v>Total 2.34x; &lt;=90 2.26x; &gt;180 3.32x</v>
      </c>
    </row>
    <row r="35" customFormat="false" ht="15" hidden="false" customHeight="false" outlineLevel="0" collapsed="false">
      <c r="A35" s="10" t="n">
        <v>17</v>
      </c>
      <c r="B35" s="23" t="s">
        <v>260</v>
      </c>
      <c r="C35" s="23" t="s">
        <v>442</v>
      </c>
      <c r="D35" s="23" t="s">
        <v>443</v>
      </c>
      <c r="E35" s="23" t="s">
        <v>404</v>
      </c>
      <c r="F35" s="28" t="str">
        <f aca="false">"Total "&amp;TEXT(B2_NPA_Vintage!AE12,"#,##0.00;-#,##0.00;0.00")&amp;"; &lt;=90 "&amp;TEXT(B2_NPA_Vintage!AE7,"#,##0.00;-#,##0.00;0.00")</f>
        <v>Total 17.35; &lt;=90 4.60</v>
      </c>
    </row>
    <row r="36" customFormat="false" ht="15" hidden="false" customHeight="false" outlineLevel="0" collapsed="false">
      <c r="A36" s="10" t="n">
        <v>18</v>
      </c>
      <c r="B36" s="23" t="s">
        <v>444</v>
      </c>
      <c r="C36" s="23" t="s">
        <v>445</v>
      </c>
      <c r="D36" s="23" t="s">
        <v>446</v>
      </c>
      <c r="E36" s="23" t="s">
        <v>447</v>
      </c>
      <c r="F36" s="28" t="str">
        <f aca="false">"&lt;=90 "&amp;TEXT(B2_NPA_Vintage!AG7,"0.0%")&amp;" / "&amp;TEXT(B2_NPA_Vintage!AH7,"0.0%")&amp;"; &gt;180 "&amp;TEXT(B2_NPA_Vintage!AG11,"0.0%")&amp;" / "&amp;TEXT(B2_NPA_Vintage!AH11,"0.0%")</f>
        <v>&lt;=90 13.8% / 27.3%; &gt;180 63.1% / 16.3%</v>
      </c>
    </row>
    <row r="37" customFormat="false" ht="15" hidden="false" customHeight="false" outlineLevel="0" collapsed="false">
      <c r="A37" s="10" t="n">
        <v>19</v>
      </c>
      <c r="B37" s="23" t="s">
        <v>444</v>
      </c>
      <c r="C37" s="23" t="s">
        <v>448</v>
      </c>
      <c r="D37" s="23" t="s">
        <v>449</v>
      </c>
      <c r="E37" s="23" t="s">
        <v>450</v>
      </c>
      <c r="F37" s="28" t="str">
        <f aca="false">"V1 "&amp;TEXT(B2_NPA_Vintage!V21,"0.0%")&amp;" / "&amp;TEXT(B2_NPA_Vintage!W21,"0.0%")&amp;"; V4 "&amp;TEXT(B2_NPA_Vintage!V24,"0.0%")&amp;" / "&amp;TEXT(B2_NPA_Vintage!W24,"0.0%")</f>
        <v>V1 45.2% / 67.7%; V4 20.4% / 17.5%</v>
      </c>
    </row>
    <row r="38" customFormat="false" ht="15" hidden="false" customHeight="false" outlineLevel="0" collapsed="false">
      <c r="A38" s="10" t="n">
        <v>20</v>
      </c>
      <c r="B38" s="23" t="s">
        <v>280</v>
      </c>
      <c r="C38" s="23" t="s">
        <v>451</v>
      </c>
      <c r="D38" s="23" t="s">
        <v>282</v>
      </c>
      <c r="E38" s="23" t="s">
        <v>452</v>
      </c>
      <c r="F38" s="28" t="str">
        <f aca="false">"Total "&amp;TEXT(B2_NPA_Vintage!AF12,"#,##0.00")&amp;"; &lt;=90 "&amp;TEXT(B2_NPA_Vintage!AF7,"#,##0.00")&amp;"; &gt;180 "&amp;TEXT(B2_NPA_Vintage!AF11,"#,##0.00")&amp;"; V4 "&amp;TEXT(B2_NPA_Vintage!U24,"#,##0.00")&amp;" ₹ lakh"</f>
        <v>Total 6.56; &lt;=90 36.68; &gt;180 5.36; V4 16.07 ₹ lakh</v>
      </c>
    </row>
    <row r="39" customFormat="false" ht="15" hidden="false" customHeight="false" outlineLevel="0" collapsed="false">
      <c r="A39" s="10" t="n">
        <v>21</v>
      </c>
      <c r="B39" s="23" t="s">
        <v>270</v>
      </c>
      <c r="C39" s="23" t="s">
        <v>453</v>
      </c>
      <c r="D39" s="23" t="s">
        <v>454</v>
      </c>
      <c r="E39" s="23" t="s">
        <v>455</v>
      </c>
      <c r="F39" s="28" t="str">
        <f aca="false">"&lt;=90 Feb → Jul "&amp;TEXT(B2_NPA_Vintage!C34,"0.00%")&amp;" / "&amp;TEXT(B2_NPA_Vintage!D34,"0.00%")&amp;" / "&amp;TEXT(B2_NPA_Vintage!E34,"0.00%")&amp;" / "&amp;TEXT(B2_NPA_Vintage!F34,"0.00%")&amp;" / "&amp;TEXT(B2_NPA_Vintage!G34,"0.00%")&amp;" / "&amp;TEXT(B2_NPA_Vintage!H34,"0.00%")</f>
        <v>&lt;=90 Feb → Jul 15.04% / 12.33% / 29.15% / 22.61% / 20.12% / 8.21%</v>
      </c>
    </row>
    <row r="40" customFormat="false" ht="15" hidden="false" customHeight="false" outlineLevel="0" collapsed="false">
      <c r="A40" s="10" t="n">
        <v>22</v>
      </c>
      <c r="B40" s="23" t="s">
        <v>270</v>
      </c>
      <c r="C40" s="23" t="s">
        <v>456</v>
      </c>
      <c r="D40" s="23" t="s">
        <v>457</v>
      </c>
      <c r="E40" s="23" t="s">
        <v>421</v>
      </c>
      <c r="F40" s="28" t="str">
        <f aca="false">"&lt;=90 "&amp;TEXT(B2_NPA_Vintage!I34,"+0.0"" pp"";-0.0"" pp"";0.0"" pp""")&amp;" / "&amp;TEXT(B2_NPA_Vintage!J34,"0.00%")&amp;" / "&amp;TEXT(B2_NPA_Vintage!K34,"0.00%")&amp;"; 151–180 "&amp;TEXT(B2_NPA_Vintage!I37,"+0.0"" pp"";-0.0"" pp"";0.0"" pp""")</f>
        <v>&lt;=90 -11.9 pp / 17.91% / 29.15%; 151–180 +9.5 pp</v>
      </c>
    </row>
    <row r="41" customFormat="false" ht="15" hidden="false" customHeight="false" outlineLevel="0" collapsed="false">
      <c r="A41" s="10" t="n">
        <v>23</v>
      </c>
      <c r="B41" s="23" t="s">
        <v>283</v>
      </c>
      <c r="C41" s="23" t="s">
        <v>458</v>
      </c>
      <c r="D41" s="23" t="s">
        <v>459</v>
      </c>
      <c r="E41" s="23" t="s">
        <v>460</v>
      </c>
      <c r="F41" s="28" t="str">
        <f aca="false">TEXT(B2_NPA_Vintage!N12/B2_NPA_Vintage!Q12,"#,##0.00;-#,##0.00;0.00")&amp;" ₹ Cr implied vs POS "&amp;TEXT(B2_NPA_Vintage!D12,"#,##0.00;-#,##0.00;0.00")</f>
        <v>164.88 ₹ Cr implied vs POS 350.05</v>
      </c>
    </row>
    <row r="42" customFormat="false" ht="15" hidden="false" customHeight="false" outlineLevel="0" collapsed="false">
      <c r="A42" s="10" t="n">
        <v>24</v>
      </c>
      <c r="B42" s="23" t="s">
        <v>283</v>
      </c>
      <c r="C42" s="23" t="s">
        <v>461</v>
      </c>
      <c r="D42" s="23" t="s">
        <v>462</v>
      </c>
      <c r="E42" s="23" t="s">
        <v>239</v>
      </c>
      <c r="F42" s="23" t="s">
        <v>463</v>
      </c>
    </row>
    <row r="44" customFormat="false" ht="15" hidden="false" customHeight="false" outlineLevel="0" collapsed="false">
      <c r="A44" s="4" t="s">
        <v>2</v>
      </c>
    </row>
  </sheetData>
  <mergeCells count="9">
    <mergeCell ref="C6:F6"/>
    <mergeCell ref="C7:F7"/>
    <mergeCell ref="C8:F8"/>
    <mergeCell ref="C9:F9"/>
    <mergeCell ref="C10:F10"/>
    <mergeCell ref="C11:F11"/>
    <mergeCell ref="C12:F12"/>
    <mergeCell ref="C13:F13"/>
    <mergeCell ref="C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2026-10-12T09:09:43Z</dcterms:created>
  <dc:creator>openpyxl</dc:creator>
  <dc:description/>
  <dc:language>en-US</dc:language>
  <cp:lastModifiedBy/>
  <dcterms:modified xsi:type="dcterms:W3CDTF">2026-10-12T09:09:43Z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