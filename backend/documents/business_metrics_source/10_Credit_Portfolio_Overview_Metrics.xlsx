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Credit_Portfolio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<sst xmlns="http://schemas.openxmlformats.org/spreadsheetml/2006/main" count="437" uniqueCount="299">
  <si>
    <t xml:space="preserve">RBL Bank — Credit Portfolio Overview (Jul-26): page-wise metric extraction</t>
  </si>
  <si>
    <t xml:space="preserve">Source: 10_Credit_Portfolio_Overview.pdf (1 page: summary + wholesale and retail sub-category tables) | accounts and ₹ Cr for Total Outstanding, SMA and NPA | Month Jul-26</t>
  </si>
  <si>
    <t xml:space="preserve">⚠ DRAFT ONLY — Requires review and approval by a qualified Alvarez and Marsal professional before use.</t>
  </si>
  <si>
    <t xml:space="preserve">Sheet map</t>
  </si>
  <si>
    <t xml:space="preserve">B1_Credit_Portfolio</t>
  </si>
  <si>
    <t xml:space="preserve">Sub-category rows with outstanding / SMA / NPA (accounts and amount), ratios, ATS, shares and incidence; roll-ups vs the summary table; cross-page ties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</si>
  <si>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</si>
  <si>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</si>
  <si>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</si>
  <si>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</si>
  <si>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</si>
  <si>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</si>
  <si>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</si>
  <si>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</si>
  <si>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</si>
  <si>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</si>
  <si>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</si>
  <si>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</si>
  <si>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</si>
  <si>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</si>
  <si>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</si>
  <si>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Retail Grand Total 'Outstanding amount' and 'SMA accounts' are obscured in the source; they are computed from the sub-category rows and compared with the summary table (67,042.37 and 239,858).</t>
  </si>
  <si>
    <t xml:space="preserve">2</t>
  </si>
  <si>
    <t xml:space="preserve">Blank SMA / NPA cells are read as zero (no stress reported); blank outstanding amount for C&amp;IB Agri (1 account) treated as zero.</t>
  </si>
  <si>
    <t xml:space="preserve">3</t>
  </si>
  <si>
    <t xml:space="preserve">SMA % and NPA % are amount-based unless labelled 'by accounts'. 'Stress' = SMA + NPA.</t>
  </si>
  <si>
    <t xml:space="preserve">4</t>
  </si>
  <si>
    <t xml:space="preserve">Cross-page: Jul-26 outstanding here (wholesale 52,231 / retail 67,042) is gross; the Net Advances page shows Jul-26 net funded 51,950 / 65,077. The Null row (₹985.72 Cr) equals the Null bucket on the Net Advances and Product-wise pages.</t>
  </si>
  <si>
    <t xml:space="preserve">Confidentiality</t>
  </si>
  <si>
    <t xml:space="preserve">Client-confidential RBL Bank data.</t>
  </si>
  <si>
    <t xml:space="preserve">Block 1 — Credit portfolio: outstanding, SMA and NPA by sub-category (Jul-26)</t>
  </si>
  <si>
    <t xml:space="preserve">Source: Credit Portfolio Overview.pdf | accounts (count) and amount ₹ Cr | blanks = no stress reported</t>
  </si>
  <si>
    <t xml:space="preserve">A. Sub-category rows (blue) with live ratios</t>
  </si>
  <si>
    <t xml:space="preserve">#</t>
  </si>
  <si>
    <t xml:space="preserve">Segment</t>
  </si>
  <si>
    <t xml:space="preserve">Sub-category</t>
  </si>
  <si>
    <t xml:space="preserve">OS accounts</t>
  </si>
  <si>
    <t xml:space="preserve">OS ₹ Cr</t>
  </si>
  <si>
    <t xml:space="preserve">SMA accounts</t>
  </si>
  <si>
    <t xml:space="preserve">SMA ₹ Cr</t>
  </si>
  <si>
    <t xml:space="preserve">NPA accounts</t>
  </si>
  <si>
    <t xml:space="preserve">NPA ₹ Cr</t>
  </si>
  <si>
    <t xml:space="preserve">SMA % (amt)</t>
  </si>
  <si>
    <t xml:space="preserve">NPA % (amt)</t>
  </si>
  <si>
    <t xml:space="preserve">Stress % (amt)</t>
  </si>
  <si>
    <t xml:space="preserve">SMA % (accts)</t>
  </si>
  <si>
    <t xml:space="preserve">NPA % (accts)</t>
  </si>
  <si>
    <t xml:space="preserve">ATS ₹ lakh</t>
  </si>
  <si>
    <t xml:space="preserve">NPA ATS ₹ lakh</t>
  </si>
  <si>
    <t xml:space="preserve">Share of bank OS</t>
  </si>
  <si>
    <t xml:space="preserve">Share of bank NPA ₹</t>
  </si>
  <si>
    <t xml:space="preserve">Share of bank SMA ₹</t>
  </si>
  <si>
    <t xml:space="preserve">NPA ₹ share ÷ OS share (index)</t>
  </si>
  <si>
    <t xml:space="preserve">Auto-flag</t>
  </si>
  <si>
    <t xml:space="preserve">Wholesale</t>
  </si>
  <si>
    <t xml:space="preserve">C&amp;IB Agri</t>
  </si>
  <si>
    <t xml:space="preserve">CB (incl Agri &amp; NE)</t>
  </si>
  <si>
    <t xml:space="preserve">CB- BBG</t>
  </si>
  <si>
    <t xml:space="preserve">Corporate Banking (incl G&amp;J)</t>
  </si>
  <si>
    <t xml:space="preserve">FI</t>
  </si>
  <si>
    <t xml:space="preserve">FIGU- BBB</t>
  </si>
  <si>
    <t xml:space="preserve">Govt. Banking</t>
  </si>
  <si>
    <t xml:space="preserve">IFI</t>
  </si>
  <si>
    <t xml:space="preserve">MNC</t>
  </si>
  <si>
    <t xml:space="preserve">Supply Chain</t>
  </si>
  <si>
    <t xml:space="preserve">Retail - Others</t>
  </si>
  <si>
    <t xml:space="preserve">Retail</t>
  </si>
  <si>
    <t xml:space="preserve">Affordable Housing</t>
  </si>
  <si>
    <t xml:space="preserve">Prime Housing</t>
  </si>
  <si>
    <t xml:space="preserve">Housing Loan CL</t>
  </si>
  <si>
    <t xml:space="preserve">Housing Loan DA</t>
  </si>
  <si>
    <t xml:space="preserve">Small LAP</t>
  </si>
  <si>
    <t xml:space="preserve">Prime LAP</t>
  </si>
  <si>
    <t xml:space="preserve">LAP - CL</t>
  </si>
  <si>
    <t xml:space="preserve">LAP - DA</t>
  </si>
  <si>
    <t xml:space="preserve">BIL/SBL</t>
  </si>
  <si>
    <t xml:space="preserve">Gold Loan - BBB</t>
  </si>
  <si>
    <t xml:space="preserve">Gold Loan DA/CL</t>
  </si>
  <si>
    <t xml:space="preserve">Education Loan</t>
  </si>
  <si>
    <t xml:space="preserve">Two Wheeler</t>
  </si>
  <si>
    <t xml:space="preserve">Used Car Loans</t>
  </si>
  <si>
    <t xml:space="preserve">LAS</t>
  </si>
  <si>
    <t xml:space="preserve">Credit Card</t>
  </si>
  <si>
    <t xml:space="preserve">Micro Banking</t>
  </si>
  <si>
    <t xml:space="preserve">MSME</t>
  </si>
  <si>
    <t xml:space="preserve">Retail Agri</t>
  </si>
  <si>
    <t xml:space="preserve">RVF</t>
  </si>
  <si>
    <t xml:space="preserve">WCF/BBG</t>
  </si>
  <si>
    <t xml:space="preserve">Null</t>
  </si>
  <si>
    <t xml:space="preserve">Agri-BBB</t>
  </si>
  <si>
    <t xml:space="preserve">ODFD</t>
  </si>
  <si>
    <t xml:space="preserve">B. Roll-ups (SUMIFS) vs summary table; obscured cells recovered</t>
  </si>
  <si>
    <t xml:space="preserve">Level</t>
  </si>
  <si>
    <t xml:space="preserve">Wholesale (Σ rows)</t>
  </si>
  <si>
    <t xml:space="preserve">Retail (Σ rows)</t>
  </si>
  <si>
    <t xml:space="preserve">Bank (Σ rows)</t>
  </si>
  <si>
    <t xml:space="preserve">Grand Total — summary table (printed)</t>
  </si>
  <si>
    <t xml:space="preserve">Wholesale — summary (printed)</t>
  </si>
  <si>
    <t xml:space="preserve">Retail — summary (printed)</t>
  </si>
  <si>
    <t xml:space="preserve">Gap: Σ rows − summary (Wholesale)</t>
  </si>
  <si>
    <t xml:space="preserve">Gap: Σ rows − summary (Retail) — E/F recover obscured cells</t>
  </si>
  <si>
    <t xml:space="preserve">Gap: Wholesale + Retail summary − Grand Total</t>
  </si>
  <si>
    <t xml:space="preserve">C. Analyst groupings (assumption) and cross-page ties</t>
  </si>
  <si>
    <t xml:space="preserve">Group</t>
  </si>
  <si>
    <t xml:space="preserve">Definition</t>
  </si>
  <si>
    <t xml:space="preserve">Unsecured retail (Cards + Micro Banking + BIL/SBL + MSME)</t>
  </si>
  <si>
    <t xml:space="preserve">Credit Card, Micro Banking, BIL/SBL, MSME</t>
  </si>
  <si>
    <t xml:space="preserve">Secured retail (Housing + LAP + Gold + Wheels + ODFD + LAS)</t>
  </si>
  <si>
    <t xml:space="preserve">Affordable Housing, Prime Housing, Housing Loan CL, Housing Loan DA, Small LAP, Prime LAP, LAP - CL, LAP - DA, Gold Loan - BBB, Gold Loan DA/CL, Two Wheeler, Used Car Loans, RVF, ODFD, LAS</t>
  </si>
  <si>
    <t xml:space="preserve">Partnership book (CL + DA lines)</t>
  </si>
  <si>
    <t xml:space="preserve">Housing Loan CL, Housing Loan DA, LAP - CL, LAP - DA, Gold Loan DA/CL</t>
  </si>
  <si>
    <t xml:space="preserve">Housing (4 lines)</t>
  </si>
  <si>
    <t xml:space="preserve">Affordable Housing, Prime Housing, Housing Loan CL, Housing Loan DA</t>
  </si>
  <si>
    <t xml:space="preserve">LAP (4 lines)</t>
  </si>
  <si>
    <t xml:space="preserve">Small LAP, Prime LAP, LAP - CL, LAP - DA</t>
  </si>
  <si>
    <t xml:space="preserve">Gold (2 lines)</t>
  </si>
  <si>
    <t xml:space="preserve">Gold Loan - BBB, Gold Loan DA/CL</t>
  </si>
  <si>
    <t xml:space="preserve">Business banking &amp; agri (MSME + Retail Agri + WCF/BBG)</t>
  </si>
  <si>
    <t xml:space="preserve">MSME, Retail Agri, WCF/BBG</t>
  </si>
  <si>
    <t xml:space="preserve">Cross-page: Jul-26 Net Advances (net funded) — wholesale 51,950 / retail 65,077 / total 117,027</t>
  </si>
  <si>
    <t xml:space="preserve">Gross (this page) − net (Net Advances page): wholesale / retail / total</t>
  </si>
  <si>
    <t xml:space="preserve">Gross − net as % of gross (≈ provisions / interest suspense proxy)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</si>
  <si>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</si>
  <si>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</si>
  <si>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</si>
  <si>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</si>
  <si>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</si>
  <si>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Retail Grand Total outstanding and SMA accounts are obscured in the source; Σ rows vs summary table (OS ₹ Cr / SMA accounts):</t>
  </si>
  <si>
    <t xml:space="preserve">₹ Cr</t>
  </si>
  <si>
    <t xml:space="preserve">Rows reconcile to the summary → obscured cells = 67,042.37 and 239,858.</t>
  </si>
  <si>
    <t xml:space="preserve">Credit Cards carry 31% of bank NPA ₹ and 36% of SMA ₹ on 16% of outstanding; Micro Banking 16% of NPA ₹ on 7% of outstanding, with 11.4% of accounts in NPA.</t>
  </si>
  <si>
    <t xml:space="preserve">%</t>
  </si>
  <si>
    <t xml:space="preserve">Unsecured retail drives stress; account-level incidence in micro banking is the early-warning signal.</t>
  </si>
  <si>
    <t xml:space="preserve">Wholesale NPA is concentrated in one sub-category: Corporate Banking ₹256 Cr of ₹287 Cr on 9 accounts (ATS ₹28 Cr).</t>
  </si>
  <si>
    <t xml:space="preserve">A handful of large accounts; name-level review warranted.</t>
  </si>
  <si>
    <t xml:space="preserve">MSME retail: 79% of accounts are NPA (2,420 of 3,050) — a legacy / run-off book.</t>
  </si>
  <si>
    <t xml:space="preserve">Exclude from live-portfolio quality metrics.</t>
  </si>
  <si>
    <t xml:space="preserve">Null row ₹985.72 Cr (14 accounts) equals the Null bucket on the Net Advances and Product-wise pages.</t>
  </si>
  <si>
    <t xml:space="preserve">Unmapped exposure of ~₹1k Cr with ATS ₹70 Cr — identify.</t>
  </si>
  <si>
    <t xml:space="preserve">Gross outstanding here exceeds Jul-26 net funded advances by ~₹2.2k Cr (1.9%), almost all in retail.</t>
  </si>
  <si>
    <t xml:space="preserve">Gross vs net basis; the gap approximates provisions on retail.</t>
  </si>
  <si>
    <t xml:space="preserve">Summary Wholesale + Retail = Grand Total in all six measures (Σ |gaps|):</t>
  </si>
  <si>
    <t xml:space="preserve">Summary ties.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</si>
  <si>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</si>
  <si>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</si>
  <si>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</si>
  <si>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</si>
  <si>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</si>
  <si>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</si>
  <si>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</si>
  <si>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total outstanding at Jul-26?</t>
  </si>
  <si>
    <t xml:space="preserve">Lookup</t>
  </si>
  <si>
    <t xml:space="preserve">What is Micro Banking NPA ₹?</t>
  </si>
  <si>
    <t xml:space="preserve">How many credit card accounts are in SMA?</t>
  </si>
  <si>
    <t xml:space="preserve">count</t>
  </si>
  <si>
    <t xml:space="preserve">Medium</t>
  </si>
  <si>
    <t xml:space="preserve">What is the bank-level gross NPA ratio (amount)?</t>
  </si>
  <si>
    <t xml:space="preserve">NPA ₹ ÷ OS ₹</t>
  </si>
  <si>
    <t xml:space="preserve">What is the retail stress ratio (SMA + NPA) by amount?</t>
  </si>
  <si>
    <t xml:space="preserve">(SMA + NPA) ÷ OS</t>
  </si>
  <si>
    <t xml:space="preserve">What is the NPA ratio of the unsecured retail group?</t>
  </si>
  <si>
    <t xml:space="preserve">NPA ÷ OS (group)</t>
  </si>
  <si>
    <t xml:space="preserve">What is the average NPA ticket in Corporate Banking (₹ lakh)?</t>
  </si>
  <si>
    <t xml:space="preserve">NPA ₹ × 100 ÷ NPA accounts</t>
  </si>
  <si>
    <t xml:space="preserve">₹ lakh</t>
  </si>
  <si>
    <t xml:space="preserve">High</t>
  </si>
  <si>
    <t xml:space="preserve">Compare Micro Banking NPA incidence by accounts vs by amount — what does the gap say?</t>
  </si>
  <si>
    <t xml:space="preserve">NPA % accts − NPA % amt (pp)</t>
  </si>
  <si>
    <t xml:space="preserve">pp</t>
  </si>
  <si>
    <t xml:space="preserve">Many small defaulted accounts with low balances — collections capacity issue, not large-ticket credit risk.</t>
  </si>
  <si>
    <t xml:space="preserve">What share of bank NPA ₹ comes from unsecured retail vs secured retail?</t>
  </si>
  <si>
    <t xml:space="preserve">Group NPA share</t>
  </si>
  <si>
    <t xml:space="preserve">Nearly half of bank NPA is unsecured retail; secured retail is ~22%.</t>
  </si>
  <si>
    <t xml:space="preserve">Do the sub-category rows reconcile to the summary and what are the recovered obscured values?</t>
  </si>
  <si>
    <t xml:space="preserve">Σ rows − summary (retail OS / SMA accounts)</t>
  </si>
  <si>
    <t xml:space="preserve">Zero → obscured cells recovered exactly.</t>
  </si>
  <si>
    <t xml:space="preserve">What this page cannot support (feeds the data request)</t>
  </si>
  <si>
    <t xml:space="preserve">Not derivable: SMA sub-buckets (SMA0 / 1 / 2), DPD ageing, provisions and net NPA, write-offs and recoveries, restructured book, slippage and upgrade flows (single month only), security cover, rating mix in wholesale, and the identity of the Null exposure.</t>
  </si>
  <si>
    <t xml:space="preserve">Credit portfolio overview: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</si>
  <si>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</si>
  <si>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</si>
  <si>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</si>
  <si>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</si>
  <si>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OS(x), SMA(x), NPA(x)</t>
  </si>
  <si>
    <t xml:space="preserve">Outstanding, SMA and NPA amounts ₹ Cr for sub-category x at Jul-26</t>
  </si>
  <si>
    <t xml:space="preserve">n_OS, n_SMA, n_NPA</t>
  </si>
  <si>
    <t xml:space="preserve">Corresponding account counts</t>
  </si>
  <si>
    <t xml:space="preserve">W / R / B</t>
  </si>
  <si>
    <t xml:space="preserve">Wholesale / Retail / Bank totals</t>
  </si>
  <si>
    <t xml:space="preserve">SMA%, NPA%</t>
  </si>
  <si>
    <t xml:space="preserve">SMA ÷ OS, NPA ÷ OS (amount)</t>
  </si>
  <si>
    <t xml:space="preserve">Stress%</t>
  </si>
  <si>
    <t xml:space="preserve">inc_NPA</t>
  </si>
  <si>
    <t xml:space="preserve">NPA incidence by accounts = n_NPA ÷ n_OS</t>
  </si>
  <si>
    <t xml:space="preserve">ATS</t>
  </si>
  <si>
    <t xml:space="preserve">OS × 100 ÷ n_OS, ₹ lakh; NPA ATS = NPA × 100 ÷ n_NPA</t>
  </si>
  <si>
    <t xml:space="preserve">sh_OS, sh_NPA</t>
  </si>
  <si>
    <t xml:space="preserve">Share of bank OS / NPA ₹</t>
  </si>
  <si>
    <t xml:space="preserve">idx</t>
  </si>
  <si>
    <t xml:space="preserve">NPA share ÷ OS share (&gt;1 = over-represented in NPA)</t>
  </si>
  <si>
    <t xml:space="preserve">UNS / SEC / PART</t>
  </si>
  <si>
    <t xml:space="preserve">Analyst groupings: unsecured retail, secured retail, partnership (CL + DA) book</t>
  </si>
  <si>
    <t xml:space="preserve">NET</t>
  </si>
  <si>
    <t xml:space="preserve">Jul-26 net funded advances from the Net Advances page</t>
  </si>
  <si>
    <t xml:space="preserve">Amounts ₹ Cr, accounts as counts, ratios in %, ATS in ₹ lakh; single month (Jul-26); blanks read as zero.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</si>
  <si>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</si>
  <si>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</si>
  <si>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</si>
  <si>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</si>
  <si>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</si>
  <si>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</si>
  <si>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</si>
  <si>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Sub-category OS / SMA / NPA</t>
  </si>
  <si>
    <t xml:space="preserve">OS, SMA, NPA and accounts</t>
  </si>
  <si>
    <t xml:space="preserve">36 rows × 6 fields</t>
  </si>
  <si>
    <t xml:space="preserve">Summary totals</t>
  </si>
  <si>
    <t xml:space="preserve">W, R, B as printed</t>
  </si>
  <si>
    <t xml:space="preserve">3 × 6</t>
  </si>
  <si>
    <t xml:space="preserve">Roll-up check</t>
  </si>
  <si>
    <t xml:space="preserve">Rows to summary</t>
  </si>
  <si>
    <t xml:space="preserve">Σ rows − summary</t>
  </si>
  <si>
    <t xml:space="preserve">W, R × 6</t>
  </si>
  <si>
    <t xml:space="preserve">Summary to Grand Total</t>
  </si>
  <si>
    <t xml:space="preserve">W + R − B</t>
  </si>
  <si>
    <t xml:space="preserve">6 fields</t>
  </si>
  <si>
    <t xml:space="preserve">Asset quality</t>
  </si>
  <si>
    <t xml:space="preserve">Gross NPA ratio</t>
  </si>
  <si>
    <t xml:space="preserve">NPA% = NPA ÷ OS</t>
  </si>
  <si>
    <t xml:space="preserve">B, W, R + 36 rows</t>
  </si>
  <si>
    <t xml:space="preserve">SMA ratio</t>
  </si>
  <si>
    <t xml:space="preserve">SMA ÷ OS</t>
  </si>
  <si>
    <t xml:space="preserve">B, W, R + rows</t>
  </si>
  <si>
    <t xml:space="preserve">Stress ratio</t>
  </si>
  <si>
    <t xml:space="preserve">Sub-category NPA %</t>
  </si>
  <si>
    <t xml:space="preserve">NPA%(x)</t>
  </si>
  <si>
    <t xml:space="preserve">36 rows</t>
  </si>
  <si>
    <t xml:space="preserve">Sub-category SMA %</t>
  </si>
  <si>
    <t xml:space="preserve">SMA%(x)</t>
  </si>
  <si>
    <t xml:space="preserve">NPA incidence by accounts</t>
  </si>
  <si>
    <t xml:space="preserve">inc_NPA = n_NPA ÷ n_OS</t>
  </si>
  <si>
    <t xml:space="preserve">Incidence gap (accounts − amount)</t>
  </si>
  <si>
    <t xml:space="preserve">(inc_NPA − NPA%) × 100</t>
  </si>
  <si>
    <t xml:space="preserve">SMA incidence by accounts</t>
  </si>
  <si>
    <t xml:space="preserve">n_SMA ÷ n_OS</t>
  </si>
  <si>
    <t xml:space="preserve">SMA-to-NPA pipeline ratio</t>
  </si>
  <si>
    <t xml:space="preserve">SMA ÷ NPA (amount)</t>
  </si>
  <si>
    <t xml:space="preserve">B, W, R</t>
  </si>
  <si>
    <t xml:space="preserve">Group NPA / stress ratios</t>
  </si>
  <si>
    <t xml:space="preserve">NPA%, Stress% for analyst groups</t>
  </si>
  <si>
    <t xml:space="preserve">7 groups</t>
  </si>
  <si>
    <t xml:space="preserve">Housing / LAP / Gold NPA %</t>
  </si>
  <si>
    <t xml:space="preserve">Group NPA%</t>
  </si>
  <si>
    <t xml:space="preserve">3 groups</t>
  </si>
  <si>
    <t xml:space="preserve">Concentration of stress</t>
  </si>
  <si>
    <t xml:space="preserve">sh_NPA(x)</t>
  </si>
  <si>
    <t xml:space="preserve">sh_SMA(x)</t>
  </si>
  <si>
    <t xml:space="preserve">Over-representation index</t>
  </si>
  <si>
    <t xml:space="preserve">idx = sh_NPA ÷ sh_OS</t>
  </si>
  <si>
    <t xml:space="preserve">Group share of bank NPA</t>
  </si>
  <si>
    <t xml:space="preserve">sh_NPA(group)</t>
  </si>
  <si>
    <t xml:space="preserve">Top-3 NPA contributors share</t>
  </si>
  <si>
    <t xml:space="preserve">Σ LARGE(NPA, 3) ÷ NPA(B)</t>
  </si>
  <si>
    <t xml:space="preserve">Wholesale NPA concentration</t>
  </si>
  <si>
    <t xml:space="preserve">NPA(Corp) ÷ NPA(W); accounts</t>
  </si>
  <si>
    <t xml:space="preserve">W</t>
  </si>
  <si>
    <t xml:space="preserve">Sub-categories with zero reported stress</t>
  </si>
  <si>
    <t xml:space="preserve">COUNT rows with SMA + NPA blank</t>
  </si>
  <si>
    <t xml:space="preserve">Mix &amp; share</t>
  </si>
  <si>
    <t xml:space="preserve">sh_OS(x)</t>
  </si>
  <si>
    <t xml:space="preserve">36 rows + segments</t>
  </si>
  <si>
    <t xml:space="preserve">Unsecured retail share of retail OS</t>
  </si>
  <si>
    <t xml:space="preserve">OS(UNS) ÷ OS(R)</t>
  </si>
  <si>
    <t xml:space="preserve">Account share</t>
  </si>
  <si>
    <t xml:space="preserve">n_OS(x) ÷ n_OS(B)</t>
  </si>
  <si>
    <t xml:space="preserve">Ticket size</t>
  </si>
  <si>
    <t xml:space="preserve">ATS by sub-category</t>
  </si>
  <si>
    <t xml:space="preserve">OS × 100 ÷ n_OS</t>
  </si>
  <si>
    <t xml:space="preserve">ATS by segment</t>
  </si>
  <si>
    <t xml:space="preserve">W, R, B</t>
  </si>
  <si>
    <t xml:space="preserve">NPA ATS</t>
  </si>
  <si>
    <t xml:space="preserve">NPA × 100 ÷ n_NPA</t>
  </si>
  <si>
    <t xml:space="preserve">rows with NPA</t>
  </si>
  <si>
    <t xml:space="preserve">NPA ATS ÷ portfolio ATS</t>
  </si>
  <si>
    <t xml:space="preserve">Relative size of defaulted accounts</t>
  </si>
  <si>
    <t xml:space="preserve">Cross-page</t>
  </si>
  <si>
    <t xml:space="preserve">Gross vs net advances (Jul-26)</t>
  </si>
  <si>
    <t xml:space="preserve">OS − NET</t>
  </si>
  <si>
    <t xml:space="preserve">Null exposure</t>
  </si>
  <si>
    <t xml:space="preserve">OS(Null)</t>
  </si>
  <si>
    <t xml:space="preserve">1 row</t>
  </si>
  <si>
    <t xml:space="preserve">Data integrity</t>
  </si>
  <si>
    <t xml:space="preserve">Obscured cells recovered</t>
  </si>
  <si>
    <t xml:space="preserve">Σ rows (retail OS ₹ / SMA accounts)</t>
  </si>
  <si>
    <t xml:space="preserve">2 cells</t>
  </si>
  <si>
    <t xml:space="preserve">Legacy MSME book</t>
  </si>
  <si>
    <t xml:space="preserve">inc_NPA(MSME)</t>
  </si>
  <si>
    <t xml:space="preserve">Wholesale row 'Retail - Others'</t>
  </si>
  <si>
    <t xml:space="preserve">5 accounts, ₹0.00</t>
  </si>
  <si>
    <t xml:space="preserve">Mis-tagged rows in the wholesale table; immaterial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</si>
</sst>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;\(#,##0.00\);\-"/>
    <numFmt numFmtId="167" formatCode="0.00%;\-0.00%;0.00%"/>
    <numFmt numFmtId="168" formatCode="#,##0.00"/>
    <numFmt numFmtId="169" formatCode="0.0%;\-0.0%;0.0%"/>
    <numFmt numFmtId="170" formatCode="0.00\x"/>
    <numFmt numFmtId="171" formatCode="\+0.0&quot; pp&quot;;\-0.0&quot; pp&quot;;0.0&quot; pp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8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23.8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4" t="s">
        <v>8</v>
      </c>
      <c r="B9" s="5"/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4" t="s">
        <v>19</v>
      </c>
      <c r="B16" s="5"/>
    </row>
    <row r="17" customFormat="false" ht="23.85" hidden="false" customHeight="false" outlineLevel="0" collapsed="false">
      <c r="A17" s="6" t="s">
        <v>20</v>
      </c>
      <c r="B17" s="7" t="s">
        <v>21</v>
      </c>
    </row>
    <row r="18" customFormat="false" ht="15" hidden="false" customHeight="false" outlineLevel="0" collapsed="false">
      <c r="A18" s="6" t="s">
        <v>22</v>
      </c>
      <c r="B18" s="7" t="s">
        <v>23</v>
      </c>
    </row>
    <row r="19" customFormat="false" ht="15" hidden="false" customHeight="false" outlineLevel="0" collapsed="false">
      <c r="A19" s="6" t="s">
        <v>24</v>
      </c>
      <c r="B19" s="7" t="s">
        <v>25</v>
      </c>
    </row>
    <row r="20" customFormat="false" ht="23.85" hidden="false" customHeight="false" outlineLevel="0" collapsed="false">
      <c r="A20" s="6" t="s">
        <v>26</v>
      </c>
      <c r="B20" s="7" t="s">
        <v>27</v>
      </c>
    </row>
    <row r="21" customFormat="false" ht="15" hidden="false" customHeight="false" outlineLevel="0" collapsed="false">
      <c r="A21" s="6" t="s">
        <v>28</v>
      </c>
      <c r="B21" s="7" t="s">
        <v>29</v>
      </c>
    </row>
    <row r="23" customFormat="false" ht="15" hidden="false" customHeight="false" outlineLevel="0" collapsed="false">
      <c r="A23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20" min="4" style="0" width="12"/>
    <col collapsed="false" customWidth="true" hidden="false" outlineLevel="0" max="21" min="21" style="0" width="28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35.05" hidden="false" customHeight="false" outlineLevel="0" collapsed="false">
      <c r="A6" s="8" t="s">
        <v>33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8" t="s">
        <v>41</v>
      </c>
      <c r="J6" s="8" t="s">
        <v>42</v>
      </c>
      <c r="K6" s="8" t="s">
        <v>43</v>
      </c>
      <c r="L6" s="8" t="s">
        <v>44</v>
      </c>
      <c r="M6" s="8" t="s">
        <v>45</v>
      </c>
      <c r="N6" s="8" t="s">
        <v>46</v>
      </c>
      <c r="O6" s="8" t="s">
        <v>47</v>
      </c>
      <c r="P6" s="8" t="s">
        <v>48</v>
      </c>
      <c r="Q6" s="8" t="s">
        <v>49</v>
      </c>
      <c r="R6" s="8" t="s">
        <v>50</v>
      </c>
      <c r="S6" s="8" t="s">
        <v>51</v>
      </c>
      <c r="T6" s="8" t="s">
        <v>52</v>
      </c>
      <c r="U6" s="8" t="s">
        <v>53</v>
      </c>
    </row>
    <row r="7" customFormat="false" ht="15" hidden="false" customHeight="false" outlineLevel="0" collapsed="false">
      <c r="A7" s="9" t="n">
        <v>1</v>
      </c>
      <c r="B7" s="9" t="s">
        <v>54</v>
      </c>
      <c r="C7" s="9" t="s">
        <v>55</v>
      </c>
      <c r="D7" s="10" t="n">
        <v>1</v>
      </c>
      <c r="E7" s="11"/>
      <c r="F7" s="10"/>
      <c r="G7" s="11"/>
      <c r="H7" s="10"/>
      <c r="I7" s="11"/>
      <c r="J7" s="12" t="str">
        <f aca="false">IF(N(E7)=0,"",N(G7)/E7)</f>
        <v/>
      </c>
      <c r="K7" s="12" t="str">
        <f aca="false">IF(N(E7)=0,"",N(I7)/E7)</f>
        <v/>
      </c>
      <c r="L7" s="12" t="str">
        <f aca="false">IF(N(E7)=0,"",(N(G7)+N(I7))/E7)</f>
        <v/>
      </c>
      <c r="M7" s="12" t="n">
        <f aca="false">IF(N(D7)=0,"",N(F7)/D7)</f>
        <v>0</v>
      </c>
      <c r="N7" s="12" t="n">
        <f aca="false">IF(N(D7)=0,"",N(H7)/D7)</f>
        <v>0</v>
      </c>
      <c r="O7" s="13" t="n">
        <f aca="false">IF(N(D7)=0,"",N(E7)*100/D7)</f>
        <v>0</v>
      </c>
      <c r="P7" s="13" t="str">
        <f aca="false">IF(N(H7)=0,"",I7*100/H7)</f>
        <v/>
      </c>
      <c r="Q7" s="14" t="n">
        <f aca="false">N(E7)/$E$49</f>
        <v>0</v>
      </c>
      <c r="R7" s="14" t="n">
        <f aca="false">N(I7)/$I$49</f>
        <v>0</v>
      </c>
      <c r="S7" s="14" t="n">
        <f aca="false">N(G7)/$G$49</f>
        <v>0</v>
      </c>
      <c r="T7" s="15" t="str">
        <f aca="false">IF(Q7=0,"",R7/Q7)</f>
        <v/>
      </c>
      <c r="U7" s="9" t="str">
        <f aca="false">IF(N(E7)=0,"No amount",IF(ISNUMBER(K7),IF(K7&gt;0.05,"NPA &gt; 5%",IF(ISNUMBER(N7),IF(N7&gt;0.1,"NPA incidence by accounts &gt; 10%",""),"")),""))</f>
        <v>No amount</v>
      </c>
    </row>
    <row r="8" customFormat="false" ht="15" hidden="false" customHeight="false" outlineLevel="0" collapsed="false">
      <c r="A8" s="9" t="n">
        <v>2</v>
      </c>
      <c r="B8" s="9" t="s">
        <v>54</v>
      </c>
      <c r="C8" s="9" t="s">
        <v>56</v>
      </c>
      <c r="D8" s="10" t="n">
        <v>8693</v>
      </c>
      <c r="E8" s="11" t="n">
        <v>14955.87</v>
      </c>
      <c r="F8" s="10" t="n">
        <v>64</v>
      </c>
      <c r="G8" s="11" t="n">
        <v>86.09</v>
      </c>
      <c r="H8" s="10" t="n">
        <v>12</v>
      </c>
      <c r="I8" s="11" t="n">
        <v>20.54</v>
      </c>
      <c r="J8" s="12" t="n">
        <f aca="false">IF(N(E8)=0,"",N(G8)/E8)</f>
        <v>0.0057562682745972</v>
      </c>
      <c r="K8" s="12" t="n">
        <f aca="false">IF(N(E8)=0,"",N(I8)/E8)</f>
        <v>0.00137337379905014</v>
      </c>
      <c r="L8" s="12" t="n">
        <f aca="false">IF(N(E8)=0,"",(N(G8)+N(I8))/E8)</f>
        <v>0.00712964207364734</v>
      </c>
      <c r="M8" s="12" t="n">
        <f aca="false">IF(N(D8)=0,"",N(F8)/D8)</f>
        <v>0.00736224548487289</v>
      </c>
      <c r="N8" s="12" t="n">
        <f aca="false">IF(N(D8)=0,"",N(H8)/D8)</f>
        <v>0.00138042102841367</v>
      </c>
      <c r="O8" s="13" t="n">
        <f aca="false">IF(N(D8)=0,"",N(E8)*100/D8)</f>
        <v>172.044978718509</v>
      </c>
      <c r="P8" s="13" t="n">
        <f aca="false">IF(N(H8)=0,"",I8*100/H8)</f>
        <v>171.166666666667</v>
      </c>
      <c r="Q8" s="14" t="n">
        <f aca="false">N(E8)/$E$49</f>
        <v>0.125391579608918</v>
      </c>
      <c r="R8" s="14" t="n">
        <f aca="false">N(I8)/$I$49</f>
        <v>0.0119152589567477</v>
      </c>
      <c r="S8" s="14" t="n">
        <f aca="false">N(G8)/$G$49</f>
        <v>0.0370855392674217</v>
      </c>
      <c r="T8" s="15" t="n">
        <f aca="false">IF(Q8=0,"",R8/Q8)</f>
        <v>0.0950243947313689</v>
      </c>
      <c r="U8" s="9" t="str">
        <f aca="false">IF(N(E8)=0,"No amount",IF(ISNUMBER(K8),IF(K8&gt;0.05,"NPA &gt; 5%",IF(ISNUMBER(N8),IF(N8&gt;0.1,"NPA incidence by accounts &gt; 10%",""),"")),""))</f>
        <v/>
      </c>
    </row>
    <row r="9" customFormat="false" ht="15" hidden="false" customHeight="false" outlineLevel="0" collapsed="false">
      <c r="A9" s="9" t="n">
        <v>3</v>
      </c>
      <c r="B9" s="9" t="s">
        <v>54</v>
      </c>
      <c r="C9" s="9" t="s">
        <v>57</v>
      </c>
      <c r="D9" s="10" t="n">
        <v>164</v>
      </c>
      <c r="E9" s="11" t="n">
        <v>137.84</v>
      </c>
      <c r="F9" s="10" t="n">
        <v>5</v>
      </c>
      <c r="G9" s="11" t="n">
        <v>60.48</v>
      </c>
      <c r="H9" s="10"/>
      <c r="I9" s="11"/>
      <c r="J9" s="12" t="n">
        <f aca="false">IF(N(E9)=0,"",N(G9)/E9)</f>
        <v>0.438769587928032</v>
      </c>
      <c r="K9" s="12" t="n">
        <f aca="false">IF(N(E9)=0,"",N(I9)/E9)</f>
        <v>0</v>
      </c>
      <c r="L9" s="12" t="n">
        <f aca="false">IF(N(E9)=0,"",(N(G9)+N(I9))/E9)</f>
        <v>0.438769587928032</v>
      </c>
      <c r="M9" s="12" t="n">
        <f aca="false">IF(N(D9)=0,"",N(F9)/D9)</f>
        <v>0.0304878048780488</v>
      </c>
      <c r="N9" s="12" t="n">
        <f aca="false">IF(N(D9)=0,"",N(H9)/D9)</f>
        <v>0</v>
      </c>
      <c r="O9" s="13" t="n">
        <f aca="false">IF(N(D9)=0,"",N(E9)*100/D9)</f>
        <v>84.0487804878049</v>
      </c>
      <c r="P9" s="13" t="str">
        <f aca="false">IF(N(H9)=0,"",I9*100/H9)</f>
        <v/>
      </c>
      <c r="Q9" s="14" t="n">
        <f aca="false">N(E9)/$E$49</f>
        <v>0.00115566498861606</v>
      </c>
      <c r="R9" s="14" t="n">
        <f aca="false">N(I9)/$I$49</f>
        <v>0</v>
      </c>
      <c r="S9" s="14" t="n">
        <f aca="false">N(G9)/$G$49</f>
        <v>0.0260533559634529</v>
      </c>
      <c r="T9" s="15" t="n">
        <f aca="false">IF(Q9=0,"",R9/Q9)</f>
        <v>0</v>
      </c>
      <c r="U9" s="9" t="str">
        <f aca="false">IF(N(E9)=0,"No amount",IF(ISNUMBER(K9),IF(K9&gt;0.05,"NPA &gt; 5%",IF(ISNUMBER(N9),IF(N9&gt;0.1,"NPA incidence by accounts &gt; 10%",""),"")),""))</f>
        <v/>
      </c>
    </row>
    <row r="10" customFormat="false" ht="15" hidden="false" customHeight="false" outlineLevel="0" collapsed="false">
      <c r="A10" s="9" t="n">
        <v>4</v>
      </c>
      <c r="B10" s="9" t="s">
        <v>54</v>
      </c>
      <c r="C10" s="9" t="s">
        <v>58</v>
      </c>
      <c r="D10" s="10" t="n">
        <v>4157</v>
      </c>
      <c r="E10" s="11" t="n">
        <v>22103.54</v>
      </c>
      <c r="F10" s="10" t="n">
        <v>10</v>
      </c>
      <c r="G10" s="11" t="n">
        <v>3.73</v>
      </c>
      <c r="H10" s="10" t="n">
        <v>9</v>
      </c>
      <c r="I10" s="11" t="n">
        <v>256.41</v>
      </c>
      <c r="J10" s="12" t="n">
        <f aca="false">IF(N(E10)=0,"",N(G10)/E10)</f>
        <v>0.000168751249799806</v>
      </c>
      <c r="K10" s="12" t="n">
        <f aca="false">IF(N(E10)=0,"",N(I10)/E10)</f>
        <v>0.0116004042791336</v>
      </c>
      <c r="L10" s="12" t="n">
        <f aca="false">IF(N(E10)=0,"",(N(G10)+N(I10))/E10)</f>
        <v>0.0117691555289334</v>
      </c>
      <c r="M10" s="12" t="n">
        <f aca="false">IF(N(D10)=0,"",N(F10)/D10)</f>
        <v>0.00240558094779889</v>
      </c>
      <c r="N10" s="12" t="n">
        <f aca="false">IF(N(D10)=0,"",N(H10)/D10)</f>
        <v>0.002165022853019</v>
      </c>
      <c r="O10" s="13" t="n">
        <f aca="false">IF(N(D10)=0,"",N(E10)*100/D10)</f>
        <v>531.718547029108</v>
      </c>
      <c r="P10" s="13" t="n">
        <f aca="false">IF(N(H10)=0,"",I10*100/H10)</f>
        <v>2849</v>
      </c>
      <c r="Q10" s="14" t="n">
        <f aca="false">N(E10)/$E$49</f>
        <v>0.185318393082376</v>
      </c>
      <c r="R10" s="14" t="n">
        <f aca="false">N(I10)/$I$49</f>
        <v>0.148743502877297</v>
      </c>
      <c r="S10" s="14" t="n">
        <f aca="false">N(G10)/$G$49</f>
        <v>0.00160679592830158</v>
      </c>
      <c r="T10" s="15" t="n">
        <f aca="false">IF(Q10=0,"",R10/Q10)</f>
        <v>0.802637560164788</v>
      </c>
      <c r="U10" s="9" t="str">
        <f aca="false">IF(N(E10)=0,"No amount",IF(ISNUMBER(K10),IF(K10&gt;0.05,"NPA &gt; 5%",IF(ISNUMBER(N10),IF(N10&gt;0.1,"NPA incidence by accounts &gt; 10%",""),"")),""))</f>
        <v/>
      </c>
    </row>
    <row r="11" customFormat="false" ht="15" hidden="false" customHeight="false" outlineLevel="0" collapsed="false">
      <c r="A11" s="9" t="n">
        <v>5</v>
      </c>
      <c r="B11" s="9" t="s">
        <v>54</v>
      </c>
      <c r="C11" s="9" t="s">
        <v>59</v>
      </c>
      <c r="D11" s="10" t="n">
        <v>481</v>
      </c>
      <c r="E11" s="11" t="n">
        <v>8755.24</v>
      </c>
      <c r="F11" s="10"/>
      <c r="G11" s="11"/>
      <c r="H11" s="10"/>
      <c r="I11" s="11"/>
      <c r="J11" s="12" t="n">
        <f aca="false">IF(N(E11)=0,"",N(G11)/E11)</f>
        <v>0</v>
      </c>
      <c r="K11" s="12" t="n">
        <f aca="false">IF(N(E11)=0,"",N(I11)/E11)</f>
        <v>0</v>
      </c>
      <c r="L11" s="12" t="n">
        <f aca="false">IF(N(E11)=0,"",(N(G11)+N(I11))/E11)</f>
        <v>0</v>
      </c>
      <c r="M11" s="12" t="n">
        <f aca="false">IF(N(D11)=0,"",N(F11)/D11)</f>
        <v>0</v>
      </c>
      <c r="N11" s="12" t="n">
        <f aca="false">IF(N(D11)=0,"",N(H11)/D11)</f>
        <v>0</v>
      </c>
      <c r="O11" s="13" t="n">
        <f aca="false">IF(N(D11)=0,"",N(E11)*100/D11)</f>
        <v>1820.21621621622</v>
      </c>
      <c r="P11" s="13" t="str">
        <f aca="false">IF(N(H11)=0,"",I11*100/H11)</f>
        <v/>
      </c>
      <c r="Q11" s="14" t="n">
        <f aca="false">N(E11)/$E$49</f>
        <v>0.0734048486283437</v>
      </c>
      <c r="R11" s="14" t="n">
        <f aca="false">N(I11)/$I$49</f>
        <v>0</v>
      </c>
      <c r="S11" s="14" t="n">
        <f aca="false">N(G11)/$G$49</f>
        <v>0</v>
      </c>
      <c r="T11" s="15" t="n">
        <f aca="false">IF(Q11=0,"",R11/Q11)</f>
        <v>0</v>
      </c>
      <c r="U11" s="9" t="str">
        <f aca="false">IF(N(E11)=0,"No amount",IF(ISNUMBER(K11),IF(K11&gt;0.05,"NPA &gt; 5%",IF(ISNUMBER(N11),IF(N11&gt;0.1,"NPA incidence by accounts &gt; 10%",""),"")),""))</f>
        <v/>
      </c>
    </row>
    <row r="12" customFormat="false" ht="15" hidden="false" customHeight="false" outlineLevel="0" collapsed="false">
      <c r="A12" s="9" t="n">
        <v>6</v>
      </c>
      <c r="B12" s="9" t="s">
        <v>54</v>
      </c>
      <c r="C12" s="9" t="s">
        <v>60</v>
      </c>
      <c r="D12" s="10" t="n">
        <v>2</v>
      </c>
      <c r="E12" s="11" t="n">
        <v>3</v>
      </c>
      <c r="F12" s="10"/>
      <c r="G12" s="11"/>
      <c r="H12" s="10"/>
      <c r="I12" s="11"/>
      <c r="J12" s="12" t="n">
        <f aca="false">IF(N(E12)=0,"",N(G12)/E12)</f>
        <v>0</v>
      </c>
      <c r="K12" s="12" t="n">
        <f aca="false">IF(N(E12)=0,"",N(I12)/E12)</f>
        <v>0</v>
      </c>
      <c r="L12" s="12" t="n">
        <f aca="false">IF(N(E12)=0,"",(N(G12)+N(I12))/E12)</f>
        <v>0</v>
      </c>
      <c r="M12" s="12" t="n">
        <f aca="false">IF(N(D12)=0,"",N(F12)/D12)</f>
        <v>0</v>
      </c>
      <c r="N12" s="12" t="n">
        <f aca="false">IF(N(D12)=0,"",N(H12)/D12)</f>
        <v>0</v>
      </c>
      <c r="O12" s="13" t="n">
        <f aca="false">IF(N(D12)=0,"",N(E12)*100/D12)</f>
        <v>150</v>
      </c>
      <c r="P12" s="13" t="str">
        <f aca="false">IF(N(H12)=0,"",I12*100/H12)</f>
        <v/>
      </c>
      <c r="Q12" s="14" t="n">
        <f aca="false">N(E12)/$E$49</f>
        <v>2.51523140296589E-005</v>
      </c>
      <c r="R12" s="14" t="n">
        <f aca="false">N(I12)/$I$49</f>
        <v>0</v>
      </c>
      <c r="S12" s="14" t="n">
        <f aca="false">N(G12)/$G$49</f>
        <v>0</v>
      </c>
      <c r="T12" s="15" t="n">
        <f aca="false">IF(Q12=0,"",R12/Q12)</f>
        <v>0</v>
      </c>
      <c r="U12" s="9" t="str">
        <f aca="false">IF(N(E12)=0,"No amount",IF(ISNUMBER(K12),IF(K12&gt;0.05,"NPA &gt; 5%",IF(ISNUMBER(N12),IF(N12&gt;0.1,"NPA incidence by accounts &gt; 10%",""),"")),""))</f>
        <v/>
      </c>
    </row>
    <row r="13" customFormat="false" ht="15" hidden="false" customHeight="false" outlineLevel="0" collapsed="false">
      <c r="A13" s="9" t="n">
        <v>7</v>
      </c>
      <c r="B13" s="9" t="s">
        <v>54</v>
      </c>
      <c r="C13" s="9" t="s">
        <v>61</v>
      </c>
      <c r="D13" s="10" t="n">
        <v>15</v>
      </c>
      <c r="E13" s="11" t="n">
        <v>369</v>
      </c>
      <c r="F13" s="10"/>
      <c r="G13" s="11"/>
      <c r="H13" s="10"/>
      <c r="I13" s="11"/>
      <c r="J13" s="12" t="n">
        <f aca="false">IF(N(E13)=0,"",N(G13)/E13)</f>
        <v>0</v>
      </c>
      <c r="K13" s="12" t="n">
        <f aca="false">IF(N(E13)=0,"",N(I13)/E13)</f>
        <v>0</v>
      </c>
      <c r="L13" s="12" t="n">
        <f aca="false">IF(N(E13)=0,"",(N(G13)+N(I13))/E13)</f>
        <v>0</v>
      </c>
      <c r="M13" s="12" t="n">
        <f aca="false">IF(N(D13)=0,"",N(F13)/D13)</f>
        <v>0</v>
      </c>
      <c r="N13" s="12" t="n">
        <f aca="false">IF(N(D13)=0,"",N(H13)/D13)</f>
        <v>0</v>
      </c>
      <c r="O13" s="13" t="n">
        <f aca="false">IF(N(D13)=0,"",N(E13)*100/D13)</f>
        <v>2460</v>
      </c>
      <c r="P13" s="13" t="str">
        <f aca="false">IF(N(H13)=0,"",I13*100/H13)</f>
        <v/>
      </c>
      <c r="Q13" s="14" t="n">
        <f aca="false">N(E13)/$E$49</f>
        <v>0.00309373462564805</v>
      </c>
      <c r="R13" s="14" t="n">
        <f aca="false">N(I13)/$I$49</f>
        <v>0</v>
      </c>
      <c r="S13" s="14" t="n">
        <f aca="false">N(G13)/$G$49</f>
        <v>0</v>
      </c>
      <c r="T13" s="15" t="n">
        <f aca="false">IF(Q13=0,"",R13/Q13)</f>
        <v>0</v>
      </c>
      <c r="U13" s="9" t="str">
        <f aca="false">IF(N(E13)=0,"No amount",IF(ISNUMBER(K13),IF(K13&gt;0.05,"NPA &gt; 5%",IF(ISNUMBER(N13),IF(N13&gt;0.1,"NPA incidence by accounts &gt; 10%",""),"")),""))</f>
        <v/>
      </c>
    </row>
    <row r="14" customFormat="false" ht="15" hidden="false" customHeight="false" outlineLevel="0" collapsed="false">
      <c r="A14" s="9" t="n">
        <v>8</v>
      </c>
      <c r="B14" s="9" t="s">
        <v>54</v>
      </c>
      <c r="C14" s="9" t="s">
        <v>62</v>
      </c>
      <c r="D14" s="10" t="n">
        <v>178</v>
      </c>
      <c r="E14" s="11" t="n">
        <v>4010.12</v>
      </c>
      <c r="F14" s="10"/>
      <c r="G14" s="11"/>
      <c r="H14" s="10"/>
      <c r="I14" s="11"/>
      <c r="J14" s="12" t="n">
        <f aca="false">IF(N(E14)=0,"",N(G14)/E14)</f>
        <v>0</v>
      </c>
      <c r="K14" s="12" t="n">
        <f aca="false">IF(N(E14)=0,"",N(I14)/E14)</f>
        <v>0</v>
      </c>
      <c r="L14" s="12" t="n">
        <f aca="false">IF(N(E14)=0,"",(N(G14)+N(I14))/E14)</f>
        <v>0</v>
      </c>
      <c r="M14" s="12" t="n">
        <f aca="false">IF(N(D14)=0,"",N(F14)/D14)</f>
        <v>0</v>
      </c>
      <c r="N14" s="12" t="n">
        <f aca="false">IF(N(D14)=0,"",N(H14)/D14)</f>
        <v>0</v>
      </c>
      <c r="O14" s="13" t="n">
        <f aca="false">IF(N(D14)=0,"",N(E14)*100/D14)</f>
        <v>2252.87640449438</v>
      </c>
      <c r="P14" s="13" t="str">
        <f aca="false">IF(N(H14)=0,"",I14*100/H14)</f>
        <v/>
      </c>
      <c r="Q14" s="14" t="n">
        <f aca="false">N(E14)/$E$49</f>
        <v>0.0336212658455386</v>
      </c>
      <c r="R14" s="14" t="n">
        <f aca="false">N(I14)/$I$49</f>
        <v>0</v>
      </c>
      <c r="S14" s="14" t="n">
        <f aca="false">N(G14)/$G$49</f>
        <v>0</v>
      </c>
      <c r="T14" s="15" t="n">
        <f aca="false">IF(Q14=0,"",R14/Q14)</f>
        <v>0</v>
      </c>
      <c r="U14" s="9" t="str">
        <f aca="false">IF(N(E14)=0,"No amount",IF(ISNUMBER(K14),IF(K14&gt;0.05,"NPA &gt; 5%",IF(ISNUMBER(N14),IF(N14&gt;0.1,"NPA incidence by accounts &gt; 10%",""),"")),""))</f>
        <v/>
      </c>
    </row>
    <row r="15" customFormat="false" ht="15" hidden="false" customHeight="false" outlineLevel="0" collapsed="false">
      <c r="A15" s="9" t="n">
        <v>9</v>
      </c>
      <c r="B15" s="9" t="s">
        <v>54</v>
      </c>
      <c r="C15" s="9" t="s">
        <v>63</v>
      </c>
      <c r="D15" s="10" t="n">
        <v>24</v>
      </c>
      <c r="E15" s="11" t="n">
        <v>189.6</v>
      </c>
      <c r="F15" s="10"/>
      <c r="G15" s="11"/>
      <c r="H15" s="10"/>
      <c r="I15" s="11"/>
      <c r="J15" s="12" t="n">
        <f aca="false">IF(N(E15)=0,"",N(G15)/E15)</f>
        <v>0</v>
      </c>
      <c r="K15" s="12" t="n">
        <f aca="false">IF(N(E15)=0,"",N(I15)/E15)</f>
        <v>0</v>
      </c>
      <c r="L15" s="12" t="n">
        <f aca="false">IF(N(E15)=0,"",(N(G15)+N(I15))/E15)</f>
        <v>0</v>
      </c>
      <c r="M15" s="12" t="n">
        <f aca="false">IF(N(D15)=0,"",N(F15)/D15)</f>
        <v>0</v>
      </c>
      <c r="N15" s="12" t="n">
        <f aca="false">IF(N(D15)=0,"",N(H15)/D15)</f>
        <v>0</v>
      </c>
      <c r="O15" s="13" t="n">
        <f aca="false">IF(N(D15)=0,"",N(E15)*100/D15)</f>
        <v>790</v>
      </c>
      <c r="P15" s="13" t="str">
        <f aca="false">IF(N(H15)=0,"",I15*100/H15)</f>
        <v/>
      </c>
      <c r="Q15" s="14" t="n">
        <f aca="false">N(E15)/$E$49</f>
        <v>0.00158962624667444</v>
      </c>
      <c r="R15" s="14" t="n">
        <f aca="false">N(I15)/$I$49</f>
        <v>0</v>
      </c>
      <c r="S15" s="14" t="n">
        <f aca="false">N(G15)/$G$49</f>
        <v>0</v>
      </c>
      <c r="T15" s="15" t="n">
        <f aca="false">IF(Q15=0,"",R15/Q15)</f>
        <v>0</v>
      </c>
      <c r="U15" s="9" t="str">
        <f aca="false">IF(N(E15)=0,"No amount",IF(ISNUMBER(K15),IF(K15&gt;0.05,"NPA &gt; 5%",IF(ISNUMBER(N15),IF(N15&gt;0.1,"NPA incidence by accounts &gt; 10%",""),"")),""))</f>
        <v/>
      </c>
    </row>
    <row r="16" customFormat="false" ht="15" hidden="false" customHeight="false" outlineLevel="0" collapsed="false">
      <c r="A16" s="9" t="n">
        <v>10</v>
      </c>
      <c r="B16" s="9" t="s">
        <v>54</v>
      </c>
      <c r="C16" s="9" t="s">
        <v>64</v>
      </c>
      <c r="D16" s="10" t="n">
        <v>560</v>
      </c>
      <c r="E16" s="11" t="n">
        <v>1706.73</v>
      </c>
      <c r="F16" s="10" t="n">
        <v>44</v>
      </c>
      <c r="G16" s="11" t="n">
        <v>157.2</v>
      </c>
      <c r="H16" s="10" t="n">
        <v>9</v>
      </c>
      <c r="I16" s="11" t="n">
        <v>9.66</v>
      </c>
      <c r="J16" s="12" t="n">
        <f aca="false">IF(N(E16)=0,"",N(G16)/E16)</f>
        <v>0.0921059570055017</v>
      </c>
      <c r="K16" s="12" t="n">
        <f aca="false">IF(N(E16)=0,"",N(I16)/E16)</f>
        <v>0.0056599462129335</v>
      </c>
      <c r="L16" s="12" t="n">
        <f aca="false">IF(N(E16)=0,"",(N(G16)+N(I16))/E16)</f>
        <v>0.0977659032184352</v>
      </c>
      <c r="M16" s="12" t="n">
        <f aca="false">IF(N(D16)=0,"",N(F16)/D16)</f>
        <v>0.0785714285714286</v>
      </c>
      <c r="N16" s="12" t="n">
        <f aca="false">IF(N(D16)=0,"",N(H16)/D16)</f>
        <v>0.0160714285714286</v>
      </c>
      <c r="O16" s="13" t="n">
        <f aca="false">IF(N(D16)=0,"",N(E16)*100/D16)</f>
        <v>304.773214285714</v>
      </c>
      <c r="P16" s="13" t="n">
        <f aca="false">IF(N(H16)=0,"",I16*100/H16)</f>
        <v>107.333333333333</v>
      </c>
      <c r="Q16" s="14" t="n">
        <f aca="false">N(E16)/$E$49</f>
        <v>0.0143094029746133</v>
      </c>
      <c r="R16" s="14" t="n">
        <f aca="false">N(I16)/$I$49</f>
        <v>0.00560376833116763</v>
      </c>
      <c r="S16" s="14" t="n">
        <f aca="false">N(G16)/$G$49</f>
        <v>0.06771804823834</v>
      </c>
      <c r="T16" s="15" t="n">
        <f aca="false">IF(Q16=0,"",R16/Q16)</f>
        <v>0.39161440495522</v>
      </c>
      <c r="U16" s="9" t="str">
        <f aca="false">IF(N(E16)=0,"No amount",IF(ISNUMBER(K16),IF(K16&gt;0.05,"NPA &gt; 5%",IF(ISNUMBER(N16),IF(N16&gt;0.1,"NPA incidence by accounts &gt; 10%",""),"")),""))</f>
        <v/>
      </c>
    </row>
    <row r="17" customFormat="false" ht="15" hidden="false" customHeight="false" outlineLevel="0" collapsed="false">
      <c r="A17" s="9" t="n">
        <v>11</v>
      </c>
      <c r="B17" s="9" t="s">
        <v>54</v>
      </c>
      <c r="C17" s="9" t="s">
        <v>65</v>
      </c>
      <c r="D17" s="10" t="n">
        <v>5</v>
      </c>
      <c r="E17" s="11" t="n">
        <v>0</v>
      </c>
      <c r="F17" s="10"/>
      <c r="G17" s="11"/>
      <c r="H17" s="10"/>
      <c r="I17" s="11"/>
      <c r="J17" s="12" t="str">
        <f aca="false">IF(N(E17)=0,"",N(G17)/E17)</f>
        <v/>
      </c>
      <c r="K17" s="12" t="str">
        <f aca="false">IF(N(E17)=0,"",N(I17)/E17)</f>
        <v/>
      </c>
      <c r="L17" s="12" t="str">
        <f aca="false">IF(N(E17)=0,"",(N(G17)+N(I17))/E17)</f>
        <v/>
      </c>
      <c r="M17" s="12" t="n">
        <f aca="false">IF(N(D17)=0,"",N(F17)/D17)</f>
        <v>0</v>
      </c>
      <c r="N17" s="12" t="n">
        <f aca="false">IF(N(D17)=0,"",N(H17)/D17)</f>
        <v>0</v>
      </c>
      <c r="O17" s="13" t="n">
        <f aca="false">IF(N(D17)=0,"",N(E17)*100/D17)</f>
        <v>0</v>
      </c>
      <c r="P17" s="13" t="str">
        <f aca="false">IF(N(H17)=0,"",I17*100/H17)</f>
        <v/>
      </c>
      <c r="Q17" s="14" t="n">
        <f aca="false">N(E17)/$E$49</f>
        <v>0</v>
      </c>
      <c r="R17" s="14" t="n">
        <f aca="false">N(I17)/$I$49</f>
        <v>0</v>
      </c>
      <c r="S17" s="14" t="n">
        <f aca="false">N(G17)/$G$49</f>
        <v>0</v>
      </c>
      <c r="T17" s="15" t="str">
        <f aca="false">IF(Q17=0,"",R17/Q17)</f>
        <v/>
      </c>
      <c r="U17" s="9" t="str">
        <f aca="false">IF(N(E17)=0,"No amount",IF(ISNUMBER(K17),IF(K17&gt;0.05,"NPA &gt; 5%",IF(ISNUMBER(N17),IF(N17&gt;0.1,"NPA incidence by accounts &gt; 10%",""),"")),""))</f>
        <v>No amount</v>
      </c>
    </row>
    <row r="18" customFormat="false" ht="15" hidden="false" customHeight="false" outlineLevel="0" collapsed="false">
      <c r="A18" s="9" t="n">
        <v>12</v>
      </c>
      <c r="B18" s="9" t="s">
        <v>66</v>
      </c>
      <c r="C18" s="9" t="s">
        <v>67</v>
      </c>
      <c r="D18" s="10" t="n">
        <v>17882</v>
      </c>
      <c r="E18" s="11" t="n">
        <v>2585.66</v>
      </c>
      <c r="F18" s="10" t="n">
        <v>596</v>
      </c>
      <c r="G18" s="11" t="n">
        <v>100.53</v>
      </c>
      <c r="H18" s="10" t="n">
        <v>167</v>
      </c>
      <c r="I18" s="11" t="n">
        <v>28.83</v>
      </c>
      <c r="J18" s="12" t="n">
        <f aca="false">IF(N(E18)=0,"",N(G18)/E18)</f>
        <v>0.0388798217863137</v>
      </c>
      <c r="K18" s="12" t="n">
        <f aca="false">IF(N(E18)=0,"",N(I18)/E18)</f>
        <v>0.0111499578444188</v>
      </c>
      <c r="L18" s="12" t="n">
        <f aca="false">IF(N(E18)=0,"",(N(G18)+N(I18))/E18)</f>
        <v>0.0500297796307326</v>
      </c>
      <c r="M18" s="12" t="n">
        <f aca="false">IF(N(D18)=0,"",N(F18)/D18)</f>
        <v>0.0333296051895761</v>
      </c>
      <c r="N18" s="12" t="n">
        <f aca="false">IF(N(D18)=0,"",N(H18)/D18)</f>
        <v>0.00933900011184431</v>
      </c>
      <c r="O18" s="13" t="n">
        <f aca="false">IF(N(D18)=0,"",N(E18)*100/D18)</f>
        <v>14.4595682809529</v>
      </c>
      <c r="P18" s="13" t="n">
        <f aca="false">IF(N(H18)=0,"",I18*100/H18)</f>
        <v>17.2634730538922</v>
      </c>
      <c r="Q18" s="14" t="n">
        <f aca="false">N(E18)/$E$49</f>
        <v>0.021678444097976</v>
      </c>
      <c r="R18" s="14" t="n">
        <f aca="false">N(I18)/$I$49</f>
        <v>0.0167242899573046</v>
      </c>
      <c r="S18" s="14" t="n">
        <f aca="false">N(G18)/$G$49</f>
        <v>0.0433059503142514</v>
      </c>
      <c r="T18" s="15" t="n">
        <f aca="false">IF(Q18=0,"",R18/Q18)</f>
        <v>0.771470954359963</v>
      </c>
      <c r="U18" s="9" t="str">
        <f aca="false">IF(N(E18)=0,"No amount",IF(ISNUMBER(K18),IF(K18&gt;0.05,"NPA &gt; 5%",IF(ISNUMBER(N18),IF(N18&gt;0.1,"NPA incidence by accounts &gt; 10%",""),"")),""))</f>
        <v/>
      </c>
    </row>
    <row r="19" customFormat="false" ht="15" hidden="false" customHeight="false" outlineLevel="0" collapsed="false">
      <c r="A19" s="9" t="n">
        <v>13</v>
      </c>
      <c r="B19" s="9" t="s">
        <v>66</v>
      </c>
      <c r="C19" s="9" t="s">
        <v>68</v>
      </c>
      <c r="D19" s="10" t="n">
        <v>8292</v>
      </c>
      <c r="E19" s="11" t="n">
        <v>4300.78</v>
      </c>
      <c r="F19" s="10" t="n">
        <v>132</v>
      </c>
      <c r="G19" s="11" t="n">
        <v>60.57</v>
      </c>
      <c r="H19" s="10" t="n">
        <v>33</v>
      </c>
      <c r="I19" s="11" t="n">
        <v>24.46</v>
      </c>
      <c r="J19" s="12" t="n">
        <f aca="false">IF(N(E19)=0,"",N(G19)/E19)</f>
        <v>0.0140834918317142</v>
      </c>
      <c r="K19" s="12" t="n">
        <f aca="false">IF(N(E19)=0,"",N(I19)/E19)</f>
        <v>0.00568734043592093</v>
      </c>
      <c r="L19" s="12" t="n">
        <f aca="false">IF(N(E19)=0,"",(N(G19)+N(I19))/E19)</f>
        <v>0.0197708322676352</v>
      </c>
      <c r="M19" s="12" t="n">
        <f aca="false">IF(N(D19)=0,"",N(F19)/D19)</f>
        <v>0.0159189580318379</v>
      </c>
      <c r="N19" s="12" t="n">
        <f aca="false">IF(N(D19)=0,"",N(H19)/D19)</f>
        <v>0.00397973950795948</v>
      </c>
      <c r="O19" s="13" t="n">
        <f aca="false">IF(N(D19)=0,"",N(E19)*100/D19)</f>
        <v>51.8666184273999</v>
      </c>
      <c r="P19" s="13" t="n">
        <f aca="false">IF(N(H19)=0,"",I19*100/H19)</f>
        <v>74.1212121212121</v>
      </c>
      <c r="Q19" s="14" t="n">
        <f aca="false">N(E19)/$E$49</f>
        <v>0.0360581897108255</v>
      </c>
      <c r="R19" s="14" t="n">
        <f aca="false">N(I19)/$I$49</f>
        <v>0.0141892519027288</v>
      </c>
      <c r="S19" s="14" t="n">
        <f aca="false">N(G19)/$G$49</f>
        <v>0.0260921258383985</v>
      </c>
      <c r="T19" s="15" t="n">
        <f aca="false">IF(Q19=0,"",R19/Q19)</f>
        <v>0.393509824439934</v>
      </c>
      <c r="U19" s="9" t="str">
        <f aca="false">IF(N(E19)=0,"No amount",IF(ISNUMBER(K19),IF(K19&gt;0.05,"NPA &gt; 5%",IF(ISNUMBER(N19),IF(N19&gt;0.1,"NPA incidence by accounts &gt; 10%",""),"")),""))</f>
        <v/>
      </c>
    </row>
    <row r="20" customFormat="false" ht="15" hidden="false" customHeight="false" outlineLevel="0" collapsed="false">
      <c r="A20" s="9" t="n">
        <v>14</v>
      </c>
      <c r="B20" s="9" t="s">
        <v>66</v>
      </c>
      <c r="C20" s="9" t="s">
        <v>69</v>
      </c>
      <c r="D20" s="10" t="n">
        <v>4353</v>
      </c>
      <c r="E20" s="11" t="n">
        <v>1232.04</v>
      </c>
      <c r="F20" s="10" t="n">
        <v>207</v>
      </c>
      <c r="G20" s="11" t="n">
        <v>61.88</v>
      </c>
      <c r="H20" s="10" t="n">
        <v>67</v>
      </c>
      <c r="I20" s="11" t="n">
        <v>15.94</v>
      </c>
      <c r="J20" s="12" t="n">
        <f aca="false">IF(N(E20)=0,"",N(G20)/E20)</f>
        <v>0.0502256420246096</v>
      </c>
      <c r="K20" s="12" t="n">
        <f aca="false">IF(N(E20)=0,"",N(I20)/E20)</f>
        <v>0.0129378916268952</v>
      </c>
      <c r="L20" s="12" t="n">
        <f aca="false">IF(N(E20)=0,"",(N(G20)+N(I20))/E20)</f>
        <v>0.0631635336515048</v>
      </c>
      <c r="M20" s="12" t="n">
        <f aca="false">IF(N(D20)=0,"",N(F20)/D20)</f>
        <v>0.0475534114403859</v>
      </c>
      <c r="N20" s="12" t="n">
        <f aca="false">IF(N(D20)=0,"",N(H20)/D20)</f>
        <v>0.0153916838961636</v>
      </c>
      <c r="O20" s="13" t="n">
        <f aca="false">IF(N(D20)=0,"",N(E20)*100/D20)</f>
        <v>28.303239145417</v>
      </c>
      <c r="P20" s="13" t="n">
        <f aca="false">IF(N(H20)=0,"",I20*100/H20)</f>
        <v>23.7910447761194</v>
      </c>
      <c r="Q20" s="14" t="n">
        <f aca="false">N(E20)/$E$49</f>
        <v>0.0103295523257003</v>
      </c>
      <c r="R20" s="14" t="n">
        <f aca="false">N(I20)/$I$49</f>
        <v>0.0092467978466679</v>
      </c>
      <c r="S20" s="14" t="n">
        <f aca="false">N(G20)/$G$49</f>
        <v>0.0266564429070514</v>
      </c>
      <c r="T20" s="15" t="n">
        <f aca="false">IF(Q20=0,"",R20/Q20)</f>
        <v>0.895178954044456</v>
      </c>
      <c r="U20" s="9" t="str">
        <f aca="false">IF(N(E20)=0,"No amount",IF(ISNUMBER(K20),IF(K20&gt;0.05,"NPA &gt; 5%",IF(ISNUMBER(N20),IF(N20&gt;0.1,"NPA incidence by accounts &gt; 10%",""),"")),""))</f>
        <v/>
      </c>
    </row>
    <row r="21" customFormat="false" ht="15" hidden="false" customHeight="false" outlineLevel="0" collapsed="false">
      <c r="A21" s="9" t="n">
        <v>15</v>
      </c>
      <c r="B21" s="9" t="s">
        <v>66</v>
      </c>
      <c r="C21" s="9" t="s">
        <v>70</v>
      </c>
      <c r="D21" s="10" t="n">
        <v>7217</v>
      </c>
      <c r="E21" s="11" t="n">
        <v>954.73</v>
      </c>
      <c r="F21" s="10" t="n">
        <v>197</v>
      </c>
      <c r="G21" s="11" t="n">
        <v>25.96</v>
      </c>
      <c r="H21" s="10" t="n">
        <v>331</v>
      </c>
      <c r="I21" s="11" t="n">
        <v>39.92</v>
      </c>
      <c r="J21" s="12" t="n">
        <f aca="false">IF(N(E21)=0,"",N(G21)/E21)</f>
        <v>0.0271909335623684</v>
      </c>
      <c r="K21" s="12" t="n">
        <f aca="false">IF(N(E21)=0,"",N(I21)/E21)</f>
        <v>0.0418128685596975</v>
      </c>
      <c r="L21" s="12" t="n">
        <f aca="false">IF(N(E21)=0,"",(N(G21)+N(I21))/E21)</f>
        <v>0.0690038021220659</v>
      </c>
      <c r="M21" s="12" t="n">
        <f aca="false">IF(N(D21)=0,"",N(F21)/D21)</f>
        <v>0.0272966606623251</v>
      </c>
      <c r="N21" s="12" t="n">
        <f aca="false">IF(N(D21)=0,"",N(H21)/D21)</f>
        <v>0.0458639323818761</v>
      </c>
      <c r="O21" s="13" t="n">
        <f aca="false">IF(N(D21)=0,"",N(E21)*100/D21)</f>
        <v>13.2289039767216</v>
      </c>
      <c r="P21" s="13" t="n">
        <f aca="false">IF(N(H21)=0,"",I21*100/H21)</f>
        <v>12.0604229607251</v>
      </c>
      <c r="Q21" s="14" t="n">
        <f aca="false">N(E21)/$E$49</f>
        <v>0.00800455625784543</v>
      </c>
      <c r="R21" s="14" t="n">
        <f aca="false">N(I21)/$I$49</f>
        <v>0.0231576016335623</v>
      </c>
      <c r="S21" s="14" t="n">
        <f aca="false">N(G21)/$G$49</f>
        <v>0.0111829550398684</v>
      </c>
      <c r="T21" s="15" t="n">
        <f aca="false">IF(Q21=0,"",R21/Q21)</f>
        <v>2.8930525175415</v>
      </c>
      <c r="U21" s="9" t="str">
        <f aca="false">IF(N(E21)=0,"No amount",IF(ISNUMBER(K21),IF(K21&gt;0.05,"NPA &gt; 5%",IF(ISNUMBER(N21),IF(N21&gt;0.1,"NPA incidence by accounts &gt; 10%",""),"")),""))</f>
        <v/>
      </c>
    </row>
    <row r="22" customFormat="false" ht="15" hidden="false" customHeight="false" outlineLevel="0" collapsed="false">
      <c r="A22" s="9" t="n">
        <v>16</v>
      </c>
      <c r="B22" s="9" t="s">
        <v>66</v>
      </c>
      <c r="C22" s="9" t="s">
        <v>71</v>
      </c>
      <c r="D22" s="10" t="n">
        <v>4708</v>
      </c>
      <c r="E22" s="11" t="n">
        <v>1023.28</v>
      </c>
      <c r="F22" s="10" t="n">
        <v>137</v>
      </c>
      <c r="G22" s="11" t="n">
        <v>25.95</v>
      </c>
      <c r="H22" s="10" t="n">
        <v>21</v>
      </c>
      <c r="I22" s="11" t="n">
        <v>4.51</v>
      </c>
      <c r="J22" s="12" t="n">
        <f aca="false">IF(N(E22)=0,"",N(G22)/E22)</f>
        <v>0.0253596278633414</v>
      </c>
      <c r="K22" s="12" t="n">
        <f aca="false">IF(N(E22)=0,"",N(I22)/E22)</f>
        <v>0.00440739582518959</v>
      </c>
      <c r="L22" s="12" t="n">
        <f aca="false">IF(N(E22)=0,"",(N(G22)+N(I22))/E22)</f>
        <v>0.029767023688531</v>
      </c>
      <c r="M22" s="12" t="n">
        <f aca="false">IF(N(D22)=0,"",N(F22)/D22)</f>
        <v>0.0290994052676296</v>
      </c>
      <c r="N22" s="12" t="n">
        <f aca="false">IF(N(D22)=0,"",N(H22)/D22)</f>
        <v>0.00446049277824979</v>
      </c>
      <c r="O22" s="13" t="n">
        <f aca="false">IF(N(D22)=0,"",N(E22)*100/D22)</f>
        <v>21.7349192863212</v>
      </c>
      <c r="P22" s="13" t="n">
        <f aca="false">IF(N(H22)=0,"",I22*100/H22)</f>
        <v>21.4761904761905</v>
      </c>
      <c r="Q22" s="14" t="n">
        <f aca="false">N(E22)/$E$49</f>
        <v>0.00857928663342313</v>
      </c>
      <c r="R22" s="14" t="n">
        <f aca="false">N(I22)/$I$49</f>
        <v>0.00261625208836087</v>
      </c>
      <c r="S22" s="14" t="n">
        <f aca="false">N(G22)/$G$49</f>
        <v>0.0111786472759855</v>
      </c>
      <c r="T22" s="15" t="n">
        <f aca="false">IF(Q22=0,"",R22/Q22)</f>
        <v>0.304949840254607</v>
      </c>
      <c r="U22" s="9" t="str">
        <f aca="false">IF(N(E22)=0,"No amount",IF(ISNUMBER(K22),IF(K22&gt;0.05,"NPA &gt; 5%",IF(ISNUMBER(N22),IF(N22&gt;0.1,"NPA incidence by accounts &gt; 10%",""),"")),""))</f>
        <v/>
      </c>
    </row>
    <row r="23" customFormat="false" ht="15" hidden="false" customHeight="false" outlineLevel="0" collapsed="false">
      <c r="A23" s="9" t="n">
        <v>17</v>
      </c>
      <c r="B23" s="9" t="s">
        <v>66</v>
      </c>
      <c r="C23" s="9" t="s">
        <v>72</v>
      </c>
      <c r="D23" s="10" t="n">
        <v>7757</v>
      </c>
      <c r="E23" s="11" t="n">
        <v>10517.4</v>
      </c>
      <c r="F23" s="10" t="n">
        <v>318</v>
      </c>
      <c r="G23" s="11" t="n">
        <v>251.67</v>
      </c>
      <c r="H23" s="10" t="n">
        <v>136</v>
      </c>
      <c r="I23" s="11" t="n">
        <v>92.21</v>
      </c>
      <c r="J23" s="12" t="n">
        <f aca="false">IF(N(E23)=0,"",N(G23)/E23)</f>
        <v>0.023928917793371</v>
      </c>
      <c r="K23" s="12" t="n">
        <f aca="false">IF(N(E23)=0,"",N(I23)/E23)</f>
        <v>0.00876737596744443</v>
      </c>
      <c r="L23" s="12" t="n">
        <f aca="false">IF(N(E23)=0,"",(N(G23)+N(I23))/E23)</f>
        <v>0.0326962937608154</v>
      </c>
      <c r="M23" s="12" t="n">
        <f aca="false">IF(N(D23)=0,"",N(F23)/D23)</f>
        <v>0.0409952301147351</v>
      </c>
      <c r="N23" s="12" t="n">
        <f aca="false">IF(N(D23)=0,"",N(H23)/D23)</f>
        <v>0.0175325512440376</v>
      </c>
      <c r="O23" s="13" t="n">
        <f aca="false">IF(N(D23)=0,"",N(E23)*100/D23)</f>
        <v>135.585922392678</v>
      </c>
      <c r="P23" s="13" t="n">
        <f aca="false">IF(N(H23)=0,"",I23*100/H23)</f>
        <v>67.8014705882353</v>
      </c>
      <c r="Q23" s="14" t="n">
        <f aca="false">N(E23)/$E$49</f>
        <v>0.0881789825251783</v>
      </c>
      <c r="R23" s="14" t="n">
        <f aca="false">N(I23)/$I$49</f>
        <v>0.053491043252274</v>
      </c>
      <c r="S23" s="14" t="n">
        <f aca="false">N(G23)/$G$49</f>
        <v>0.108413493639587</v>
      </c>
      <c r="T23" s="15" t="n">
        <f aca="false">IF(Q23=0,"",R23/Q23)</f>
        <v>0.606618966566102</v>
      </c>
      <c r="U23" s="9" t="str">
        <f aca="false">IF(N(E23)=0,"No amount",IF(ISNUMBER(K23),IF(K23&gt;0.05,"NPA &gt; 5%",IF(ISNUMBER(N23),IF(N23&gt;0.1,"NPA incidence by accounts &gt; 10%",""),"")),""))</f>
        <v/>
      </c>
    </row>
    <row r="24" customFormat="false" ht="15" hidden="false" customHeight="false" outlineLevel="0" collapsed="false">
      <c r="A24" s="9" t="n">
        <v>18</v>
      </c>
      <c r="B24" s="9" t="s">
        <v>66</v>
      </c>
      <c r="C24" s="9" t="s">
        <v>73</v>
      </c>
      <c r="D24" s="10" t="n">
        <v>1338</v>
      </c>
      <c r="E24" s="11" t="n">
        <v>470.17</v>
      </c>
      <c r="F24" s="10" t="n">
        <v>72</v>
      </c>
      <c r="G24" s="11" t="n">
        <v>24.27</v>
      </c>
      <c r="H24" s="10" t="n">
        <v>12</v>
      </c>
      <c r="I24" s="11" t="n">
        <v>4.58</v>
      </c>
      <c r="J24" s="12" t="n">
        <f aca="false">IF(N(E24)=0,"",N(G24)/E24)</f>
        <v>0.051619626943446</v>
      </c>
      <c r="K24" s="12" t="n">
        <f aca="false">IF(N(E24)=0,"",N(I24)/E24)</f>
        <v>0.00974115745368696</v>
      </c>
      <c r="L24" s="12" t="n">
        <f aca="false">IF(N(E24)=0,"",(N(G24)+N(I24))/E24)</f>
        <v>0.061360784397133</v>
      </c>
      <c r="M24" s="12" t="n">
        <f aca="false">IF(N(D24)=0,"",N(F24)/D24)</f>
        <v>0.0538116591928251</v>
      </c>
      <c r="N24" s="12" t="n">
        <f aca="false">IF(N(D24)=0,"",N(H24)/D24)</f>
        <v>0.00896860986547085</v>
      </c>
      <c r="O24" s="13" t="n">
        <f aca="false">IF(N(D24)=0,"",N(E24)*100/D24)</f>
        <v>35.1397608370703</v>
      </c>
      <c r="P24" s="13" t="n">
        <f aca="false">IF(N(H24)=0,"",I24*100/H24)</f>
        <v>38.1666666666667</v>
      </c>
      <c r="Q24" s="14" t="n">
        <f aca="false">N(E24)/$E$49</f>
        <v>0.00394195449577491</v>
      </c>
      <c r="R24" s="14" t="n">
        <f aca="false">N(I24)/$I$49</f>
        <v>0.00265685910525339</v>
      </c>
      <c r="S24" s="14" t="n">
        <f aca="false">N(G24)/$G$49</f>
        <v>0.0104549429436674</v>
      </c>
      <c r="T24" s="15" t="n">
        <f aca="false">IF(Q24=0,"",R24/Q24)</f>
        <v>0.673995376684606</v>
      </c>
      <c r="U24" s="9" t="str">
        <f aca="false">IF(N(E24)=0,"No amount",IF(ISNUMBER(K24),IF(K24&gt;0.05,"NPA &gt; 5%",IF(ISNUMBER(N24),IF(N24&gt;0.1,"NPA incidence by accounts &gt; 10%",""),"")),""))</f>
        <v/>
      </c>
    </row>
    <row r="25" customFormat="false" ht="15" hidden="false" customHeight="false" outlineLevel="0" collapsed="false">
      <c r="A25" s="9" t="n">
        <v>19</v>
      </c>
      <c r="B25" s="9" t="s">
        <v>66</v>
      </c>
      <c r="C25" s="9" t="s">
        <v>74</v>
      </c>
      <c r="D25" s="10" t="n">
        <v>5040</v>
      </c>
      <c r="E25" s="11" t="n">
        <v>1981.52</v>
      </c>
      <c r="F25" s="10" t="n">
        <v>209</v>
      </c>
      <c r="G25" s="11" t="n">
        <v>63.29</v>
      </c>
      <c r="H25" s="10" t="n">
        <v>171</v>
      </c>
      <c r="I25" s="11" t="n">
        <v>51.07</v>
      </c>
      <c r="J25" s="12" t="n">
        <f aca="false">IF(N(E25)=0,"",N(G25)/E25)</f>
        <v>0.0319401267713674</v>
      </c>
      <c r="K25" s="12" t="n">
        <f aca="false">IF(N(E25)=0,"",N(I25)/E25)</f>
        <v>0.0257731438491663</v>
      </c>
      <c r="L25" s="12" t="n">
        <f aca="false">IF(N(E25)=0,"",(N(G25)+N(I25))/E25)</f>
        <v>0.0577132706205337</v>
      </c>
      <c r="M25" s="12" t="n">
        <f aca="false">IF(N(D25)=0,"",N(F25)/D25)</f>
        <v>0.041468253968254</v>
      </c>
      <c r="N25" s="12" t="n">
        <f aca="false">IF(N(D25)=0,"",N(H25)/D25)</f>
        <v>0.0339285714285714</v>
      </c>
      <c r="O25" s="13" t="n">
        <f aca="false">IF(N(D25)=0,"",N(E25)*100/D25)</f>
        <v>39.315873015873</v>
      </c>
      <c r="P25" s="13" t="n">
        <f aca="false">IF(N(H25)=0,"",I25*100/H25)</f>
        <v>29.8654970760234</v>
      </c>
      <c r="Q25" s="14" t="n">
        <f aca="false">N(E25)/$E$49</f>
        <v>0.0166132710986833</v>
      </c>
      <c r="R25" s="14" t="n">
        <f aca="false">N(I25)/$I$49</f>
        <v>0.0296257193242992</v>
      </c>
      <c r="S25" s="14" t="n">
        <f aca="false">N(G25)/$G$49</f>
        <v>0.0272638376145327</v>
      </c>
      <c r="T25" s="15" t="n">
        <f aca="false">IF(Q25=0,"",R25/Q25)</f>
        <v>1.78325623824</v>
      </c>
      <c r="U25" s="9" t="str">
        <f aca="false">IF(N(E25)=0,"No amount",IF(ISNUMBER(K25),IF(K25&gt;0.05,"NPA &gt; 5%",IF(ISNUMBER(N25),IF(N25&gt;0.1,"NPA incidence by accounts &gt; 10%",""),"")),""))</f>
        <v/>
      </c>
    </row>
    <row r="26" customFormat="false" ht="15" hidden="false" customHeight="false" outlineLevel="0" collapsed="false">
      <c r="A26" s="9" t="n">
        <v>20</v>
      </c>
      <c r="B26" s="9" t="s">
        <v>66</v>
      </c>
      <c r="C26" s="9" t="s">
        <v>75</v>
      </c>
      <c r="D26" s="10" t="n">
        <v>437</v>
      </c>
      <c r="E26" s="11" t="n">
        <v>38.47</v>
      </c>
      <c r="F26" s="10" t="n">
        <v>20</v>
      </c>
      <c r="G26" s="11" t="n">
        <v>0.93</v>
      </c>
      <c r="H26" s="10" t="n">
        <v>85</v>
      </c>
      <c r="I26" s="11" t="n">
        <v>1.1</v>
      </c>
      <c r="J26" s="12" t="n">
        <f aca="false">IF(N(E26)=0,"",N(G26)/E26)</f>
        <v>0.0241746815700546</v>
      </c>
      <c r="K26" s="12" t="n">
        <f aca="false">IF(N(E26)=0,"",N(I26)/E26)</f>
        <v>0.0285937093839355</v>
      </c>
      <c r="L26" s="12" t="n">
        <f aca="false">IF(N(E26)=0,"",(N(G26)+N(I26))/E26)</f>
        <v>0.0527683909539901</v>
      </c>
      <c r="M26" s="12" t="n">
        <f aca="false">IF(N(D26)=0,"",N(F26)/D26)</f>
        <v>0.045766590389016</v>
      </c>
      <c r="N26" s="12" t="n">
        <f aca="false">IF(N(D26)=0,"",N(H26)/D26)</f>
        <v>0.194508009153318</v>
      </c>
      <c r="O26" s="13" t="n">
        <f aca="false">IF(N(D26)=0,"",N(E26)*100/D26)</f>
        <v>8.80320366132723</v>
      </c>
      <c r="P26" s="13" t="n">
        <f aca="false">IF(N(H26)=0,"",I26*100/H26)</f>
        <v>1.29411764705882</v>
      </c>
      <c r="Q26" s="14" t="n">
        <f aca="false">N(E26)/$E$49</f>
        <v>0.000322536506906993</v>
      </c>
      <c r="R26" s="14" t="n">
        <f aca="false">N(I26)/$I$49</f>
        <v>0.000638110265453871</v>
      </c>
      <c r="S26" s="14" t="n">
        <f aca="false">N(G26)/$G$49</f>
        <v>0.000400622041104683</v>
      </c>
      <c r="T26" s="15" t="n">
        <f aca="false">IF(Q26=0,"",R26/Q26)</f>
        <v>1.97841252630009</v>
      </c>
      <c r="U26" s="9" t="str">
        <f aca="false">IF(N(E26)=0,"No amount",IF(ISNUMBER(K26),IF(K26&gt;0.05,"NPA &gt; 5%",IF(ISNUMBER(N26),IF(N26&gt;0.1,"NPA incidence by accounts &gt; 10%",""),"")),""))</f>
        <v>NPA incidence by accounts &gt; 10%</v>
      </c>
    </row>
    <row r="27" customFormat="false" ht="15" hidden="false" customHeight="false" outlineLevel="0" collapsed="false">
      <c r="A27" s="9" t="n">
        <v>21</v>
      </c>
      <c r="B27" s="9" t="s">
        <v>66</v>
      </c>
      <c r="C27" s="9" t="s">
        <v>76</v>
      </c>
      <c r="D27" s="10" t="n">
        <v>30995</v>
      </c>
      <c r="E27" s="11" t="n">
        <v>1429.34</v>
      </c>
      <c r="F27" s="10" t="n">
        <v>3926</v>
      </c>
      <c r="G27" s="11" t="n">
        <v>155.71</v>
      </c>
      <c r="H27" s="10" t="n">
        <v>348</v>
      </c>
      <c r="I27" s="11" t="n">
        <v>10.02</v>
      </c>
      <c r="J27" s="12" t="n">
        <f aca="false">IF(N(E27)=0,"",N(G27)/E27)</f>
        <v>0.108938391145564</v>
      </c>
      <c r="K27" s="12" t="n">
        <f aca="false">IF(N(E27)=0,"",N(I27)/E27)</f>
        <v>0.00701022849706858</v>
      </c>
      <c r="L27" s="12" t="n">
        <f aca="false">IF(N(E27)=0,"",(N(G27)+N(I27))/E27)</f>
        <v>0.115948619642632</v>
      </c>
      <c r="M27" s="12" t="n">
        <f aca="false">IF(N(D27)=0,"",N(F27)/D27)</f>
        <v>0.126665591224391</v>
      </c>
      <c r="N27" s="12" t="n">
        <f aca="false">IF(N(D27)=0,"",N(H27)/D27)</f>
        <v>0.0112276173576383</v>
      </c>
      <c r="O27" s="13" t="n">
        <f aca="false">IF(N(D27)=0,"",N(E27)*100/D27)</f>
        <v>4.61151798677206</v>
      </c>
      <c r="P27" s="13" t="n">
        <f aca="false">IF(N(H27)=0,"",I27*100/H27)</f>
        <v>2.87931034482759</v>
      </c>
      <c r="Q27" s="14" t="n">
        <f aca="false">N(E27)/$E$49</f>
        <v>0.0119837361783842</v>
      </c>
      <c r="R27" s="14" t="n">
        <f aca="false">N(I27)/$I$49</f>
        <v>0.00581260441804344</v>
      </c>
      <c r="S27" s="14" t="n">
        <f aca="false">N(G27)/$G$49</f>
        <v>0.0670761914197959</v>
      </c>
      <c r="T27" s="15" t="n">
        <f aca="false">IF(Q27=0,"",R27/Q27)</f>
        <v>0.485041086646081</v>
      </c>
      <c r="U27" s="9" t="str">
        <f aca="false">IF(N(E27)=0,"No amount",IF(ISNUMBER(K27),IF(K27&gt;0.05,"NPA &gt; 5%",IF(ISNUMBER(N27),IF(N27&gt;0.1,"NPA incidence by accounts &gt; 10%",""),"")),""))</f>
        <v/>
      </c>
    </row>
    <row r="28" customFormat="false" ht="15" hidden="false" customHeight="false" outlineLevel="0" collapsed="false">
      <c r="A28" s="9" t="n">
        <v>22</v>
      </c>
      <c r="B28" s="9" t="s">
        <v>66</v>
      </c>
      <c r="C28" s="9" t="s">
        <v>77</v>
      </c>
      <c r="D28" s="10" t="n">
        <v>129665</v>
      </c>
      <c r="E28" s="11" t="n">
        <v>2819.96</v>
      </c>
      <c r="F28" s="10" t="n">
        <v>5937</v>
      </c>
      <c r="G28" s="11" t="n">
        <v>111.73</v>
      </c>
      <c r="H28" s="10" t="n">
        <v>763</v>
      </c>
      <c r="I28" s="11" t="n">
        <v>12.01</v>
      </c>
      <c r="J28" s="12" t="n">
        <f aca="false">IF(N(E28)=0,"",N(G28)/E28)</f>
        <v>0.0396211293777217</v>
      </c>
      <c r="K28" s="12" t="n">
        <f aca="false">IF(N(E28)=0,"",N(I28)/E28)</f>
        <v>0.00425892565851998</v>
      </c>
      <c r="L28" s="12" t="n">
        <f aca="false">IF(N(E28)=0,"",(N(G28)+N(I28))/E28)</f>
        <v>0.0438800550362417</v>
      </c>
      <c r="M28" s="12" t="n">
        <f aca="false">IF(N(D28)=0,"",N(F28)/D28)</f>
        <v>0.0457872209154359</v>
      </c>
      <c r="N28" s="12" t="n">
        <f aca="false">IF(N(D28)=0,"",N(H28)/D28)</f>
        <v>0.00588439440095631</v>
      </c>
      <c r="O28" s="13" t="n">
        <f aca="false">IF(N(D28)=0,"",N(E28)*100/D28)</f>
        <v>2.17480430339722</v>
      </c>
      <c r="P28" s="13" t="n">
        <f aca="false">IF(N(H28)=0,"",I28*100/H28)</f>
        <v>1.5740498034076</v>
      </c>
      <c r="Q28" s="14" t="n">
        <f aca="false">N(E28)/$E$49</f>
        <v>0.0236428398236923</v>
      </c>
      <c r="R28" s="14" t="n">
        <f aca="false">N(I28)/$I$49</f>
        <v>0.00696700389827362</v>
      </c>
      <c r="S28" s="14" t="n">
        <f aca="false">N(G28)/$G$49</f>
        <v>0.048130645863039</v>
      </c>
      <c r="T28" s="15" t="n">
        <f aca="false">IF(Q28=0,"",R28/Q28)</f>
        <v>0.294677117902395</v>
      </c>
      <c r="U28" s="9" t="str">
        <f aca="false">IF(N(E28)=0,"No amount",IF(ISNUMBER(K28),IF(K28&gt;0.05,"NPA &gt; 5%",IF(ISNUMBER(N28),IF(N28&gt;0.1,"NPA incidence by accounts &gt; 10%",""),"")),""))</f>
        <v/>
      </c>
    </row>
    <row r="29" customFormat="false" ht="15" hidden="false" customHeight="false" outlineLevel="0" collapsed="false">
      <c r="A29" s="9" t="n">
        <v>23</v>
      </c>
      <c r="B29" s="9" t="s">
        <v>66</v>
      </c>
      <c r="C29" s="9" t="s">
        <v>78</v>
      </c>
      <c r="D29" s="10" t="n">
        <v>83</v>
      </c>
      <c r="E29" s="11" t="n">
        <v>34.99</v>
      </c>
      <c r="F29" s="10"/>
      <c r="G29" s="11"/>
      <c r="H29" s="10"/>
      <c r="I29" s="11"/>
      <c r="J29" s="12" t="n">
        <f aca="false">IF(N(E29)=0,"",N(G29)/E29)</f>
        <v>0</v>
      </c>
      <c r="K29" s="12" t="n">
        <f aca="false">IF(N(E29)=0,"",N(I29)/E29)</f>
        <v>0</v>
      </c>
      <c r="L29" s="12" t="n">
        <f aca="false">IF(N(E29)=0,"",(N(G29)+N(I29))/E29)</f>
        <v>0</v>
      </c>
      <c r="M29" s="12" t="n">
        <f aca="false">IF(N(D29)=0,"",N(F29)/D29)</f>
        <v>0</v>
      </c>
      <c r="N29" s="12" t="n">
        <f aca="false">IF(N(D29)=0,"",N(H29)/D29)</f>
        <v>0</v>
      </c>
      <c r="O29" s="13" t="n">
        <f aca="false">IF(N(D29)=0,"",N(E29)*100/D29)</f>
        <v>42.1566265060241</v>
      </c>
      <c r="P29" s="13" t="str">
        <f aca="false">IF(N(H29)=0,"",I29*100/H29)</f>
        <v/>
      </c>
      <c r="Q29" s="14" t="n">
        <f aca="false">N(E29)/$E$49</f>
        <v>0.000293359822632589</v>
      </c>
      <c r="R29" s="14" t="n">
        <f aca="false">N(I29)/$I$49</f>
        <v>0</v>
      </c>
      <c r="S29" s="14" t="n">
        <f aca="false">N(G29)/$G$49</f>
        <v>0</v>
      </c>
      <c r="T29" s="15" t="n">
        <f aca="false">IF(Q29=0,"",R29/Q29)</f>
        <v>0</v>
      </c>
      <c r="U29" s="9" t="str">
        <f aca="false">IF(N(E29)=0,"No amount",IF(ISNUMBER(K29),IF(K29&gt;0.05,"NPA &gt; 5%",IF(ISNUMBER(N29),IF(N29&gt;0.1,"NPA incidence by accounts &gt; 10%",""),"")),""))</f>
        <v/>
      </c>
    </row>
    <row r="30" customFormat="false" ht="15" hidden="false" customHeight="false" outlineLevel="0" collapsed="false">
      <c r="A30" s="9" t="n">
        <v>24</v>
      </c>
      <c r="B30" s="9" t="s">
        <v>66</v>
      </c>
      <c r="C30" s="9" t="s">
        <v>79</v>
      </c>
      <c r="D30" s="10" t="n">
        <v>76304</v>
      </c>
      <c r="E30" s="11" t="n">
        <v>388.49</v>
      </c>
      <c r="F30" s="10" t="n">
        <v>6426</v>
      </c>
      <c r="G30" s="11" t="n">
        <v>29</v>
      </c>
      <c r="H30" s="10" t="n">
        <v>5441</v>
      </c>
      <c r="I30" s="11" t="n">
        <v>28.6</v>
      </c>
      <c r="J30" s="12" t="n">
        <f aca="false">IF(N(E30)=0,"",N(G30)/E30)</f>
        <v>0.0746479960874154</v>
      </c>
      <c r="K30" s="12" t="n">
        <f aca="false">IF(N(E30)=0,"",N(I30)/E30)</f>
        <v>0.0736183685551752</v>
      </c>
      <c r="L30" s="12" t="n">
        <f aca="false">IF(N(E30)=0,"",(N(G30)+N(I30))/E30)</f>
        <v>0.148266364642591</v>
      </c>
      <c r="M30" s="12" t="n">
        <f aca="false">IF(N(D30)=0,"",N(F30)/D30)</f>
        <v>0.0842157685049277</v>
      </c>
      <c r="N30" s="12" t="n">
        <f aca="false">IF(N(D30)=0,"",N(H30)/D30)</f>
        <v>0.0713068777521493</v>
      </c>
      <c r="O30" s="13" t="n">
        <f aca="false">IF(N(D30)=0,"",N(E30)*100/D30)</f>
        <v>0.509134514573286</v>
      </c>
      <c r="P30" s="13" t="n">
        <f aca="false">IF(N(H30)=0,"",I30*100/H30)</f>
        <v>0.52563866936225</v>
      </c>
      <c r="Q30" s="14" t="n">
        <f aca="false">N(E30)/$E$49</f>
        <v>0.00325714082579407</v>
      </c>
      <c r="R30" s="14" t="n">
        <f aca="false">N(I30)/$I$49</f>
        <v>0.0165908669018006</v>
      </c>
      <c r="S30" s="14" t="n">
        <f aca="false">N(G30)/$G$49</f>
        <v>0.0124925152602536</v>
      </c>
      <c r="T30" s="15" t="n">
        <f aca="false">IF(Q30=0,"",R30/Q30)</f>
        <v>5.09369038342268</v>
      </c>
      <c r="U30" s="9" t="str">
        <f aca="false">IF(N(E30)=0,"No amount",IF(ISNUMBER(K30),IF(K30&gt;0.05,"NPA &gt; 5%",IF(ISNUMBER(N30),IF(N30&gt;0.1,"NPA incidence by accounts &gt; 10%",""),"")),""))</f>
        <v>NPA &gt; 5%</v>
      </c>
    </row>
    <row r="31" customFormat="false" ht="15" hidden="false" customHeight="false" outlineLevel="0" collapsed="false">
      <c r="A31" s="9" t="n">
        <v>25</v>
      </c>
      <c r="B31" s="9" t="s">
        <v>66</v>
      </c>
      <c r="C31" s="9" t="s">
        <v>80</v>
      </c>
      <c r="D31" s="10" t="n">
        <v>1939</v>
      </c>
      <c r="E31" s="11" t="n">
        <v>103.17</v>
      </c>
      <c r="F31" s="10" t="n">
        <v>100</v>
      </c>
      <c r="G31" s="11" t="n">
        <v>4.47</v>
      </c>
      <c r="H31" s="10" t="n">
        <v>93</v>
      </c>
      <c r="I31" s="11" t="n">
        <v>5.34</v>
      </c>
      <c r="J31" s="12" t="n">
        <f aca="false">IF(N(E31)=0,"",N(G31)/E31)</f>
        <v>0.043326548415237</v>
      </c>
      <c r="K31" s="12" t="n">
        <f aca="false">IF(N(E31)=0,"",N(I31)/E31)</f>
        <v>0.0517592323349811</v>
      </c>
      <c r="L31" s="12" t="n">
        <f aca="false">IF(N(E31)=0,"",(N(G31)+N(I31))/E31)</f>
        <v>0.0950857807502181</v>
      </c>
      <c r="M31" s="12" t="n">
        <f aca="false">IF(N(D31)=0,"",N(F31)/D31)</f>
        <v>0.0515729757607014</v>
      </c>
      <c r="N31" s="12" t="n">
        <f aca="false">IF(N(D31)=0,"",N(H31)/D31)</f>
        <v>0.0479628674574523</v>
      </c>
      <c r="O31" s="13" t="n">
        <f aca="false">IF(N(D31)=0,"",N(E31)*100/D31)</f>
        <v>5.32078390923156</v>
      </c>
      <c r="P31" s="13" t="n">
        <f aca="false">IF(N(H31)=0,"",I31*100/H31)</f>
        <v>5.74193548387097</v>
      </c>
      <c r="Q31" s="14" t="n">
        <f aca="false">N(E31)/$E$49</f>
        <v>0.000864988079479971</v>
      </c>
      <c r="R31" s="14" t="n">
        <f aca="false">N(I31)/$I$49</f>
        <v>0.00309773528865788</v>
      </c>
      <c r="S31" s="14" t="n">
        <f aca="false">N(G31)/$G$49</f>
        <v>0.00192557045563219</v>
      </c>
      <c r="T31" s="15" t="n">
        <f aca="false">IF(Q31=0,"",R31/Q31)</f>
        <v>3.58124621846839</v>
      </c>
      <c r="U31" s="9" t="str">
        <f aca="false">IF(N(E31)=0,"No amount",IF(ISNUMBER(K31),IF(K31&gt;0.05,"NPA &gt; 5%",IF(ISNUMBER(N31),IF(N31&gt;0.1,"NPA incidence by accounts &gt; 10%",""),"")),""))</f>
        <v>NPA &gt; 5%</v>
      </c>
    </row>
    <row r="32" customFormat="false" ht="15" hidden="false" customHeight="false" outlineLevel="0" collapsed="false">
      <c r="A32" s="9" t="n">
        <v>26</v>
      </c>
      <c r="B32" s="9" t="s">
        <v>66</v>
      </c>
      <c r="C32" s="9" t="s">
        <v>81</v>
      </c>
      <c r="D32" s="10" t="n">
        <v>8</v>
      </c>
      <c r="E32" s="11" t="n">
        <v>0.26</v>
      </c>
      <c r="F32" s="10"/>
      <c r="G32" s="11"/>
      <c r="H32" s="10"/>
      <c r="I32" s="11"/>
      <c r="J32" s="12" t="n">
        <f aca="false">IF(N(E32)=0,"",N(G32)/E32)</f>
        <v>0</v>
      </c>
      <c r="K32" s="12" t="n">
        <f aca="false">IF(N(E32)=0,"",N(I32)/E32)</f>
        <v>0</v>
      </c>
      <c r="L32" s="12" t="n">
        <f aca="false">IF(N(E32)=0,"",(N(G32)+N(I32))/E32)</f>
        <v>0</v>
      </c>
      <c r="M32" s="12" t="n">
        <f aca="false">IF(N(D32)=0,"",N(F32)/D32)</f>
        <v>0</v>
      </c>
      <c r="N32" s="12" t="n">
        <f aca="false">IF(N(D32)=0,"",N(H32)/D32)</f>
        <v>0</v>
      </c>
      <c r="O32" s="13" t="n">
        <f aca="false">IF(N(D32)=0,"",N(E32)*100/D32)</f>
        <v>3.25</v>
      </c>
      <c r="P32" s="13" t="str">
        <f aca="false">IF(N(H32)=0,"",I32*100/H32)</f>
        <v/>
      </c>
      <c r="Q32" s="14" t="n">
        <f aca="false">N(E32)/$E$49</f>
        <v>2.17986721590377E-006</v>
      </c>
      <c r="R32" s="14" t="n">
        <f aca="false">N(I32)/$I$49</f>
        <v>0</v>
      </c>
      <c r="S32" s="14" t="n">
        <f aca="false">N(G32)/$G$49</f>
        <v>0</v>
      </c>
      <c r="T32" s="15" t="n">
        <f aca="false">IF(Q32=0,"",R32/Q32)</f>
        <v>0</v>
      </c>
      <c r="U32" s="9" t="str">
        <f aca="false">IF(N(E32)=0,"No amount",IF(ISNUMBER(K32),IF(K32&gt;0.05,"NPA &gt; 5%",IF(ISNUMBER(N32),IF(N32&gt;0.1,"NPA incidence by accounts &gt; 10%",""),"")),""))</f>
        <v/>
      </c>
    </row>
    <row r="33" customFormat="false" ht="15" hidden="false" customHeight="false" outlineLevel="0" collapsed="false">
      <c r="A33" s="9" t="n">
        <v>27</v>
      </c>
      <c r="B33" s="9" t="s">
        <v>66</v>
      </c>
      <c r="C33" s="9" t="s">
        <v>65</v>
      </c>
      <c r="D33" s="10" t="n">
        <v>5444</v>
      </c>
      <c r="E33" s="11" t="n">
        <v>1488.86</v>
      </c>
      <c r="F33" s="10" t="n">
        <v>104</v>
      </c>
      <c r="G33" s="11" t="n">
        <v>4.28</v>
      </c>
      <c r="H33" s="10" t="n">
        <v>19</v>
      </c>
      <c r="I33" s="11" t="n">
        <v>0.65</v>
      </c>
      <c r="J33" s="12" t="n">
        <f aca="false">IF(N(E33)=0,"",N(G33)/E33)</f>
        <v>0.00287468264309606</v>
      </c>
      <c r="K33" s="12" t="n">
        <f aca="false">IF(N(E33)=0,"",N(I33)/E33)</f>
        <v>0.000436575635049635</v>
      </c>
      <c r="L33" s="12" t="n">
        <f aca="false">IF(N(E33)=0,"",(N(G33)+N(I33))/E33)</f>
        <v>0.0033112582781457</v>
      </c>
      <c r="M33" s="12" t="n">
        <f aca="false">IF(N(D33)=0,"",N(F33)/D33)</f>
        <v>0.0191036002939015</v>
      </c>
      <c r="N33" s="12" t="n">
        <f aca="false">IF(N(D33)=0,"",N(H33)/D33)</f>
        <v>0.00349008082292432</v>
      </c>
      <c r="O33" s="13" t="n">
        <f aca="false">IF(N(D33)=0,"",N(E33)*100/D33)</f>
        <v>27.3486407053637</v>
      </c>
      <c r="P33" s="13" t="n">
        <f aca="false">IF(N(H33)=0,"",I33*100/H33)</f>
        <v>3.42105263157895</v>
      </c>
      <c r="Q33" s="14" t="n">
        <f aca="false">N(E33)/$E$49</f>
        <v>0.0124827580887327</v>
      </c>
      <c r="R33" s="14" t="n">
        <f aca="false">N(I33)/$I$49</f>
        <v>0.000377065156859105</v>
      </c>
      <c r="S33" s="14" t="n">
        <f aca="false">N(G33)/$G$49</f>
        <v>0.00184372294185811</v>
      </c>
      <c r="T33" s="15" t="n">
        <f aca="false">IF(Q33=0,"",R33/Q33)</f>
        <v>0.0302068784942213</v>
      </c>
      <c r="U33" s="9" t="str">
        <f aca="false">IF(N(E33)=0,"No amount",IF(ISNUMBER(K33),IF(K33&gt;0.05,"NPA &gt; 5%",IF(ISNUMBER(N33),IF(N33&gt;0.1,"NPA incidence by accounts &gt; 10%",""),"")),""))</f>
        <v/>
      </c>
    </row>
    <row r="34" customFormat="false" ht="15" hidden="false" customHeight="false" outlineLevel="0" collapsed="false">
      <c r="A34" s="9" t="n">
        <v>28</v>
      </c>
      <c r="B34" s="9" t="s">
        <v>66</v>
      </c>
      <c r="C34" s="9" t="s">
        <v>82</v>
      </c>
      <c r="D34" s="10" t="n">
        <v>4304393</v>
      </c>
      <c r="E34" s="11" t="n">
        <v>19324.58</v>
      </c>
      <c r="F34" s="10" t="n">
        <v>171499</v>
      </c>
      <c r="G34" s="11" t="n">
        <v>833.42</v>
      </c>
      <c r="H34" s="10" t="n">
        <v>175978</v>
      </c>
      <c r="I34" s="11" t="n">
        <v>526.32</v>
      </c>
      <c r="J34" s="12" t="n">
        <f aca="false">IF(N(E34)=0,"",N(G34)/E34)</f>
        <v>0.0431274573625921</v>
      </c>
      <c r="K34" s="12" t="n">
        <f aca="false">IF(N(E34)=0,"",N(I34)/E34)</f>
        <v>0.0272357795098263</v>
      </c>
      <c r="L34" s="12" t="n">
        <f aca="false">IF(N(E34)=0,"",(N(G34)+N(I34))/E34)</f>
        <v>0.0703632368724184</v>
      </c>
      <c r="M34" s="12" t="n">
        <f aca="false">IF(N(D34)=0,"",N(F34)/D34)</f>
        <v>0.0398427838721975</v>
      </c>
      <c r="N34" s="12" t="n">
        <f aca="false">IF(N(D34)=0,"",N(H34)/D34)</f>
        <v>0.0408833487090979</v>
      </c>
      <c r="O34" s="13" t="n">
        <f aca="false">IF(N(D34)=0,"",N(E34)*100/D34)</f>
        <v>0.448950177179454</v>
      </c>
      <c r="P34" s="13" t="n">
        <f aca="false">IF(N(H34)=0,"",I34*100/H34)</f>
        <v>0.299082839900442</v>
      </c>
      <c r="Q34" s="14" t="n">
        <f aca="false">N(E34)/$E$49</f>
        <v>0.162019301550422</v>
      </c>
      <c r="R34" s="14" t="n">
        <f aca="false">N(I34)/$I$49</f>
        <v>0.305318359012437</v>
      </c>
      <c r="S34" s="14" t="n">
        <f aca="false">N(G34)/$G$49</f>
        <v>0.359017657524156</v>
      </c>
      <c r="T34" s="15" t="n">
        <f aca="false">IF(Q34=0,"",R34/Q34)</f>
        <v>1.88445670417496</v>
      </c>
      <c r="U34" s="9" t="str">
        <f aca="false">IF(N(E34)=0,"No amount",IF(ISNUMBER(K34),IF(K34&gt;0.05,"NPA &gt; 5%",IF(ISNUMBER(N34),IF(N34&gt;0.1,"NPA incidence by accounts &gt; 10%",""),"")),""))</f>
        <v/>
      </c>
    </row>
    <row r="35" customFormat="false" ht="15" hidden="false" customHeight="false" outlineLevel="0" collapsed="false">
      <c r="A35" s="9" t="n">
        <v>29</v>
      </c>
      <c r="B35" s="9" t="s">
        <v>66</v>
      </c>
      <c r="C35" s="9" t="s">
        <v>83</v>
      </c>
      <c r="D35" s="10" t="n">
        <v>2693180</v>
      </c>
      <c r="E35" s="11" t="n">
        <v>8516.74</v>
      </c>
      <c r="F35" s="10" t="n">
        <v>46962</v>
      </c>
      <c r="G35" s="11" t="n">
        <v>113.25</v>
      </c>
      <c r="H35" s="10" t="n">
        <v>307339</v>
      </c>
      <c r="I35" s="11" t="n">
        <v>271.88</v>
      </c>
      <c r="J35" s="12" t="n">
        <f aca="false">IF(N(E35)=0,"",N(G35)/E35)</f>
        <v>0.0132973414710323</v>
      </c>
      <c r="K35" s="12" t="n">
        <f aca="false">IF(N(E35)=0,"",N(I35)/E35)</f>
        <v>0.0319230127959759</v>
      </c>
      <c r="L35" s="12" t="n">
        <f aca="false">IF(N(E35)=0,"",(N(G35)+N(I35))/E35)</f>
        <v>0.0452203542670083</v>
      </c>
      <c r="M35" s="12" t="n">
        <f aca="false">IF(N(D35)=0,"",N(F35)/D35)</f>
        <v>0.0174373788606777</v>
      </c>
      <c r="N35" s="12" t="n">
        <f aca="false">IF(N(D35)=0,"",N(H35)/D35)</f>
        <v>0.114117511640514</v>
      </c>
      <c r="O35" s="13" t="n">
        <f aca="false">IF(N(D35)=0,"",N(E35)*100/D35)</f>
        <v>0.316233597457281</v>
      </c>
      <c r="P35" s="13" t="n">
        <f aca="false">IF(N(H35)=0,"",I35*100/H35)</f>
        <v>0.0884625771542173</v>
      </c>
      <c r="Q35" s="14" t="n">
        <f aca="false">N(E35)/$E$49</f>
        <v>0.0714052396629858</v>
      </c>
      <c r="R35" s="14" t="n">
        <f aca="false">N(I35)/$I$49</f>
        <v>0.157717653610544</v>
      </c>
      <c r="S35" s="14" t="n">
        <f aca="false">N(G35)/$G$49</f>
        <v>0.0487854259732316</v>
      </c>
      <c r="T35" s="15" t="n">
        <f aca="false">IF(Q35=0,"",R35/Q35)</f>
        <v>2.20876863315536</v>
      </c>
      <c r="U35" s="9" t="str">
        <f aca="false">IF(N(E35)=0,"No amount",IF(ISNUMBER(K35),IF(K35&gt;0.05,"NPA &gt; 5%",IF(ISNUMBER(N35),IF(N35&gt;0.1,"NPA incidence by accounts &gt; 10%",""),"")),""))</f>
        <v>NPA incidence by accounts &gt; 10%</v>
      </c>
    </row>
    <row r="36" customFormat="false" ht="15" hidden="false" customHeight="false" outlineLevel="0" collapsed="false">
      <c r="A36" s="9" t="n">
        <v>30</v>
      </c>
      <c r="B36" s="9" t="s">
        <v>66</v>
      </c>
      <c r="C36" s="9" t="s">
        <v>84</v>
      </c>
      <c r="D36" s="10" t="n">
        <v>3050</v>
      </c>
      <c r="E36" s="11" t="n">
        <v>48.62</v>
      </c>
      <c r="F36" s="10" t="n">
        <v>156</v>
      </c>
      <c r="G36" s="11" t="n">
        <v>6.34</v>
      </c>
      <c r="H36" s="10" t="n">
        <v>2420</v>
      </c>
      <c r="I36" s="11" t="n">
        <v>25.19</v>
      </c>
      <c r="J36" s="12" t="n">
        <f aca="false">IF(N(E36)=0,"",N(G36)/E36)</f>
        <v>0.130399012751954</v>
      </c>
      <c r="K36" s="12" t="n">
        <f aca="false">IF(N(E36)=0,"",N(I36)/E36)</f>
        <v>0.518099547511312</v>
      </c>
      <c r="L36" s="12" t="n">
        <f aca="false">IF(N(E36)=0,"",(N(G36)+N(I36))/E36)</f>
        <v>0.648498560263266</v>
      </c>
      <c r="M36" s="12" t="n">
        <f aca="false">IF(N(D36)=0,"",N(F36)/D36)</f>
        <v>0.0511475409836066</v>
      </c>
      <c r="N36" s="12" t="n">
        <f aca="false">IF(N(D36)=0,"",N(H36)/D36)</f>
        <v>0.79344262295082</v>
      </c>
      <c r="O36" s="13" t="n">
        <f aca="false">IF(N(D36)=0,"",N(E36)*100/D36)</f>
        <v>1.59409836065574</v>
      </c>
      <c r="P36" s="13" t="n">
        <f aca="false">IF(N(H36)=0,"",I36*100/H36)</f>
        <v>1.04090909090909</v>
      </c>
      <c r="Q36" s="14" t="n">
        <f aca="false">N(E36)/$E$49</f>
        <v>0.000407635169374006</v>
      </c>
      <c r="R36" s="14" t="n">
        <f aca="false">N(I36)/$I$49</f>
        <v>0.0146127250788936</v>
      </c>
      <c r="S36" s="14" t="n">
        <f aca="false">N(G36)/$G$49</f>
        <v>0.0027311223017244</v>
      </c>
      <c r="T36" s="15" t="n">
        <f aca="false">IF(Q36=0,"",R36/Q36)</f>
        <v>35.8475572687558</v>
      </c>
      <c r="U36" s="9" t="str">
        <f aca="false">IF(N(E36)=0,"No amount",IF(ISNUMBER(K36),IF(K36&gt;0.05,"NPA &gt; 5%",IF(ISNUMBER(N36),IF(N36&gt;0.1,"NPA incidence by accounts &gt; 10%",""),"")),""))</f>
        <v>NPA &gt; 5%</v>
      </c>
    </row>
    <row r="37" customFormat="false" ht="15" hidden="false" customHeight="false" outlineLevel="0" collapsed="false">
      <c r="A37" s="9" t="n">
        <v>31</v>
      </c>
      <c r="B37" s="9" t="s">
        <v>66</v>
      </c>
      <c r="C37" s="9" t="s">
        <v>85</v>
      </c>
      <c r="D37" s="10" t="n">
        <v>35707</v>
      </c>
      <c r="E37" s="11" t="n">
        <v>1763.42</v>
      </c>
      <c r="F37" s="10" t="n">
        <v>369</v>
      </c>
      <c r="G37" s="11" t="n">
        <v>11.24</v>
      </c>
      <c r="H37" s="10" t="n">
        <v>5515</v>
      </c>
      <c r="I37" s="11" t="n">
        <v>165.1</v>
      </c>
      <c r="J37" s="12" t="n">
        <f aca="false">IF(N(E37)=0,"",N(G37)/E37)</f>
        <v>0.00637397783851833</v>
      </c>
      <c r="K37" s="12" t="n">
        <f aca="false">IF(N(E37)=0,"",N(I37)/E37)</f>
        <v>0.0936248880017239</v>
      </c>
      <c r="L37" s="12" t="n">
        <f aca="false">IF(N(E37)=0,"",(N(G37)+N(I37))/E37)</f>
        <v>0.0999988658402423</v>
      </c>
      <c r="M37" s="12" t="n">
        <f aca="false">IF(N(D37)=0,"",N(F37)/D37)</f>
        <v>0.0103341081580642</v>
      </c>
      <c r="N37" s="12" t="n">
        <f aca="false">IF(N(D37)=0,"",N(H37)/D37)</f>
        <v>0.154451508107654</v>
      </c>
      <c r="O37" s="13" t="n">
        <f aca="false">IF(N(D37)=0,"",N(E37)*100/D37)</f>
        <v>4.93858347102809</v>
      </c>
      <c r="P37" s="13" t="n">
        <f aca="false">IF(N(H37)=0,"",I37*100/H37)</f>
        <v>2.99365367180417</v>
      </c>
      <c r="Q37" s="14" t="n">
        <f aca="false">N(E37)/$E$49</f>
        <v>0.0147846978687271</v>
      </c>
      <c r="R37" s="14" t="n">
        <f aca="false">N(I37)/$I$49</f>
        <v>0.0957745498422127</v>
      </c>
      <c r="S37" s="14" t="n">
        <f aca="false">N(G37)/$G$49</f>
        <v>0.00484192660431896</v>
      </c>
      <c r="T37" s="15" t="n">
        <f aca="false">IF(Q37=0,"",R37/Q37)</f>
        <v>6.47795110137471</v>
      </c>
      <c r="U37" s="9" t="str">
        <f aca="false">IF(N(E37)=0,"No amount",IF(ISNUMBER(K37),IF(K37&gt;0.05,"NPA &gt; 5%",IF(ISNUMBER(N37),IF(N37&gt;0.1,"NPA incidence by accounts &gt; 10%",""),"")),""))</f>
        <v>NPA &gt; 5%</v>
      </c>
    </row>
    <row r="38" customFormat="false" ht="15" hidden="false" customHeight="false" outlineLevel="0" collapsed="false">
      <c r="A38" s="9" t="n">
        <v>32</v>
      </c>
      <c r="B38" s="9" t="s">
        <v>66</v>
      </c>
      <c r="C38" s="9" t="s">
        <v>86</v>
      </c>
      <c r="D38" s="10" t="n">
        <v>115277</v>
      </c>
      <c r="E38" s="11" t="n">
        <v>3464.44</v>
      </c>
      <c r="F38" s="10" t="n">
        <v>2358</v>
      </c>
      <c r="G38" s="11" t="n">
        <v>52.31</v>
      </c>
      <c r="H38" s="10" t="n">
        <v>2071</v>
      </c>
      <c r="I38" s="11" t="n">
        <v>59.33</v>
      </c>
      <c r="J38" s="12" t="n">
        <f aca="false">IF(N(E38)=0,"",N(G38)/E38)</f>
        <v>0.0150991213587189</v>
      </c>
      <c r="K38" s="12" t="n">
        <f aca="false">IF(N(E38)=0,"",N(I38)/E38)</f>
        <v>0.0171254228677651</v>
      </c>
      <c r="L38" s="12" t="n">
        <f aca="false">IF(N(E38)=0,"",(N(G38)+N(I38))/E38)</f>
        <v>0.0322245442264839</v>
      </c>
      <c r="M38" s="12" t="n">
        <f aca="false">IF(N(D38)=0,"",N(F38)/D38)</f>
        <v>0.0204550777691994</v>
      </c>
      <c r="N38" s="12" t="n">
        <f aca="false">IF(N(D38)=0,"",N(H38)/D38)</f>
        <v>0.0179654224173079</v>
      </c>
      <c r="O38" s="13" t="n">
        <f aca="false">IF(N(D38)=0,"",N(E38)*100/D38)</f>
        <v>3.00531762623941</v>
      </c>
      <c r="P38" s="13" t="n">
        <f aca="false">IF(N(H38)=0,"",I38*100/H38)</f>
        <v>2.86479961371318</v>
      </c>
      <c r="Q38" s="14" t="n">
        <f aca="false">N(E38)/$E$49</f>
        <v>0.0290462276056372</v>
      </c>
      <c r="R38" s="14" t="n">
        <f aca="false">N(I38)/$I$49</f>
        <v>0.0344173473176165</v>
      </c>
      <c r="S38" s="14" t="n">
        <f aca="false">N(G38)/$G$49</f>
        <v>0.0225339128711677</v>
      </c>
      <c r="T38" s="15" t="n">
        <f aca="false">IF(Q38=0,"",R38/Q38)</f>
        <v>1.18491625779786</v>
      </c>
      <c r="U38" s="9" t="str">
        <f aca="false">IF(N(E38)=0,"No amount",IF(ISNUMBER(K38),IF(K38&gt;0.05,"NPA &gt; 5%",IF(ISNUMBER(N38),IF(N38&gt;0.1,"NPA incidence by accounts &gt; 10%",""),"")),""))</f>
        <v/>
      </c>
    </row>
    <row r="39" customFormat="false" ht="15" hidden="false" customHeight="false" outlineLevel="0" collapsed="false">
      <c r="A39" s="9" t="n">
        <v>33</v>
      </c>
      <c r="B39" s="9" t="s">
        <v>66</v>
      </c>
      <c r="C39" s="9" t="s">
        <v>87</v>
      </c>
      <c r="D39" s="10" t="n">
        <v>2761</v>
      </c>
      <c r="E39" s="11" t="n">
        <v>3055.28</v>
      </c>
      <c r="F39" s="10" t="n">
        <v>65</v>
      </c>
      <c r="G39" s="11" t="n">
        <v>75.95</v>
      </c>
      <c r="H39" s="10" t="n">
        <v>23</v>
      </c>
      <c r="I39" s="11" t="n">
        <v>69.75</v>
      </c>
      <c r="J39" s="12" t="n">
        <f aca="false">IF(N(E39)=0,"",N(G39)/E39)</f>
        <v>0.0248586054305988</v>
      </c>
      <c r="K39" s="12" t="n">
        <f aca="false">IF(N(E39)=0,"",N(I39)/E39)</f>
        <v>0.0228293315178969</v>
      </c>
      <c r="L39" s="12" t="n">
        <f aca="false">IF(N(E39)=0,"",(N(G39)+N(I39))/E39)</f>
        <v>0.0476879369484957</v>
      </c>
      <c r="M39" s="12" t="n">
        <f aca="false">IF(N(D39)=0,"",N(F39)/D39)</f>
        <v>0.0235421948569359</v>
      </c>
      <c r="N39" s="12" t="n">
        <f aca="false">IF(N(D39)=0,"",N(H39)/D39)</f>
        <v>0.00833031510322347</v>
      </c>
      <c r="O39" s="13" t="n">
        <f aca="false">IF(N(D39)=0,"",N(E39)*100/D39)</f>
        <v>110.658457080768</v>
      </c>
      <c r="P39" s="13" t="n">
        <f aca="false">IF(N(H39)=0,"",I39*100/H39)</f>
        <v>303.260869565217</v>
      </c>
      <c r="Q39" s="14" t="n">
        <f aca="false">N(E39)/$E$49</f>
        <v>0.0256157873361788</v>
      </c>
      <c r="R39" s="14" t="n">
        <f aca="false">N(I39)/$I$49</f>
        <v>0.0404619918321886</v>
      </c>
      <c r="S39" s="14" t="n">
        <f aca="false">N(G39)/$G$49</f>
        <v>0.0327174666902158</v>
      </c>
      <c r="T39" s="15" t="n">
        <f aca="false">IF(Q39=0,"",R39/Q39)</f>
        <v>1.57957244496021</v>
      </c>
      <c r="U39" s="9" t="str">
        <f aca="false">IF(N(E39)=0,"No amount",IF(ISNUMBER(K39),IF(K39&gt;0.05,"NPA &gt; 5%",IF(ISNUMBER(N39),IF(N39&gt;0.1,"NPA incidence by accounts &gt; 10%",""),"")),""))</f>
        <v/>
      </c>
    </row>
    <row r="40" customFormat="false" ht="15" hidden="false" customHeight="false" outlineLevel="0" collapsed="false">
      <c r="A40" s="9" t="n">
        <v>34</v>
      </c>
      <c r="B40" s="9" t="s">
        <v>66</v>
      </c>
      <c r="C40" s="9" t="s">
        <v>88</v>
      </c>
      <c r="D40" s="10" t="n">
        <v>14</v>
      </c>
      <c r="E40" s="11" t="n">
        <v>985.72</v>
      </c>
      <c r="F40" s="10"/>
      <c r="G40" s="11"/>
      <c r="H40" s="10"/>
      <c r="I40" s="11"/>
      <c r="J40" s="12" t="n">
        <f aca="false">IF(N(E40)=0,"",N(G40)/E40)</f>
        <v>0</v>
      </c>
      <c r="K40" s="12" t="n">
        <f aca="false">IF(N(E40)=0,"",N(I40)/E40)</f>
        <v>0</v>
      </c>
      <c r="L40" s="12" t="n">
        <f aca="false">IF(N(E40)=0,"",(N(G40)+N(I40))/E40)</f>
        <v>0</v>
      </c>
      <c r="M40" s="12" t="n">
        <f aca="false">IF(N(D40)=0,"",N(F40)/D40)</f>
        <v>0</v>
      </c>
      <c r="N40" s="12" t="n">
        <f aca="false">IF(N(D40)=0,"",N(H40)/D40)</f>
        <v>0</v>
      </c>
      <c r="O40" s="13" t="n">
        <f aca="false">IF(N(D40)=0,"",N(E40)*100/D40)</f>
        <v>7040.85714285714</v>
      </c>
      <c r="P40" s="13" t="str">
        <f aca="false">IF(N(H40)=0,"",I40*100/H40)</f>
        <v/>
      </c>
      <c r="Q40" s="14" t="n">
        <f aca="false">N(E40)/$E$49</f>
        <v>0.0082643796617718</v>
      </c>
      <c r="R40" s="14" t="n">
        <f aca="false">N(I40)/$I$49</f>
        <v>0</v>
      </c>
      <c r="S40" s="14" t="n">
        <f aca="false">N(G40)/$G$49</f>
        <v>0</v>
      </c>
      <c r="T40" s="15" t="n">
        <f aca="false">IF(Q40=0,"",R40/Q40)</f>
        <v>0</v>
      </c>
      <c r="U40" s="9" t="str">
        <f aca="false">IF(N(E40)=0,"No amount",IF(ISNUMBER(K40),IF(K40&gt;0.05,"NPA &gt; 5%",IF(ISNUMBER(N40),IF(N40&gt;0.1,"NPA incidence by accounts &gt; 10%",""),"")),""))</f>
        <v/>
      </c>
    </row>
    <row r="41" customFormat="false" ht="15" hidden="false" customHeight="false" outlineLevel="0" collapsed="false">
      <c r="A41" s="9" t="n">
        <v>35</v>
      </c>
      <c r="B41" s="9" t="s">
        <v>66</v>
      </c>
      <c r="C41" s="9" t="s">
        <v>89</v>
      </c>
      <c r="D41" s="10" t="n">
        <v>9</v>
      </c>
      <c r="E41" s="11" t="n">
        <v>4.69</v>
      </c>
      <c r="F41" s="10"/>
      <c r="G41" s="11"/>
      <c r="H41" s="10"/>
      <c r="I41" s="11"/>
      <c r="J41" s="12" t="n">
        <f aca="false">IF(N(E41)=0,"",N(G41)/E41)</f>
        <v>0</v>
      </c>
      <c r="K41" s="12" t="n">
        <f aca="false">IF(N(E41)=0,"",N(I41)/E41)</f>
        <v>0</v>
      </c>
      <c r="L41" s="12" t="n">
        <f aca="false">IF(N(E41)=0,"",(N(G41)+N(I41))/E41)</f>
        <v>0</v>
      </c>
      <c r="M41" s="12" t="n">
        <f aca="false">IF(N(D41)=0,"",N(F41)/D41)</f>
        <v>0</v>
      </c>
      <c r="N41" s="12" t="n">
        <f aca="false">IF(N(D41)=0,"",N(H41)/D41)</f>
        <v>0</v>
      </c>
      <c r="O41" s="13" t="n">
        <f aca="false">IF(N(D41)=0,"",N(E41)*100/D41)</f>
        <v>52.1111111111111</v>
      </c>
      <c r="P41" s="13" t="str">
        <f aca="false">IF(N(H41)=0,"",I41*100/H41)</f>
        <v/>
      </c>
      <c r="Q41" s="14" t="n">
        <f aca="false">N(E41)/$E$49</f>
        <v>3.93214509330335E-005</v>
      </c>
      <c r="R41" s="14" t="n">
        <f aca="false">N(I41)/$I$49</f>
        <v>0</v>
      </c>
      <c r="S41" s="14" t="n">
        <f aca="false">N(G41)/$G$49</f>
        <v>0</v>
      </c>
      <c r="T41" s="15" t="n">
        <f aca="false">IF(Q41=0,"",R41/Q41)</f>
        <v>0</v>
      </c>
      <c r="U41" s="9" t="str">
        <f aca="false">IF(N(E41)=0,"No amount",IF(ISNUMBER(K41),IF(K41&gt;0.05,"NPA &gt; 5%",IF(ISNUMBER(N41),IF(N41&gt;0.1,"NPA incidence by accounts &gt; 10%",""),"")),""))</f>
        <v/>
      </c>
    </row>
    <row r="42" customFormat="false" ht="15" hidden="false" customHeight="false" outlineLevel="0" collapsed="false">
      <c r="A42" s="9" t="n">
        <v>36</v>
      </c>
      <c r="B42" s="9" t="s">
        <v>66</v>
      </c>
      <c r="C42" s="9" t="s">
        <v>90</v>
      </c>
      <c r="D42" s="10" t="n">
        <v>5938</v>
      </c>
      <c r="E42" s="11" t="n">
        <v>509.74</v>
      </c>
      <c r="F42" s="10" t="n">
        <v>68</v>
      </c>
      <c r="G42" s="11" t="n">
        <v>1.13</v>
      </c>
      <c r="H42" s="10" t="n">
        <v>41</v>
      </c>
      <c r="I42" s="11" t="n">
        <v>0.44</v>
      </c>
      <c r="J42" s="12" t="n">
        <f aca="false">IF(N(E42)=0,"",N(G42)/E42)</f>
        <v>0.00221681641621219</v>
      </c>
      <c r="K42" s="12" t="n">
        <f aca="false">IF(N(E42)=0,"",N(I42)/E42)</f>
        <v>0.000863185153215365</v>
      </c>
      <c r="L42" s="12" t="n">
        <f aca="false">IF(N(E42)=0,"",(N(G42)+N(I42))/E42)</f>
        <v>0.00308000156942755</v>
      </c>
      <c r="M42" s="12" t="n">
        <f aca="false">IF(N(D42)=0,"",N(F42)/D42)</f>
        <v>0.0114516672280229</v>
      </c>
      <c r="N42" s="12" t="n">
        <f aca="false">IF(N(D42)=0,"",N(H42)/D42)</f>
        <v>0.00690468171101381</v>
      </c>
      <c r="O42" s="13" t="n">
        <f aca="false">IF(N(D42)=0,"",N(E42)*100/D42)</f>
        <v>8.58437184237117</v>
      </c>
      <c r="P42" s="13" t="n">
        <f aca="false">IF(N(H42)=0,"",I42*100/H42)</f>
        <v>1.07317073170732</v>
      </c>
      <c r="Q42" s="14" t="n">
        <f aca="false">N(E42)/$E$49</f>
        <v>0.00427371351782612</v>
      </c>
      <c r="R42" s="14" t="n">
        <f aca="false">N(I42)/$I$49</f>
        <v>0.000255244106181548</v>
      </c>
      <c r="S42" s="14" t="n">
        <f aca="false">N(G42)/$G$49</f>
        <v>0.000486777318761604</v>
      </c>
      <c r="T42" s="15" t="n">
        <f aca="false">IF(Q42=0,"",R42/Q42)</f>
        <v>0.0597241965604147</v>
      </c>
      <c r="U42" s="9" t="str">
        <f aca="false">IF(N(E42)=0,"No amount",IF(ISNUMBER(K42),IF(K42&gt;0.05,"NPA &gt; 5%",IF(ISNUMBER(N42),IF(N42&gt;0.1,"NPA incidence by accounts &gt; 10%",""),"")),""))</f>
        <v/>
      </c>
    </row>
    <row r="44" customFormat="false" ht="15" hidden="false" customHeight="false" outlineLevel="0" collapsed="false">
      <c r="A44" s="4" t="s">
        <v>91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Format="false" ht="23.85" hidden="false" customHeight="false" outlineLevel="0" collapsed="false">
      <c r="A45" s="8" t="s">
        <v>33</v>
      </c>
      <c r="B45" s="8" t="s">
        <v>92</v>
      </c>
      <c r="C45" s="8"/>
      <c r="D45" s="8" t="s">
        <v>36</v>
      </c>
      <c r="E45" s="8" t="s">
        <v>37</v>
      </c>
      <c r="F45" s="8" t="s">
        <v>38</v>
      </c>
      <c r="G45" s="8" t="s">
        <v>39</v>
      </c>
      <c r="H45" s="8" t="s">
        <v>40</v>
      </c>
      <c r="I45" s="8" t="s">
        <v>41</v>
      </c>
      <c r="J45" s="8" t="s">
        <v>42</v>
      </c>
      <c r="K45" s="8" t="s">
        <v>43</v>
      </c>
      <c r="L45" s="8" t="s">
        <v>44</v>
      </c>
      <c r="M45" s="8" t="s">
        <v>45</v>
      </c>
      <c r="N45" s="8" t="s">
        <v>46</v>
      </c>
      <c r="O45" s="8" t="s">
        <v>47</v>
      </c>
      <c r="P45" s="8" t="s">
        <v>48</v>
      </c>
    </row>
    <row r="46" customFormat="false" ht="15" hidden="false" customHeight="false" outlineLevel="0" collapsed="false">
      <c r="A46" s="9" t="n">
        <v>1</v>
      </c>
      <c r="B46" s="16" t="s">
        <v>93</v>
      </c>
      <c r="D46" s="17" t="n">
        <f aca="false">SUMIFS(D$7:D$42,$B$7:$B$42,"Wholesale")</f>
        <v>14280</v>
      </c>
      <c r="E46" s="18" t="n">
        <f aca="false">SUMIFS(E$7:E$42,$B$7:$B$42,"Wholesale")</f>
        <v>52230.94</v>
      </c>
      <c r="F46" s="17" t="n">
        <f aca="false">SUMIFS(F$7:F$42,$B$7:$B$42,"Wholesale")</f>
        <v>123</v>
      </c>
      <c r="G46" s="18" t="n">
        <f aca="false">SUMIFS(G$7:G$42,$B$7:$B$42,"Wholesale")</f>
        <v>307.5</v>
      </c>
      <c r="H46" s="17" t="n">
        <f aca="false">SUMIFS(H$7:H$42,$B$7:$B$42,"Wholesale")</f>
        <v>30</v>
      </c>
      <c r="I46" s="18" t="n">
        <f aca="false">SUMIFS(I$7:I$42,$B$7:$B$42,"Wholesale")</f>
        <v>286.61</v>
      </c>
      <c r="J46" s="12" t="n">
        <f aca="false">G46/E46</f>
        <v>0.00588731506651039</v>
      </c>
      <c r="K46" s="12" t="n">
        <f aca="false">I46/E46</f>
        <v>0.00548736055678875</v>
      </c>
      <c r="L46" s="12" t="n">
        <f aca="false">(G46+I46)/E46</f>
        <v>0.0113746756232991</v>
      </c>
      <c r="M46" s="12" t="n">
        <f aca="false">F46/D46</f>
        <v>0.00861344537815126</v>
      </c>
      <c r="N46" s="12" t="n">
        <f aca="false">H46/D46</f>
        <v>0.00210084033613445</v>
      </c>
      <c r="O46" s="13" t="n">
        <f aca="false">E46*100/D46</f>
        <v>365.762885154062</v>
      </c>
      <c r="P46" s="13" t="n">
        <f aca="false">I46*100/H46</f>
        <v>955.366666666667</v>
      </c>
    </row>
    <row r="47" customFormat="false" ht="15" hidden="false" customHeight="false" outlineLevel="0" collapsed="false">
      <c r="A47" s="9" t="n">
        <v>2</v>
      </c>
      <c r="B47" s="16" t="s">
        <v>94</v>
      </c>
      <c r="D47" s="17" t="n">
        <f aca="false">SUMIFS(D$7:D$42,$B$7:$B$42,"Retail")</f>
        <v>7461791</v>
      </c>
      <c r="E47" s="18" t="n">
        <f aca="false">SUMIFS(E$7:E$42,$B$7:$B$42,"Retail")</f>
        <v>67042.35</v>
      </c>
      <c r="F47" s="17" t="n">
        <f aca="false">SUMIFS(F$7:F$42,$B$7:$B$42,"Retail")</f>
        <v>239858</v>
      </c>
      <c r="G47" s="18" t="n">
        <f aca="false">SUMIFS(G$7:G$42,$B$7:$B$42,"Retail")</f>
        <v>2013.88</v>
      </c>
      <c r="H47" s="17" t="n">
        <f aca="false">SUMIFS(H$7:H$42,$B$7:$B$42,"Retail")</f>
        <v>501074</v>
      </c>
      <c r="I47" s="18" t="n">
        <f aca="false">SUMIFS(I$7:I$42,$B$7:$B$42,"Retail")</f>
        <v>1437.25</v>
      </c>
      <c r="J47" s="12" t="n">
        <f aca="false">G47/E47</f>
        <v>0.0300389231582723</v>
      </c>
      <c r="K47" s="12" t="n">
        <f aca="false">I47/E47</f>
        <v>0.021437941838256</v>
      </c>
      <c r="L47" s="12" t="n">
        <f aca="false">(G47+I47)/E47</f>
        <v>0.0514768649965283</v>
      </c>
      <c r="M47" s="12" t="n">
        <f aca="false">F47/D47</f>
        <v>0.0321448295724177</v>
      </c>
      <c r="N47" s="12" t="n">
        <f aca="false">H47/D47</f>
        <v>0.0671519746398686</v>
      </c>
      <c r="O47" s="13" t="n">
        <f aca="false">E47*100/D47</f>
        <v>0.898475312428343</v>
      </c>
      <c r="P47" s="13" t="n">
        <f aca="false">I47*100/H47</f>
        <v>0.28683388082399</v>
      </c>
    </row>
    <row r="48" customFormat="false" ht="15" hidden="false" customHeight="false" outlineLevel="0" collapsed="false">
      <c r="A48" s="9" t="n">
        <v>3</v>
      </c>
      <c r="B48" s="16" t="s">
        <v>95</v>
      </c>
      <c r="D48" s="17" t="n">
        <f aca="false">D46+D47</f>
        <v>7476071</v>
      </c>
      <c r="E48" s="18" t="n">
        <f aca="false">E46+E47</f>
        <v>119273.29</v>
      </c>
      <c r="F48" s="17" t="n">
        <f aca="false">F46+F47</f>
        <v>239981</v>
      </c>
      <c r="G48" s="18" t="n">
        <f aca="false">G46+G47</f>
        <v>2321.38</v>
      </c>
      <c r="H48" s="17" t="n">
        <f aca="false">H46+H47</f>
        <v>501104</v>
      </c>
      <c r="I48" s="18" t="n">
        <f aca="false">I46+I47</f>
        <v>1723.86</v>
      </c>
      <c r="J48" s="12" t="n">
        <f aca="false">G48/E48</f>
        <v>0.0194626978093754</v>
      </c>
      <c r="K48" s="12" t="n">
        <f aca="false">I48/E48</f>
        <v>0.0144530263229932</v>
      </c>
      <c r="L48" s="12" t="n">
        <f aca="false">(G48+I48)/E48</f>
        <v>0.0339157241323686</v>
      </c>
      <c r="M48" s="12" t="n">
        <f aca="false">F48/D48</f>
        <v>0.0320998824114966</v>
      </c>
      <c r="N48" s="12" t="n">
        <f aca="false">H48/D48</f>
        <v>0.0670277208442777</v>
      </c>
      <c r="O48" s="13" t="n">
        <f aca="false">E48*100/D48</f>
        <v>1.59540071248655</v>
      </c>
      <c r="P48" s="13" t="n">
        <f aca="false">I48*100/H48</f>
        <v>0.34401242057537</v>
      </c>
    </row>
    <row r="49" customFormat="false" ht="15" hidden="false" customHeight="false" outlineLevel="0" collapsed="false">
      <c r="A49" s="9" t="n">
        <v>4</v>
      </c>
      <c r="B49" s="16" t="s">
        <v>96</v>
      </c>
      <c r="D49" s="10" t="n">
        <v>7476071</v>
      </c>
      <c r="E49" s="11" t="n">
        <v>119273.32</v>
      </c>
      <c r="F49" s="10" t="n">
        <v>239981</v>
      </c>
      <c r="G49" s="11" t="n">
        <v>2321.39</v>
      </c>
      <c r="H49" s="10" t="n">
        <v>501104</v>
      </c>
      <c r="I49" s="11" t="n">
        <v>1723.84</v>
      </c>
      <c r="J49" s="12" t="n">
        <f aca="false">G49/E49</f>
        <v>0.0194627767551033</v>
      </c>
      <c r="K49" s="12" t="n">
        <f aca="false">I49/E49</f>
        <v>0.0144528550056291</v>
      </c>
      <c r="L49" s="12" t="n">
        <f aca="false">(G49+I49)/E49</f>
        <v>0.0339156317607324</v>
      </c>
      <c r="M49" s="12" t="n">
        <f aca="false">F49/D49</f>
        <v>0.0320998824114966</v>
      </c>
      <c r="N49" s="12" t="n">
        <f aca="false">H49/D49</f>
        <v>0.0670277208442777</v>
      </c>
      <c r="O49" s="13" t="n">
        <f aca="false">E49*100/D49</f>
        <v>1.59540111376684</v>
      </c>
      <c r="P49" s="13" t="n">
        <f aca="false">I49*100/H49</f>
        <v>0.344008429387912</v>
      </c>
    </row>
    <row r="50" customFormat="false" ht="15" hidden="false" customHeight="false" outlineLevel="0" collapsed="false">
      <c r="A50" s="9" t="n">
        <v>5</v>
      </c>
      <c r="B50" s="9" t="s">
        <v>97</v>
      </c>
      <c r="D50" s="10" t="n">
        <v>14280</v>
      </c>
      <c r="E50" s="11" t="n">
        <v>52230.94</v>
      </c>
      <c r="F50" s="10" t="n">
        <v>123</v>
      </c>
      <c r="G50" s="11" t="n">
        <v>307.5</v>
      </c>
      <c r="H50" s="10" t="n">
        <v>30</v>
      </c>
      <c r="I50" s="11" t="n">
        <v>286.61</v>
      </c>
      <c r="J50" s="12" t="n">
        <f aca="false">G50/E50</f>
        <v>0.00588731506651039</v>
      </c>
      <c r="K50" s="12" t="n">
        <f aca="false">I50/E50</f>
        <v>0.00548736055678875</v>
      </c>
      <c r="L50" s="12" t="n">
        <f aca="false">(G50+I50)/E50</f>
        <v>0.0113746756232991</v>
      </c>
      <c r="M50" s="12" t="n">
        <f aca="false">F50/D50</f>
        <v>0.00861344537815126</v>
      </c>
      <c r="N50" s="12" t="n">
        <f aca="false">H50/D50</f>
        <v>0.00210084033613445</v>
      </c>
      <c r="O50" s="13" t="n">
        <f aca="false">E50*100/D50</f>
        <v>365.762885154062</v>
      </c>
      <c r="P50" s="13" t="n">
        <f aca="false">I50*100/H50</f>
        <v>955.366666666667</v>
      </c>
    </row>
    <row r="51" customFormat="false" ht="15" hidden="false" customHeight="false" outlineLevel="0" collapsed="false">
      <c r="A51" s="9" t="n">
        <v>6</v>
      </c>
      <c r="B51" s="9" t="s">
        <v>98</v>
      </c>
      <c r="D51" s="10" t="n">
        <v>7461791</v>
      </c>
      <c r="E51" s="11" t="n">
        <v>67042.37</v>
      </c>
      <c r="F51" s="10" t="n">
        <v>239858</v>
      </c>
      <c r="G51" s="11" t="n">
        <v>2013.9</v>
      </c>
      <c r="H51" s="10" t="n">
        <v>501074</v>
      </c>
      <c r="I51" s="11" t="n">
        <v>1437.24</v>
      </c>
      <c r="J51" s="12" t="n">
        <f aca="false">G51/E51</f>
        <v>0.030039212515906</v>
      </c>
      <c r="K51" s="12" t="n">
        <f aca="false">I51/E51</f>
        <v>0.02143778628351</v>
      </c>
      <c r="L51" s="12" t="n">
        <f aca="false">(G51+I51)/E51</f>
        <v>0.051476998799416</v>
      </c>
      <c r="M51" s="12" t="n">
        <f aca="false">F51/D51</f>
        <v>0.0321448295724177</v>
      </c>
      <c r="N51" s="12" t="n">
        <f aca="false">H51/D51</f>
        <v>0.0671519746398686</v>
      </c>
      <c r="O51" s="13" t="n">
        <f aca="false">E51*100/D51</f>
        <v>0.898475580460509</v>
      </c>
      <c r="P51" s="13" t="n">
        <f aca="false">I51*100/H51</f>
        <v>0.286831885110782</v>
      </c>
    </row>
    <row r="52" customFormat="false" ht="15" hidden="false" customHeight="false" outlineLevel="0" collapsed="false">
      <c r="A52" s="9" t="n">
        <v>7</v>
      </c>
      <c r="B52" s="9" t="s">
        <v>99</v>
      </c>
      <c r="D52" s="17" t="n">
        <f aca="false">D46-D50</f>
        <v>0</v>
      </c>
      <c r="E52" s="18" t="n">
        <f aca="false">E46-E50</f>
        <v>0</v>
      </c>
      <c r="F52" s="17" t="n">
        <f aca="false">F46-F50</f>
        <v>0</v>
      </c>
      <c r="G52" s="18" t="n">
        <f aca="false">G46-G50</f>
        <v>0</v>
      </c>
      <c r="H52" s="17" t="n">
        <f aca="false">H46-H50</f>
        <v>0</v>
      </c>
      <c r="I52" s="18" t="n">
        <f aca="false">I46-I50</f>
        <v>0</v>
      </c>
    </row>
    <row r="53" customFormat="false" ht="15" hidden="false" customHeight="false" outlineLevel="0" collapsed="false">
      <c r="A53" s="9" t="n">
        <v>8</v>
      </c>
      <c r="B53" s="9" t="s">
        <v>100</v>
      </c>
      <c r="D53" s="17" t="n">
        <f aca="false">D47-D51</f>
        <v>0</v>
      </c>
      <c r="E53" s="18" t="n">
        <f aca="false">E47-E51</f>
        <v>-0.0199999999895226</v>
      </c>
      <c r="F53" s="17" t="n">
        <f aca="false">F47-F51</f>
        <v>0</v>
      </c>
      <c r="G53" s="18" t="n">
        <f aca="false">G47-G51</f>
        <v>-0.0200000000002092</v>
      </c>
      <c r="H53" s="17" t="n">
        <f aca="false">H47-H51</f>
        <v>0</v>
      </c>
      <c r="I53" s="18" t="n">
        <f aca="false">I47-I51</f>
        <v>0.00999999999999091</v>
      </c>
    </row>
    <row r="54" customFormat="false" ht="15" hidden="false" customHeight="false" outlineLevel="0" collapsed="false">
      <c r="A54" s="9" t="n">
        <v>9</v>
      </c>
      <c r="B54" s="9" t="s">
        <v>101</v>
      </c>
      <c r="D54" s="17" t="n">
        <f aca="false">D50+D51-D49</f>
        <v>0</v>
      </c>
      <c r="E54" s="18" t="n">
        <f aca="false">E50+E51-E49</f>
        <v>-0.0100000000093132</v>
      </c>
      <c r="F54" s="17" t="n">
        <f aca="false">F50+F51-F49</f>
        <v>0</v>
      </c>
      <c r="G54" s="18" t="n">
        <f aca="false">G50+G51-G49</f>
        <v>0.0100000000002183</v>
      </c>
      <c r="H54" s="17" t="n">
        <f aca="false">H50+H51-H49</f>
        <v>0</v>
      </c>
      <c r="I54" s="18" t="n">
        <f aca="false">I50+I51-I49</f>
        <v>0.00999999999999091</v>
      </c>
    </row>
    <row r="56" customFormat="false" ht="15" hidden="false" customHeight="false" outlineLevel="0" collapsed="false">
      <c r="A56" s="4" t="s">
        <v>102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Format="false" ht="23.85" hidden="false" customHeight="false" outlineLevel="0" collapsed="false">
      <c r="A57" s="8" t="s">
        <v>33</v>
      </c>
      <c r="B57" s="8" t="s">
        <v>103</v>
      </c>
      <c r="C57" s="8" t="s">
        <v>104</v>
      </c>
      <c r="D57" s="8" t="s">
        <v>37</v>
      </c>
      <c r="E57" s="8" t="s">
        <v>39</v>
      </c>
      <c r="F57" s="8" t="s">
        <v>41</v>
      </c>
      <c r="G57" s="8" t="s">
        <v>43</v>
      </c>
      <c r="H57" s="8" t="s">
        <v>44</v>
      </c>
      <c r="I57" s="8" t="s">
        <v>49</v>
      </c>
      <c r="J57" s="8" t="s">
        <v>50</v>
      </c>
    </row>
    <row r="58" customFormat="false" ht="19.4" hidden="false" customHeight="false" outlineLevel="0" collapsed="false">
      <c r="A58" s="9" t="n">
        <v>1</v>
      </c>
      <c r="B58" s="16" t="s">
        <v>105</v>
      </c>
      <c r="C58" s="19" t="s">
        <v>106</v>
      </c>
      <c r="D58" s="18" t="n">
        <f aca="false">N(E34)+N(E35)+N(E26)+N(E36)</f>
        <v>27928.41</v>
      </c>
      <c r="E58" s="18" t="n">
        <f aca="false">N(G34)+N(G35)+N(G26)+N(G36)</f>
        <v>953.94</v>
      </c>
      <c r="F58" s="18" t="n">
        <f aca="false">N(I34)+N(I35)+N(I26)+N(I36)</f>
        <v>824.49</v>
      </c>
      <c r="G58" s="12" t="n">
        <f aca="false">F58/D58</f>
        <v>0.0295215517102477</v>
      </c>
      <c r="H58" s="12" t="n">
        <f aca="false">(E58+F58)/D58</f>
        <v>0.0636781685745805</v>
      </c>
      <c r="I58" s="14" t="n">
        <f aca="false">D58/$E$49</f>
        <v>0.234154712889689</v>
      </c>
      <c r="J58" s="14" t="n">
        <f aca="false">F58/$I$49</f>
        <v>0.478286847967329</v>
      </c>
    </row>
    <row r="59" customFormat="false" ht="55.2" hidden="false" customHeight="false" outlineLevel="0" collapsed="false">
      <c r="A59" s="9" t="n">
        <v>2</v>
      </c>
      <c r="B59" s="16" t="s">
        <v>107</v>
      </c>
      <c r="C59" s="19" t="s">
        <v>108</v>
      </c>
      <c r="D59" s="18" t="n">
        <f aca="false">N(E18)+N(E19)+N(E20)+N(E21)+N(E22)+N(E23)+N(E24)+N(E25)+N(E27)+N(E28)+N(E30)+N(E31)+N(E38)+N(E42)+N(E32)</f>
        <v>31780.98</v>
      </c>
      <c r="E59" s="18" t="n">
        <f aca="false">N(G18)+N(G19)+N(G20)+N(G21)+N(G22)+N(G23)+N(G24)+N(G25)+N(G27)+N(G28)+N(G30)+N(G31)+N(G38)+N(G42)+N(G32)</f>
        <v>968.47</v>
      </c>
      <c r="F59" s="18" t="n">
        <f aca="false">N(I18)+N(I19)+N(I20)+N(I21)+N(I22)+N(I23)+N(I24)+N(I25)+N(I27)+N(I28)+N(I30)+N(I31)+N(I38)+N(I42)+N(I32)</f>
        <v>377.26</v>
      </c>
      <c r="G59" s="12" t="n">
        <f aca="false">F59/D59</f>
        <v>0.0118706219883717</v>
      </c>
      <c r="H59" s="12" t="n">
        <f aca="false">(E59+F59)/D59</f>
        <v>0.0423438798929423</v>
      </c>
      <c r="I59" s="14" t="n">
        <f aca="false">D59/$E$49</f>
        <v>0.266455063043437</v>
      </c>
      <c r="J59" s="14" t="n">
        <f aca="false">F59/$I$49</f>
        <v>0.218848617041025</v>
      </c>
    </row>
    <row r="60" customFormat="false" ht="19.4" hidden="false" customHeight="false" outlineLevel="0" collapsed="false">
      <c r="A60" s="9" t="n">
        <v>3</v>
      </c>
      <c r="B60" s="16" t="s">
        <v>109</v>
      </c>
      <c r="C60" s="19" t="s">
        <v>110</v>
      </c>
      <c r="D60" s="18" t="n">
        <f aca="false">N(E20)+N(E21)+N(E24)+N(E25)+N(E28)</f>
        <v>7458.42</v>
      </c>
      <c r="E60" s="18" t="n">
        <f aca="false">N(G20)+N(G21)+N(G24)+N(G25)+N(G28)</f>
        <v>287.13</v>
      </c>
      <c r="F60" s="18" t="n">
        <f aca="false">N(I20)+N(I21)+N(I24)+N(I25)+N(I28)</f>
        <v>123.52</v>
      </c>
      <c r="G60" s="12" t="n">
        <f aca="false">F60/D60</f>
        <v>0.0165611483397288</v>
      </c>
      <c r="H60" s="12" t="n">
        <f aca="false">(E60+F60)/D60</f>
        <v>0.0550585780902658</v>
      </c>
      <c r="I60" s="14" t="n">
        <f aca="false">D60/$E$49</f>
        <v>0.0625321740016963</v>
      </c>
      <c r="J60" s="14" t="n">
        <f aca="false">F60/$I$49</f>
        <v>0.0716539818080564</v>
      </c>
    </row>
    <row r="61" customFormat="false" ht="19.4" hidden="false" customHeight="false" outlineLevel="0" collapsed="false">
      <c r="A61" s="9" t="n">
        <v>4</v>
      </c>
      <c r="B61" s="16" t="s">
        <v>111</v>
      </c>
      <c r="C61" s="19" t="s">
        <v>112</v>
      </c>
      <c r="D61" s="18" t="n">
        <f aca="false">N(E18)+N(E19)+N(E20)+N(E21)</f>
        <v>9073.21</v>
      </c>
      <c r="E61" s="18" t="n">
        <f aca="false">N(G18)+N(G19)+N(G20)+N(G21)</f>
        <v>248.94</v>
      </c>
      <c r="F61" s="18" t="n">
        <f aca="false">N(I18)+N(I19)+N(I20)+N(I21)</f>
        <v>109.15</v>
      </c>
      <c r="G61" s="12" t="n">
        <f aca="false">F61/D61</f>
        <v>0.0120299210532987</v>
      </c>
      <c r="H61" s="12" t="n">
        <f aca="false">(E61+F61)/D61</f>
        <v>0.0394667377918069</v>
      </c>
      <c r="I61" s="14" t="n">
        <f aca="false">D61/$E$49</f>
        <v>0.0760707423923473</v>
      </c>
      <c r="J61" s="14" t="n">
        <f aca="false">F61/$I$49</f>
        <v>0.0633179413402636</v>
      </c>
    </row>
    <row r="62" customFormat="false" ht="19.4" hidden="false" customHeight="false" outlineLevel="0" collapsed="false">
      <c r="A62" s="9" t="n">
        <v>5</v>
      </c>
      <c r="B62" s="16" t="s">
        <v>113</v>
      </c>
      <c r="C62" s="19" t="s">
        <v>114</v>
      </c>
      <c r="D62" s="18" t="n">
        <f aca="false">N(E22)+N(E23)+N(E24)+N(E25)</f>
        <v>13992.37</v>
      </c>
      <c r="E62" s="18" t="n">
        <f aca="false">N(G22)+N(G23)+N(G24)+N(G25)</f>
        <v>365.18</v>
      </c>
      <c r="F62" s="18" t="n">
        <f aca="false">N(I22)+N(I23)+N(I24)+N(I25)</f>
        <v>152.37</v>
      </c>
      <c r="G62" s="12" t="n">
        <f aca="false">F62/D62</f>
        <v>0.0108895062094556</v>
      </c>
      <c r="H62" s="12" t="n">
        <f aca="false">(E62+F62)/D62</f>
        <v>0.0369880156113653</v>
      </c>
      <c r="I62" s="14" t="n">
        <f aca="false">D62/$E$49</f>
        <v>0.11731349475306</v>
      </c>
      <c r="J62" s="14" t="n">
        <f aca="false">F62/$I$49</f>
        <v>0.0883898737701875</v>
      </c>
    </row>
    <row r="63" customFormat="false" ht="15" hidden="false" customHeight="false" outlineLevel="0" collapsed="false">
      <c r="A63" s="9" t="n">
        <v>6</v>
      </c>
      <c r="B63" s="16" t="s">
        <v>115</v>
      </c>
      <c r="C63" s="19" t="s">
        <v>116</v>
      </c>
      <c r="D63" s="18" t="n">
        <f aca="false">N(E27)+N(E28)</f>
        <v>4249.3</v>
      </c>
      <c r="E63" s="18" t="n">
        <f aca="false">N(G27)+N(G28)</f>
        <v>267.44</v>
      </c>
      <c r="F63" s="18" t="n">
        <f aca="false">N(I27)+N(I28)</f>
        <v>22.03</v>
      </c>
      <c r="G63" s="12" t="n">
        <f aca="false">F63/D63</f>
        <v>0.00518438331019227</v>
      </c>
      <c r="H63" s="12" t="n">
        <f aca="false">(E63+F63)/D63</f>
        <v>0.0681218082978373</v>
      </c>
      <c r="I63" s="14" t="n">
        <f aca="false">D63/$E$49</f>
        <v>0.0356265760020766</v>
      </c>
      <c r="J63" s="14" t="n">
        <f aca="false">F63/$I$49</f>
        <v>0.0127796083163171</v>
      </c>
    </row>
    <row r="64" customFormat="false" ht="15" hidden="false" customHeight="false" outlineLevel="0" collapsed="false">
      <c r="A64" s="9" t="n">
        <v>7</v>
      </c>
      <c r="B64" s="16" t="s">
        <v>117</v>
      </c>
      <c r="C64" s="19" t="s">
        <v>118</v>
      </c>
      <c r="D64" s="18" t="n">
        <f aca="false">N(E36)+N(E37)+N(E39)</f>
        <v>4867.32</v>
      </c>
      <c r="E64" s="18" t="n">
        <f aca="false">N(G36)+N(G37)+N(G39)</f>
        <v>93.53</v>
      </c>
      <c r="F64" s="18" t="n">
        <f aca="false">N(I36)+N(I37)+N(I39)</f>
        <v>260.04</v>
      </c>
      <c r="G64" s="12" t="n">
        <f aca="false">F64/D64</f>
        <v>0.0534257044944651</v>
      </c>
      <c r="H64" s="12" t="n">
        <f aca="false">(E64+F64)/D64</f>
        <v>0.0726416179745733</v>
      </c>
      <c r="I64" s="14" t="n">
        <f aca="false">D64/$E$49</f>
        <v>0.0408081203742798</v>
      </c>
      <c r="J64" s="14" t="n">
        <f aca="false">F64/$I$49</f>
        <v>0.150849266753295</v>
      </c>
    </row>
    <row r="66" customFormat="false" ht="15" hidden="false" customHeight="false" outlineLevel="0" collapsed="false">
      <c r="B66" s="9" t="s">
        <v>119</v>
      </c>
      <c r="D66" s="11" t="n">
        <v>51950</v>
      </c>
      <c r="E66" s="11" t="n">
        <v>65077</v>
      </c>
      <c r="F66" s="11" t="n">
        <v>117027</v>
      </c>
    </row>
    <row r="67" customFormat="false" ht="15" hidden="false" customHeight="false" outlineLevel="0" collapsed="false">
      <c r="B67" s="9" t="s">
        <v>120</v>
      </c>
      <c r="D67" s="18" t="n">
        <f aca="false">E50-D66</f>
        <v>280.940000000002</v>
      </c>
      <c r="E67" s="18" t="n">
        <f aca="false">E51-E66</f>
        <v>1965.37</v>
      </c>
      <c r="F67" s="18" t="n">
        <f aca="false">E49-F66</f>
        <v>2246.32000000001</v>
      </c>
    </row>
    <row r="68" customFormat="false" ht="15" hidden="false" customHeight="false" outlineLevel="0" collapsed="false">
      <c r="B68" s="9" t="s">
        <v>121</v>
      </c>
      <c r="D68" s="12" t="n">
        <f aca="false">D67/E50</f>
        <v>0.00537880421068436</v>
      </c>
      <c r="E68" s="12" t="n">
        <f aca="false">E67/E51</f>
        <v>0.0293153419248155</v>
      </c>
      <c r="F68" s="12" t="n">
        <f aca="false">F67/E49</f>
        <v>0.0188333820170345</v>
      </c>
    </row>
    <row r="71" customFormat="false" ht="15" hidden="false" customHeight="false" outlineLevel="0" collapsed="false">
      <c r="A71" s="4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customFormat="false" ht="23.85" hidden="false" customHeight="false" outlineLevel="0" collapsed="false">
      <c r="A72" s="8" t="s">
        <v>33</v>
      </c>
      <c r="B72" s="8" t="s">
        <v>123</v>
      </c>
      <c r="C72" s="8" t="s">
        <v>124</v>
      </c>
      <c r="D72" s="8" t="s">
        <v>125</v>
      </c>
      <c r="E72" s="8" t="s">
        <v>126</v>
      </c>
    </row>
    <row r="73" customFormat="false" ht="79.85" hidden="false" customHeight="false" outlineLevel="0" collapsed="false">
      <c r="A73" s="9" t="n">
        <v>1</v>
      </c>
      <c r="B73" s="20" t="s">
        <v>127</v>
      </c>
      <c r="C73" s="18" t="n">
        <f aca="false">E53</f>
        <v>-0.0199999999895226</v>
      </c>
      <c r="D73" s="9" t="s">
        <v>128</v>
      </c>
      <c r="E73" s="21" t="s">
        <v>129</v>
      </c>
    </row>
    <row r="74" customFormat="false" ht="102.2" hidden="false" customHeight="false" outlineLevel="0" collapsed="false">
      <c r="A74" s="9" t="n">
        <v>2</v>
      </c>
      <c r="B74" s="20" t="s">
        <v>130</v>
      </c>
      <c r="C74" s="14" t="n">
        <f aca="false">R34</f>
        <v>0.305318359012437</v>
      </c>
      <c r="D74" s="9" t="s">
        <v>131</v>
      </c>
      <c r="E74" s="21" t="s">
        <v>132</v>
      </c>
    </row>
    <row r="75" customFormat="false" ht="68.65" hidden="false" customHeight="false" outlineLevel="0" collapsed="false">
      <c r="A75" s="9" t="n">
        <v>3</v>
      </c>
      <c r="B75" s="20" t="s">
        <v>133</v>
      </c>
      <c r="C75" s="14" t="n">
        <f aca="false">I10/I50</f>
        <v>0.894630333903213</v>
      </c>
      <c r="D75" s="9" t="s">
        <v>131</v>
      </c>
      <c r="E75" s="21" t="s">
        <v>134</v>
      </c>
    </row>
    <row r="76" customFormat="false" ht="46.25" hidden="false" customHeight="false" outlineLevel="0" collapsed="false">
      <c r="A76" s="9" t="n">
        <v>4</v>
      </c>
      <c r="B76" s="20" t="s">
        <v>135</v>
      </c>
      <c r="C76" s="12" t="n">
        <f aca="false">N36</f>
        <v>0.79344262295082</v>
      </c>
      <c r="D76" s="9" t="s">
        <v>131</v>
      </c>
      <c r="E76" s="21" t="s">
        <v>136</v>
      </c>
    </row>
    <row r="77" customFormat="false" ht="57.45" hidden="false" customHeight="false" outlineLevel="0" collapsed="false">
      <c r="A77" s="9" t="n">
        <v>5</v>
      </c>
      <c r="B77" s="20" t="s">
        <v>137</v>
      </c>
      <c r="C77" s="18" t="n">
        <f aca="false">E40</f>
        <v>985.72</v>
      </c>
      <c r="D77" s="9" t="s">
        <v>128</v>
      </c>
      <c r="E77" s="21" t="s">
        <v>138</v>
      </c>
    </row>
    <row r="78" customFormat="false" ht="57.45" hidden="false" customHeight="false" outlineLevel="0" collapsed="false">
      <c r="A78" s="9" t="n">
        <v>6</v>
      </c>
      <c r="B78" s="20" t="s">
        <v>139</v>
      </c>
      <c r="C78" s="18" t="n">
        <f aca="false">F67</f>
        <v>2246.32000000001</v>
      </c>
      <c r="D78" s="9" t="s">
        <v>128</v>
      </c>
      <c r="E78" s="21" t="s">
        <v>140</v>
      </c>
    </row>
    <row r="79" customFormat="false" ht="23.85" hidden="false" customHeight="false" outlineLevel="0" collapsed="false">
      <c r="A79" s="9" t="n">
        <v>7</v>
      </c>
      <c r="B79" s="20" t="s">
        <v>141</v>
      </c>
      <c r="C79" s="18" t="n">
        <f aca="false">ABS(D54)+ABS(E54)+ABS(F54)+ABS(G54)+ABS(H54)+ABS(I54)</f>
        <v>0.0300000000095224</v>
      </c>
      <c r="D79" s="9" t="s">
        <v>128</v>
      </c>
      <c r="E79" s="21" t="s">
        <v>142</v>
      </c>
    </row>
    <row r="81" customFormat="false" ht="15" hidden="false" customHeight="false" outlineLevel="0" collapsed="false">
      <c r="A81" s="4" t="s">
        <v>143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3" customFormat="false" ht="15" hidden="false" customHeight="false" outlineLevel="0" collapsed="false">
      <c r="A83" s="4" t="s">
        <v>144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customFormat="false" ht="23.85" hidden="false" customHeight="false" outlineLevel="0" collapsed="false">
      <c r="A84" s="8" t="s">
        <v>33</v>
      </c>
      <c r="B84" s="8" t="s">
        <v>92</v>
      </c>
      <c r="C84" s="8" t="s">
        <v>145</v>
      </c>
      <c r="D84" s="8" t="s">
        <v>146</v>
      </c>
      <c r="E84" s="8" t="s">
        <v>147</v>
      </c>
      <c r="F84" s="8" t="s">
        <v>125</v>
      </c>
      <c r="G84" s="8" t="s">
        <v>148</v>
      </c>
    </row>
    <row r="85" customFormat="false" ht="15" hidden="false" customHeight="false" outlineLevel="0" collapsed="false">
      <c r="A85" s="9" t="n">
        <v>1</v>
      </c>
      <c r="B85" s="16" t="s">
        <v>149</v>
      </c>
      <c r="C85" s="21" t="s">
        <v>150</v>
      </c>
      <c r="D85" s="21" t="s">
        <v>151</v>
      </c>
      <c r="E85" s="18" t="n">
        <f aca="false">E49</f>
        <v>119273.32</v>
      </c>
      <c r="F85" s="9" t="s">
        <v>128</v>
      </c>
      <c r="G85" s="21"/>
    </row>
    <row r="86" customFormat="false" ht="15" hidden="false" customHeight="false" outlineLevel="0" collapsed="false">
      <c r="A86" s="9" t="n">
        <v>2</v>
      </c>
      <c r="B86" s="16" t="s">
        <v>149</v>
      </c>
      <c r="C86" s="21" t="s">
        <v>152</v>
      </c>
      <c r="D86" s="21" t="s">
        <v>151</v>
      </c>
      <c r="E86" s="18" t="n">
        <f aca="false">I35</f>
        <v>271.88</v>
      </c>
      <c r="F86" s="9" t="s">
        <v>128</v>
      </c>
      <c r="G86" s="21"/>
    </row>
    <row r="87" customFormat="false" ht="23.85" hidden="false" customHeight="false" outlineLevel="0" collapsed="false">
      <c r="A87" s="9" t="n">
        <v>3</v>
      </c>
      <c r="B87" s="16" t="s">
        <v>149</v>
      </c>
      <c r="C87" s="21" t="s">
        <v>153</v>
      </c>
      <c r="D87" s="21" t="s">
        <v>151</v>
      </c>
      <c r="E87" s="17" t="n">
        <f aca="false">F34</f>
        <v>171499</v>
      </c>
      <c r="F87" s="9" t="s">
        <v>154</v>
      </c>
      <c r="G87" s="21"/>
    </row>
    <row r="88" customFormat="false" ht="23.85" hidden="false" customHeight="false" outlineLevel="0" collapsed="false">
      <c r="A88" s="9" t="n">
        <v>4</v>
      </c>
      <c r="B88" s="16" t="s">
        <v>155</v>
      </c>
      <c r="C88" s="21" t="s">
        <v>156</v>
      </c>
      <c r="D88" s="21" t="s">
        <v>157</v>
      </c>
      <c r="E88" s="12" t="n">
        <f aca="false">K49</f>
        <v>0.0144528550056291</v>
      </c>
      <c r="F88" s="9" t="s">
        <v>131</v>
      </c>
      <c r="G88" s="21"/>
    </row>
    <row r="89" customFormat="false" ht="23.85" hidden="false" customHeight="false" outlineLevel="0" collapsed="false">
      <c r="A89" s="9" t="n">
        <v>5</v>
      </c>
      <c r="B89" s="16" t="s">
        <v>155</v>
      </c>
      <c r="C89" s="21" t="s">
        <v>158</v>
      </c>
      <c r="D89" s="21" t="s">
        <v>159</v>
      </c>
      <c r="E89" s="12" t="n">
        <f aca="false">L51</f>
        <v>0.051476998799416</v>
      </c>
      <c r="F89" s="9" t="s">
        <v>131</v>
      </c>
      <c r="G89" s="21"/>
    </row>
    <row r="90" customFormat="false" ht="23.85" hidden="false" customHeight="false" outlineLevel="0" collapsed="false">
      <c r="A90" s="9" t="n">
        <v>6</v>
      </c>
      <c r="B90" s="16" t="s">
        <v>155</v>
      </c>
      <c r="C90" s="21" t="s">
        <v>160</v>
      </c>
      <c r="D90" s="21" t="s">
        <v>161</v>
      </c>
      <c r="E90" s="12" t="n">
        <f aca="false">G58</f>
        <v>0.0295215517102477</v>
      </c>
      <c r="F90" s="9" t="s">
        <v>131</v>
      </c>
      <c r="G90" s="21"/>
    </row>
    <row r="91" customFormat="false" ht="35.05" hidden="false" customHeight="false" outlineLevel="0" collapsed="false">
      <c r="A91" s="9" t="n">
        <v>7</v>
      </c>
      <c r="B91" s="16" t="s">
        <v>155</v>
      </c>
      <c r="C91" s="21" t="s">
        <v>162</v>
      </c>
      <c r="D91" s="21" t="s">
        <v>163</v>
      </c>
      <c r="E91" s="13" t="n">
        <f aca="false">P10</f>
        <v>2849</v>
      </c>
      <c r="F91" s="9" t="s">
        <v>164</v>
      </c>
      <c r="G91" s="21"/>
    </row>
    <row r="92" customFormat="false" ht="102.2" hidden="false" customHeight="false" outlineLevel="0" collapsed="false">
      <c r="A92" s="9" t="n">
        <v>8</v>
      </c>
      <c r="B92" s="16" t="s">
        <v>165</v>
      </c>
      <c r="C92" s="21" t="s">
        <v>166</v>
      </c>
      <c r="D92" s="21" t="s">
        <v>167</v>
      </c>
      <c r="E92" s="22" t="n">
        <f aca="false">(N35-K35)*100</f>
        <v>8.21944988445383</v>
      </c>
      <c r="F92" s="9" t="s">
        <v>168</v>
      </c>
      <c r="G92" s="21" t="s">
        <v>169</v>
      </c>
    </row>
    <row r="93" customFormat="false" ht="57.45" hidden="false" customHeight="false" outlineLevel="0" collapsed="false">
      <c r="A93" s="9" t="n">
        <v>9</v>
      </c>
      <c r="B93" s="16" t="s">
        <v>165</v>
      </c>
      <c r="C93" s="21" t="s">
        <v>170</v>
      </c>
      <c r="D93" s="21" t="s">
        <v>171</v>
      </c>
      <c r="E93" s="14" t="n">
        <f aca="false">J58</f>
        <v>0.478286847967329</v>
      </c>
      <c r="F93" s="9" t="s">
        <v>131</v>
      </c>
      <c r="G93" s="21" t="s">
        <v>172</v>
      </c>
    </row>
    <row r="94" customFormat="false" ht="57.45" hidden="false" customHeight="false" outlineLevel="0" collapsed="false">
      <c r="A94" s="9" t="n">
        <v>10</v>
      </c>
      <c r="B94" s="16" t="s">
        <v>165</v>
      </c>
      <c r="C94" s="21" t="s">
        <v>173</v>
      </c>
      <c r="D94" s="21" t="s">
        <v>174</v>
      </c>
      <c r="E94" s="18" t="n">
        <f aca="false">ABS(E53)+ABS(F53)</f>
        <v>0.0199999999895226</v>
      </c>
      <c r="F94" s="9" t="s">
        <v>128</v>
      </c>
      <c r="G94" s="21" t="s">
        <v>175</v>
      </c>
    </row>
    <row r="96" customFormat="false" ht="15" hidden="false" customHeight="false" outlineLevel="0" collapsed="false">
      <c r="A96" s="4" t="s">
        <v>176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customFormat="false" ht="69.75" hidden="false" customHeight="true" outlineLevel="0" collapsed="false">
      <c r="A97" s="23" t="s">
        <v>177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</row>
    <row r="99" customFormat="false" ht="15" hidden="false" customHeight="false" outlineLevel="0" collapsed="false">
      <c r="A99" s="3" t="s">
        <v>2</v>
      </c>
    </row>
  </sheetData>
  <mergeCells count="1">
    <mergeCell ref="A97:X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180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4" t="s">
        <v>181</v>
      </c>
      <c r="C6" s="24" t="s">
        <v>182</v>
      </c>
      <c r="D6" s="24"/>
      <c r="E6" s="24"/>
      <c r="F6" s="24"/>
    </row>
    <row r="7" customFormat="false" ht="15" hidden="false" customHeight="true" outlineLevel="0" collapsed="false">
      <c r="B7" s="16" t="s">
        <v>183</v>
      </c>
      <c r="C7" s="21" t="s">
        <v>184</v>
      </c>
      <c r="D7" s="21"/>
      <c r="E7" s="21"/>
      <c r="F7" s="21"/>
    </row>
    <row r="8" customFormat="false" ht="15" hidden="false" customHeight="true" outlineLevel="0" collapsed="false">
      <c r="B8" s="16" t="s">
        <v>185</v>
      </c>
      <c r="C8" s="21" t="s">
        <v>186</v>
      </c>
      <c r="D8" s="21"/>
      <c r="E8" s="21"/>
      <c r="F8" s="21"/>
    </row>
    <row r="9" customFormat="false" ht="15" hidden="false" customHeight="true" outlineLevel="0" collapsed="false">
      <c r="B9" s="16" t="s">
        <v>187</v>
      </c>
      <c r="C9" s="21" t="s">
        <v>188</v>
      </c>
      <c r="D9" s="21"/>
      <c r="E9" s="21"/>
      <c r="F9" s="21"/>
    </row>
    <row r="10" customFormat="false" ht="15" hidden="false" customHeight="true" outlineLevel="0" collapsed="false">
      <c r="B10" s="16" t="s">
        <v>189</v>
      </c>
      <c r="C10" s="21" t="s">
        <v>190</v>
      </c>
      <c r="D10" s="21"/>
      <c r="E10" s="21"/>
      <c r="F10" s="21"/>
    </row>
    <row r="11" customFormat="false" ht="15" hidden="false" customHeight="true" outlineLevel="0" collapsed="false">
      <c r="B11" s="16" t="s">
        <v>191</v>
      </c>
      <c r="C11" s="21" t="s">
        <v>159</v>
      </c>
      <c r="D11" s="21"/>
      <c r="E11" s="21"/>
      <c r="F11" s="21"/>
    </row>
    <row r="12" customFormat="false" ht="15" hidden="false" customHeight="true" outlineLevel="0" collapsed="false">
      <c r="B12" s="16" t="s">
        <v>192</v>
      </c>
      <c r="C12" s="21" t="s">
        <v>193</v>
      </c>
      <c r="D12" s="21"/>
      <c r="E12" s="21"/>
      <c r="F12" s="21"/>
    </row>
    <row r="13" customFormat="false" ht="15" hidden="false" customHeight="true" outlineLevel="0" collapsed="false">
      <c r="B13" s="16" t="s">
        <v>194</v>
      </c>
      <c r="C13" s="21" t="s">
        <v>195</v>
      </c>
      <c r="D13" s="21"/>
      <c r="E13" s="21"/>
      <c r="F13" s="21"/>
    </row>
    <row r="14" customFormat="false" ht="15" hidden="false" customHeight="true" outlineLevel="0" collapsed="false">
      <c r="B14" s="16" t="s">
        <v>196</v>
      </c>
      <c r="C14" s="21" t="s">
        <v>197</v>
      </c>
      <c r="D14" s="21"/>
      <c r="E14" s="21"/>
      <c r="F14" s="21"/>
    </row>
    <row r="15" customFormat="false" ht="15" hidden="false" customHeight="true" outlineLevel="0" collapsed="false">
      <c r="B15" s="16" t="s">
        <v>198</v>
      </c>
      <c r="C15" s="21" t="s">
        <v>199</v>
      </c>
      <c r="D15" s="21"/>
      <c r="E15" s="21"/>
      <c r="F15" s="21"/>
    </row>
    <row r="16" customFormat="false" ht="15" hidden="false" customHeight="true" outlineLevel="0" collapsed="false">
      <c r="B16" s="16" t="s">
        <v>200</v>
      </c>
      <c r="C16" s="21" t="s">
        <v>201</v>
      </c>
      <c r="D16" s="21"/>
      <c r="E16" s="21"/>
      <c r="F16" s="21"/>
    </row>
    <row r="17" customFormat="false" ht="15" hidden="false" customHeight="true" outlineLevel="0" collapsed="false">
      <c r="B17" s="16" t="s">
        <v>202</v>
      </c>
      <c r="C17" s="21" t="s">
        <v>203</v>
      </c>
      <c r="D17" s="21"/>
      <c r="E17" s="21"/>
      <c r="F17" s="21"/>
    </row>
    <row r="18" customFormat="false" ht="15" hidden="false" customHeight="false" outlineLevel="0" collapsed="false">
      <c r="B18" s="25" t="s">
        <v>204</v>
      </c>
    </row>
    <row r="20" customFormat="false" ht="15" hidden="false" customHeight="false" outlineLevel="0" collapsed="false">
      <c r="A20" s="4" t="s">
        <v>205</v>
      </c>
      <c r="B20" s="5"/>
      <c r="C20" s="5"/>
      <c r="D20" s="5"/>
      <c r="E20" s="5"/>
      <c r="F20" s="5"/>
    </row>
    <row r="21" customFormat="false" ht="15" hidden="false" customHeight="false" outlineLevel="0" collapsed="false">
      <c r="A21" s="8" t="s">
        <v>33</v>
      </c>
      <c r="B21" s="8" t="s">
        <v>206</v>
      </c>
      <c r="C21" s="8" t="s">
        <v>207</v>
      </c>
      <c r="D21" s="8" t="s">
        <v>208</v>
      </c>
      <c r="E21" s="8" t="s">
        <v>209</v>
      </c>
      <c r="F21" s="8" t="s">
        <v>210</v>
      </c>
    </row>
    <row r="22" customFormat="false" ht="15" hidden="false" customHeight="false" outlineLevel="0" collapsed="false">
      <c r="A22" s="9" t="n">
        <v>1</v>
      </c>
      <c r="B22" s="21" t="s">
        <v>211</v>
      </c>
      <c r="C22" s="21" t="s">
        <v>212</v>
      </c>
      <c r="D22" s="21" t="s">
        <v>213</v>
      </c>
      <c r="E22" s="21" t="s">
        <v>214</v>
      </c>
      <c r="F22" s="26" t="str">
        <f aca="false">"Credit Card "&amp;TEXT(B1_Credit_Portfolio!E34,"#,##0.00;-#,##0.00;0.00")&amp;" / "&amp;TEXT(B1_Credit_Portfolio!G34,"#,##0.00;-#,##0.00;0.00")&amp;" / "&amp;TEXT(B1_Credit_Portfolio!I34,"#,##0.00;-#,##0.00;0.00")&amp;" ₹ Cr; accounts "&amp;TEXT(B1_Credit_Portfolio!D34,"#,##0")&amp;" / "&amp;TEXT(B1_Credit_Portfolio!F34,"#,##0")&amp;" / "&amp;TEXT(B1_Credit_Portfolio!H34,"#,##0")</f>
        <v>Credit Card 19,324.58 / 833.42 / 526.32 ₹ Cr; accounts 4,304,393 / 171,499 / 175,978</v>
      </c>
    </row>
    <row r="23" customFormat="false" ht="15" hidden="false" customHeight="false" outlineLevel="0" collapsed="false">
      <c r="A23" s="9" t="n">
        <v>2</v>
      </c>
      <c r="B23" s="21" t="s">
        <v>211</v>
      </c>
      <c r="C23" s="21" t="s">
        <v>215</v>
      </c>
      <c r="D23" s="21" t="s">
        <v>216</v>
      </c>
      <c r="E23" s="21" t="s">
        <v>217</v>
      </c>
      <c r="F23" s="26" t="str">
        <f aca="false">"B OS "&amp;TEXT(B1_Credit_Portfolio!E49,"#,##0.00;-#,##0.00;0.00")&amp;"; SMA "&amp;TEXT(B1_Credit_Portfolio!G49,"#,##0.00;-#,##0.00;0.00")&amp;"; NPA "&amp;TEXT(B1_Credit_Portfolio!I49,"#,##0.00;-#,##0.00;0.00")</f>
        <v>B OS 119,273.32; SMA 2,321.39; NPA 1,723.84</v>
      </c>
    </row>
    <row r="24" customFormat="false" ht="15" hidden="false" customHeight="false" outlineLevel="0" collapsed="false">
      <c r="A24" s="9" t="n">
        <v>3</v>
      </c>
      <c r="B24" s="21" t="s">
        <v>218</v>
      </c>
      <c r="C24" s="21" t="s">
        <v>219</v>
      </c>
      <c r="D24" s="21" t="s">
        <v>220</v>
      </c>
      <c r="E24" s="21" t="s">
        <v>221</v>
      </c>
      <c r="F24" s="26" t="str">
        <f aca="false">"W "&amp;TEXT(B1_Credit_Portfolio!D52,"#,##0.00;-#,##0.00;0.00")&amp;" / "&amp;TEXT(B1_Credit_Portfolio!E52,"#,##0.00;-#,##0.00;0.00")&amp;" / "&amp;TEXT(B1_Credit_Portfolio!F52,"#,##0.00;-#,##0.00;0.00")&amp;" / "&amp;TEXT(B1_Credit_Portfolio!G52,"#,##0.00;-#,##0.00;0.00")&amp;" / "&amp;TEXT(B1_Credit_Portfolio!H52,"#,##0.00;-#,##0.00;0.00")&amp;" / "&amp;TEXT(B1_Credit_Portfolio!I52,"#,##0.00;-#,##0.00;0.00")&amp;"; R "&amp;TEXT(B1_Credit_Portfolio!D53,"#,##0.00;-#,##0.00;0.00")&amp;" / "&amp;TEXT(B1_Credit_Portfolio!E53,"#,##0.00;-#,##0.00;0.00")&amp;" / "&amp;TEXT(B1_Credit_Portfolio!F53,"#,##0.00;-#,##0.00;0.00")&amp;" / "&amp;TEXT(B1_Credit_Portfolio!G53,"#,##0.00;-#,##0.00;0.00")&amp;" / "&amp;TEXT(B1_Credit_Portfolio!H53,"#,##0.00;-#,##0.00;0.00")&amp;" / "&amp;TEXT(B1_Credit_Portfolio!I53,"#,##0.00;-#,##0.00;0.00")</f>
        <v>W 0.00 / 0.00 / 0.00 / 0.00 / 0.00 / 0.00; R 0.00 / -0.02 / 0.00 / -0.02 / 0.00 / 0.01</v>
      </c>
    </row>
    <row r="25" customFormat="false" ht="15" hidden="false" customHeight="false" outlineLevel="0" collapsed="false">
      <c r="A25" s="9" t="n">
        <v>4</v>
      </c>
      <c r="B25" s="21" t="s">
        <v>218</v>
      </c>
      <c r="C25" s="21" t="s">
        <v>222</v>
      </c>
      <c r="D25" s="21" t="s">
        <v>223</v>
      </c>
      <c r="E25" s="21" t="s">
        <v>224</v>
      </c>
      <c r="F25" s="26" t="str">
        <f aca="false">TEXT(B1_Credit_Portfolio!D54,"#,##0.00;-#,##0.00;0.00")&amp;" / "&amp;TEXT(B1_Credit_Portfolio!E54,"#,##0.00;-#,##0.00;0.00")&amp;" / "&amp;TEXT(B1_Credit_Portfolio!F54,"#,##0.00;-#,##0.00;0.00")&amp;" / "&amp;TEXT(B1_Credit_Portfolio!G54,"#,##0.00;-#,##0.00;0.00")&amp;" / "&amp;TEXT(B1_Credit_Portfolio!H54,"#,##0.00;-#,##0.00;0.00")&amp;" / "&amp;TEXT(B1_Credit_Portfolio!I54,"#,##0.00;-#,##0.00;0.00")</f>
        <v>0.00 / -0.01 / 0.00 / 0.01 / 0.00 / 0.01</v>
      </c>
    </row>
    <row r="26" customFormat="false" ht="15" hidden="false" customHeight="false" outlineLevel="0" collapsed="false">
      <c r="A26" s="9" t="n">
        <v>5</v>
      </c>
      <c r="B26" s="21" t="s">
        <v>225</v>
      </c>
      <c r="C26" s="21" t="s">
        <v>226</v>
      </c>
      <c r="D26" s="21" t="s">
        <v>227</v>
      </c>
      <c r="E26" s="21" t="s">
        <v>228</v>
      </c>
      <c r="F26" s="26" t="str">
        <f aca="false">"B "&amp;TEXT(B1_Credit_Portfolio!K49,"0.00%")&amp;"; W "&amp;TEXT(B1_Credit_Portfolio!K50,"0.00%")&amp;"; R "&amp;TEXT(B1_Credit_Portfolio!K51,"0.00%")</f>
        <v>B 1.45%; W 0.55%; R 2.14%</v>
      </c>
    </row>
    <row r="27" customFormat="false" ht="15" hidden="false" customHeight="false" outlineLevel="0" collapsed="false">
      <c r="A27" s="9" t="n">
        <v>6</v>
      </c>
      <c r="B27" s="21" t="s">
        <v>225</v>
      </c>
      <c r="C27" s="21" t="s">
        <v>229</v>
      </c>
      <c r="D27" s="21" t="s">
        <v>230</v>
      </c>
      <c r="E27" s="21" t="s">
        <v>231</v>
      </c>
      <c r="F27" s="26" t="str">
        <f aca="false">"B "&amp;TEXT(B1_Credit_Portfolio!J49,"0.00%")&amp;"; W "&amp;TEXT(B1_Credit_Portfolio!J50,"0.00%")&amp;"; R "&amp;TEXT(B1_Credit_Portfolio!J51,"0.00%")</f>
        <v>B 1.95%; W 0.59%; R 3.00%</v>
      </c>
    </row>
    <row r="28" customFormat="false" ht="15" hidden="false" customHeight="false" outlineLevel="0" collapsed="false">
      <c r="A28" s="9" t="n">
        <v>7</v>
      </c>
      <c r="B28" s="21" t="s">
        <v>225</v>
      </c>
      <c r="C28" s="21" t="s">
        <v>232</v>
      </c>
      <c r="D28" s="21" t="s">
        <v>159</v>
      </c>
      <c r="E28" s="21" t="s">
        <v>231</v>
      </c>
      <c r="F28" s="26" t="str">
        <f aca="false">"B "&amp;TEXT(B1_Credit_Portfolio!L49,"0.00%")&amp;"; W "&amp;TEXT(B1_Credit_Portfolio!L50,"0.00%")&amp;"; R "&amp;TEXT(B1_Credit_Portfolio!L51,"0.00%")</f>
        <v>B 3.39%; W 1.14%; R 5.15%</v>
      </c>
    </row>
    <row r="29" customFormat="false" ht="23.85" hidden="false" customHeight="false" outlineLevel="0" collapsed="false">
      <c r="A29" s="9" t="n">
        <v>8</v>
      </c>
      <c r="B29" s="21" t="s">
        <v>225</v>
      </c>
      <c r="C29" s="21" t="s">
        <v>233</v>
      </c>
      <c r="D29" s="21" t="s">
        <v>234</v>
      </c>
      <c r="E29" s="21" t="s">
        <v>235</v>
      </c>
      <c r="F29" s="26" t="str">
        <f aca="false">"Cards "&amp;TEXT(B1_Credit_Portfolio!K34,"0.00%")&amp;"; Micro "&amp;TEXT(B1_Credit_Portfolio!K35,"0.00%")&amp;"; Two Wheeler "&amp;TEXT(B1_Credit_Portfolio!K30,"0.00%")&amp;"; Retail Agri "&amp;TEXT(B1_Credit_Portfolio!K37,"0.00%")&amp;"; Prime LAP "&amp;TEXT(B1_Credit_Portfolio!K23,"0.00%")&amp;"; HL DA "&amp;TEXT(B1_Credit_Portfolio!K21,"0.00%")</f>
        <v>Cards 2.72%; Micro 3.19%; Two Wheeler 7.36%; Retail Agri 9.36%; Prime LAP 0.88%; HL DA 4.18%</v>
      </c>
    </row>
    <row r="30" customFormat="false" ht="15" hidden="false" customHeight="false" outlineLevel="0" collapsed="false">
      <c r="A30" s="9" t="n">
        <v>9</v>
      </c>
      <c r="B30" s="21" t="s">
        <v>225</v>
      </c>
      <c r="C30" s="21" t="s">
        <v>236</v>
      </c>
      <c r="D30" s="21" t="s">
        <v>237</v>
      </c>
      <c r="E30" s="21" t="s">
        <v>235</v>
      </c>
      <c r="F30" s="26" t="str">
        <f aca="false">"Gold BBB "&amp;TEXT(B1_Credit_Portfolio!J27,"0.00%")&amp;"; Cards "&amp;TEXT(B1_Credit_Portfolio!J34,"0.00%")&amp;"; Two Wheeler "&amp;TEXT(B1_Credit_Portfolio!J30,"0.00%")&amp;"; Supply Chain "&amp;TEXT(B1_Credit_Portfolio!J16,"0.00%")</f>
        <v>Gold BBB 10.89%; Cards 4.31%; Two Wheeler 7.46%; Supply Chain 9.21%</v>
      </c>
    </row>
    <row r="31" customFormat="false" ht="15" hidden="false" customHeight="false" outlineLevel="0" collapsed="false">
      <c r="A31" s="9" t="n">
        <v>10</v>
      </c>
      <c r="B31" s="21" t="s">
        <v>225</v>
      </c>
      <c r="C31" s="21" t="s">
        <v>238</v>
      </c>
      <c r="D31" s="21" t="s">
        <v>239</v>
      </c>
      <c r="E31" s="21" t="s">
        <v>235</v>
      </c>
      <c r="F31" s="26" t="str">
        <f aca="false">"Micro "&amp;TEXT(B1_Credit_Portfolio!N35,"0.00%")&amp;"; Cards "&amp;TEXT(B1_Credit_Portfolio!N34,"0.00%")&amp;"; MSME "&amp;TEXT(B1_Credit_Portfolio!N36,"0.00%")&amp;"; Retail Agri "&amp;TEXT(B1_Credit_Portfolio!N37,"0.00%")&amp;"; Two Wheeler "&amp;TEXT(B1_Credit_Portfolio!N30,"0.00%")</f>
        <v>Micro 11.41%; Cards 4.09%; MSME 79.34%; Retail Agri 15.45%; Two Wheeler 7.13%</v>
      </c>
    </row>
    <row r="32" customFormat="false" ht="15" hidden="false" customHeight="false" outlineLevel="0" collapsed="false">
      <c r="A32" s="9" t="n">
        <v>11</v>
      </c>
      <c r="B32" s="21" t="s">
        <v>225</v>
      </c>
      <c r="C32" s="21" t="s">
        <v>240</v>
      </c>
      <c r="D32" s="21" t="s">
        <v>241</v>
      </c>
      <c r="E32" s="21" t="s">
        <v>235</v>
      </c>
      <c r="F32" s="26" t="str">
        <f aca="false">"Micro "&amp;TEXT((B1_Credit_Portfolio!N35-B1_Credit_Portfolio!K35)*100,"+0.0"" pp"";-0.0"" pp"";0.0"" pp""")&amp;"; Cards "&amp;TEXT((B1_Credit_Portfolio!N34-B1_Credit_Portfolio!K34)*100,"+0.0"" pp"";-0.0"" pp"";0.0"" pp""")&amp;"; Retail Agri "&amp;TEXT((B1_Credit_Portfolio!N37-B1_Credit_Portfolio!K37)*100,"+0.0"" pp"";-0.0"" pp"";0.0"" pp""")</f>
        <v>Micro +8.2 pp; Cards +1.4 pp; Retail Agri +6.1 pp</v>
      </c>
    </row>
    <row r="33" customFormat="false" ht="15" hidden="false" customHeight="false" outlineLevel="0" collapsed="false">
      <c r="A33" s="9" t="n">
        <v>12</v>
      </c>
      <c r="B33" s="21" t="s">
        <v>225</v>
      </c>
      <c r="C33" s="21" t="s">
        <v>242</v>
      </c>
      <c r="D33" s="21" t="s">
        <v>243</v>
      </c>
      <c r="E33" s="21" t="s">
        <v>235</v>
      </c>
      <c r="F33" s="26" t="str">
        <f aca="false">"Gold BBB "&amp;TEXT(B1_Credit_Portfolio!M27,"0.00%")&amp;"; Two Wheeler "&amp;TEXT(B1_Credit_Portfolio!M30,"0.00%")&amp;"; Cards "&amp;TEXT(B1_Credit_Portfolio!M34,"0.00%")</f>
        <v>Gold BBB 12.67%; Two Wheeler 8.42%; Cards 3.98%</v>
      </c>
    </row>
    <row r="34" customFormat="false" ht="15" hidden="false" customHeight="false" outlineLevel="0" collapsed="false">
      <c r="A34" s="9" t="n">
        <v>13</v>
      </c>
      <c r="B34" s="21" t="s">
        <v>225</v>
      </c>
      <c r="C34" s="21" t="s">
        <v>244</v>
      </c>
      <c r="D34" s="21" t="s">
        <v>245</v>
      </c>
      <c r="E34" s="21" t="s">
        <v>246</v>
      </c>
      <c r="F34" s="26" t="str">
        <f aca="false">"B "&amp;TEXT(B1_Credit_Portfolio!G49/B1_Credit_Portfolio!I49,"0.00""x""")&amp;"; W "&amp;TEXT(B1_Credit_Portfolio!G50/B1_Credit_Portfolio!I50,"0.00""x""")&amp;"; R "&amp;TEXT(B1_Credit_Portfolio!G51/B1_Credit_Portfolio!I51,"0.00""x""")</f>
        <v>B 1.35x; W 1.07x; R 1.40x</v>
      </c>
    </row>
    <row r="35" customFormat="false" ht="15" hidden="false" customHeight="false" outlineLevel="0" collapsed="false">
      <c r="A35" s="9" t="n">
        <v>14</v>
      </c>
      <c r="B35" s="21" t="s">
        <v>225</v>
      </c>
      <c r="C35" s="21" t="s">
        <v>247</v>
      </c>
      <c r="D35" s="21" t="s">
        <v>248</v>
      </c>
      <c r="E35" s="21" t="s">
        <v>249</v>
      </c>
      <c r="F35" s="26" t="str">
        <f aca="false">"UNS "&amp;TEXT(B1_Credit_Portfolio!G58,"0.00%")&amp;" / "&amp;TEXT(B1_Credit_Portfolio!H58,"0.00%")&amp;"; SEC "&amp;TEXT(B1_Credit_Portfolio!G59,"0.00%")&amp;" / "&amp;TEXT(B1_Credit_Portfolio!H59,"0.00%")&amp;"; PART "&amp;TEXT(B1_Credit_Portfolio!G60,"0.00%")&amp;" / "&amp;TEXT(B1_Credit_Portfolio!H60,"0.00%")</f>
        <v>UNS 2.95% / 6.37%; SEC 1.19% / 4.23%; PART 1.66% / 5.51%</v>
      </c>
    </row>
    <row r="36" customFormat="false" ht="15" hidden="false" customHeight="false" outlineLevel="0" collapsed="false">
      <c r="A36" s="9" t="n">
        <v>15</v>
      </c>
      <c r="B36" s="21" t="s">
        <v>225</v>
      </c>
      <c r="C36" s="21" t="s">
        <v>250</v>
      </c>
      <c r="D36" s="21" t="s">
        <v>251</v>
      </c>
      <c r="E36" s="21" t="s">
        <v>252</v>
      </c>
      <c r="F36" s="26" t="str">
        <f aca="false">TEXT(B1_Credit_Portfolio!G61,"0.00%")&amp;" / "&amp;TEXT(B1_Credit_Portfolio!G62,"0.00%")&amp;" / "&amp;TEXT(B1_Credit_Portfolio!G63,"0.00%")</f>
        <v>1.20% / 1.09% / 0.52%</v>
      </c>
    </row>
    <row r="37" customFormat="false" ht="15" hidden="false" customHeight="false" outlineLevel="0" collapsed="false">
      <c r="A37" s="9" t="n">
        <v>16</v>
      </c>
      <c r="B37" s="21" t="s">
        <v>253</v>
      </c>
      <c r="C37" s="21" t="s">
        <v>50</v>
      </c>
      <c r="D37" s="21" t="s">
        <v>254</v>
      </c>
      <c r="E37" s="21" t="s">
        <v>235</v>
      </c>
      <c r="F37" s="26" t="str">
        <f aca="false">"Cards "&amp;TEXT(B1_Credit_Portfolio!R34,"0.0%")&amp;"; Micro "&amp;TEXT(B1_Credit_Portfolio!R35,"0.0%")&amp;"; Corp Banking "&amp;TEXT(B1_Credit_Portfolio!R10,"0.0%")&amp;"; Retail Agri "&amp;TEXT(B1_Credit_Portfolio!R37,"0.0%")&amp;"; Prime LAP "&amp;TEXT(B1_Credit_Portfolio!R23,"0.0%")</f>
        <v>Cards 30.5%; Micro 15.8%; Corp Banking 14.9%; Retail Agri 9.6%; Prime LAP 5.3%</v>
      </c>
    </row>
    <row r="38" customFormat="false" ht="15" hidden="false" customHeight="false" outlineLevel="0" collapsed="false">
      <c r="A38" s="9" t="n">
        <v>17</v>
      </c>
      <c r="B38" s="21" t="s">
        <v>253</v>
      </c>
      <c r="C38" s="21" t="s">
        <v>51</v>
      </c>
      <c r="D38" s="21" t="s">
        <v>255</v>
      </c>
      <c r="E38" s="21" t="s">
        <v>235</v>
      </c>
      <c r="F38" s="26" t="str">
        <f aca="false">"Cards "&amp;TEXT(B1_Credit_Portfolio!S34,"0.0%")&amp;"; Prime LAP "&amp;TEXT(B1_Credit_Portfolio!S23,"0.0%")&amp;"; Gold BBB "&amp;TEXT(B1_Credit_Portfolio!S27,"0.0%")&amp;"; Supply Chain "&amp;TEXT(B1_Credit_Portfolio!S16,"0.0%")</f>
        <v>Cards 35.9%; Prime LAP 10.8%; Gold BBB 6.7%; Supply Chain 6.8%</v>
      </c>
    </row>
    <row r="39" customFormat="false" ht="15" hidden="false" customHeight="false" outlineLevel="0" collapsed="false">
      <c r="A39" s="9" t="n">
        <v>18</v>
      </c>
      <c r="B39" s="21" t="s">
        <v>253</v>
      </c>
      <c r="C39" s="21" t="s">
        <v>256</v>
      </c>
      <c r="D39" s="21" t="s">
        <v>257</v>
      </c>
      <c r="E39" s="21" t="s">
        <v>235</v>
      </c>
      <c r="F39" s="26" t="str">
        <f aca="false">"Cards "&amp;TEXT(B1_Credit_Portfolio!T34,"0.00""x""")&amp;"; Micro "&amp;TEXT(B1_Credit_Portfolio!T35,"0.00""x""")&amp;"; Retail Agri "&amp;TEXT(B1_Credit_Portfolio!T37,"0.00""x""")&amp;"; Corp Banking "&amp;TEXT(B1_Credit_Portfolio!T10,"0.00""x""")&amp;"; CB "&amp;TEXT(B1_Credit_Portfolio!T8,"0.00""x""")</f>
        <v>Cards 1.88x; Micro 2.21x; Retail Agri 6.48x; Corp Banking 0.80x; CB 0.10x</v>
      </c>
    </row>
    <row r="40" customFormat="false" ht="15" hidden="false" customHeight="false" outlineLevel="0" collapsed="false">
      <c r="A40" s="9" t="n">
        <v>19</v>
      </c>
      <c r="B40" s="21" t="s">
        <v>253</v>
      </c>
      <c r="C40" s="21" t="s">
        <v>258</v>
      </c>
      <c r="D40" s="21" t="s">
        <v>259</v>
      </c>
      <c r="E40" s="21" t="s">
        <v>249</v>
      </c>
      <c r="F40" s="26" t="str">
        <f aca="false">"UNS "&amp;TEXT(B1_Credit_Portfolio!J58,"0.0%")&amp;"; SEC "&amp;TEXT(B1_Credit_Portfolio!J59,"0.0%")&amp;"; PART "&amp;TEXT(B1_Credit_Portfolio!J60,"0.0%")</f>
        <v>UNS 47.8%; SEC 21.9%; PART 7.2%</v>
      </c>
    </row>
    <row r="41" customFormat="false" ht="15" hidden="false" customHeight="false" outlineLevel="0" collapsed="false">
      <c r="A41" s="9" t="n">
        <v>20</v>
      </c>
      <c r="B41" s="21" t="s">
        <v>253</v>
      </c>
      <c r="C41" s="21" t="s">
        <v>260</v>
      </c>
      <c r="D41" s="21" t="s">
        <v>261</v>
      </c>
      <c r="E41" s="21" t="s">
        <v>235</v>
      </c>
      <c r="F41" s="26" t="str">
        <f aca="false">TEXT(SUMPRODUCT(LARGE(B1_Credit_Portfolio!I7:I42,{1,2,3}))/B1_Credit_Portfolio!I49,"0.0%")</f>
        <v>61.2%</v>
      </c>
    </row>
    <row r="42" customFormat="false" ht="15" hidden="false" customHeight="false" outlineLevel="0" collapsed="false">
      <c r="A42" s="9" t="n">
        <v>21</v>
      </c>
      <c r="B42" s="21" t="s">
        <v>253</v>
      </c>
      <c r="C42" s="21" t="s">
        <v>262</v>
      </c>
      <c r="D42" s="21" t="s">
        <v>263</v>
      </c>
      <c r="E42" s="21" t="s">
        <v>264</v>
      </c>
      <c r="F42" s="26" t="str">
        <f aca="false">TEXT(B1_Credit_Portfolio!I10/B1_Credit_Portfolio!I50,"0.0%")&amp;" on "&amp;TEXT(B1_Credit_Portfolio!H10,"#,##0")&amp;" accounts"</f>
        <v>89.5% on 9 accounts</v>
      </c>
    </row>
    <row r="43" customFormat="false" ht="15" hidden="false" customHeight="false" outlineLevel="0" collapsed="false">
      <c r="A43" s="9" t="n">
        <v>22</v>
      </c>
      <c r="B43" s="21" t="s">
        <v>253</v>
      </c>
      <c r="C43" s="21" t="s">
        <v>265</v>
      </c>
      <c r="D43" s="21" t="s">
        <v>266</v>
      </c>
      <c r="E43" s="21" t="s">
        <v>235</v>
      </c>
      <c r="F43" s="26" t="str">
        <f aca="false">TEXT(SUMPRODUCT(--(N(B1_Credit_Portfolio!G7:G42)+N(B1_Credit_Portfolio!I7:I42)=0)),"#,##0")&amp;" rows (FI, IFI, MNC, Govt, Education Loan, LAS, Null …)"</f>
        <v>11 rows (FI, IFI, MNC, Govt, Education Loan, LAS, Null …)</v>
      </c>
    </row>
    <row r="44" customFormat="false" ht="15" hidden="false" customHeight="false" outlineLevel="0" collapsed="false">
      <c r="A44" s="9" t="n">
        <v>23</v>
      </c>
      <c r="B44" s="21" t="s">
        <v>267</v>
      </c>
      <c r="C44" s="21" t="s">
        <v>49</v>
      </c>
      <c r="D44" s="21" t="s">
        <v>268</v>
      </c>
      <c r="E44" s="21" t="s">
        <v>269</v>
      </c>
      <c r="F44" s="26" t="str">
        <f aca="false">"W "&amp;TEXT(B1_Credit_Portfolio!E50/B1_Credit_Portfolio!E49,"0.0%")&amp;"; R "&amp;TEXT(B1_Credit_Portfolio!E51/B1_Credit_Portfolio!E49,"0.0%")&amp;"; Cards "&amp;TEXT(B1_Credit_Portfolio!Q34,"0.0%")&amp;"; Corp Banking "&amp;TEXT(B1_Credit_Portfolio!Q10,"0.0%")&amp;"; Prime LAP "&amp;TEXT(B1_Credit_Portfolio!Q23,"0.0%")</f>
        <v>W 43.8%; R 56.2%; Cards 16.2%; Corp Banking 18.5%; Prime LAP 8.8%</v>
      </c>
    </row>
    <row r="45" customFormat="false" ht="15" hidden="false" customHeight="false" outlineLevel="0" collapsed="false">
      <c r="A45" s="9" t="n">
        <v>24</v>
      </c>
      <c r="B45" s="21" t="s">
        <v>267</v>
      </c>
      <c r="C45" s="21" t="s">
        <v>270</v>
      </c>
      <c r="D45" s="21" t="s">
        <v>271</v>
      </c>
      <c r="E45" s="21" t="s">
        <v>103</v>
      </c>
      <c r="F45" s="26" t="str">
        <f aca="false">TEXT(B1_Credit_Portfolio!D58/B1_Credit_Portfolio!E51,"0.0%")</f>
        <v>41.7%</v>
      </c>
    </row>
    <row r="46" customFormat="false" ht="15" hidden="false" customHeight="false" outlineLevel="0" collapsed="false">
      <c r="A46" s="9" t="n">
        <v>25</v>
      </c>
      <c r="B46" s="21" t="s">
        <v>267</v>
      </c>
      <c r="C46" s="21" t="s">
        <v>272</v>
      </c>
      <c r="D46" s="21" t="s">
        <v>273</v>
      </c>
      <c r="E46" s="21" t="s">
        <v>235</v>
      </c>
      <c r="F46" s="26" t="str">
        <f aca="false">"Cards "&amp;TEXT(B1_Credit_Portfolio!D34/B1_Credit_Portfolio!D49,"0.0%")&amp;"; Micro "&amp;TEXT(B1_Credit_Portfolio!D35/B1_Credit_Portfolio!D49,"0.0%")</f>
        <v>Cards 57.6%; Micro 36.0%</v>
      </c>
    </row>
    <row r="47" customFormat="false" ht="15" hidden="false" customHeight="false" outlineLevel="0" collapsed="false">
      <c r="A47" s="9" t="n">
        <v>26</v>
      </c>
      <c r="B47" s="21" t="s">
        <v>274</v>
      </c>
      <c r="C47" s="21" t="s">
        <v>275</v>
      </c>
      <c r="D47" s="21" t="s">
        <v>276</v>
      </c>
      <c r="E47" s="21" t="s">
        <v>235</v>
      </c>
      <c r="F47" s="26" t="str">
        <f aca="false">"Corp Banking "&amp;TEXT(B1_Credit_Portfolio!O10,"#,##0.00")&amp;"; Prime LAP "&amp;TEXT(B1_Credit_Portfolio!O23,"#,##0.00")&amp;"; Cards "&amp;TEXT(B1_Credit_Portfolio!O34,"#,##0.00")&amp;"; Micro "&amp;TEXT(B1_Credit_Portfolio!O35,"#,##0.00")&amp;" ₹ lakh"</f>
        <v>Corp Banking 531.72; Prime LAP 135.59; Cards 0.45; Micro 0.32 ₹ lakh</v>
      </c>
    </row>
    <row r="48" customFormat="false" ht="15" hidden="false" customHeight="false" outlineLevel="0" collapsed="false">
      <c r="A48" s="9" t="n">
        <v>27</v>
      </c>
      <c r="B48" s="21" t="s">
        <v>274</v>
      </c>
      <c r="C48" s="21" t="s">
        <v>277</v>
      </c>
      <c r="D48" s="21" t="s">
        <v>276</v>
      </c>
      <c r="E48" s="21" t="s">
        <v>278</v>
      </c>
      <c r="F48" s="26" t="str">
        <f aca="false">"W "&amp;TEXT(B1_Credit_Portfolio!O50,"#,##0.00")&amp;"; R "&amp;TEXT(B1_Credit_Portfolio!O51,"#,##0.00")&amp;"; B "&amp;TEXT(B1_Credit_Portfolio!O49,"#,##0.00")</f>
        <v>W 365.76; R 0.90; B 1.60</v>
      </c>
    </row>
    <row r="49" customFormat="false" ht="15" hidden="false" customHeight="false" outlineLevel="0" collapsed="false">
      <c r="A49" s="9" t="n">
        <v>28</v>
      </c>
      <c r="B49" s="21" t="s">
        <v>274</v>
      </c>
      <c r="C49" s="21" t="s">
        <v>279</v>
      </c>
      <c r="D49" s="21" t="s">
        <v>280</v>
      </c>
      <c r="E49" s="21" t="s">
        <v>281</v>
      </c>
      <c r="F49" s="26" t="str">
        <f aca="false">"Corp Banking "&amp;TEXT(B1_Credit_Portfolio!P10,"#,##0.00")&amp;"; WCF/BBG "&amp;TEXT(B1_Credit_Portfolio!P39,"#,##0.00")&amp;"; Cards "&amp;TEXT(B1_Credit_Portfolio!P34,"#,##0.00")&amp;"; Micro "&amp;TEXT(B1_Credit_Portfolio!P35,"#,##0.00")</f>
        <v>Corp Banking 2,849.00; WCF/BBG 303.26; Cards 0.30; Micro 0.09</v>
      </c>
    </row>
    <row r="50" customFormat="false" ht="15" hidden="false" customHeight="false" outlineLevel="0" collapsed="false">
      <c r="A50" s="9" t="n">
        <v>29</v>
      </c>
      <c r="B50" s="21" t="s">
        <v>274</v>
      </c>
      <c r="C50" s="21" t="s">
        <v>282</v>
      </c>
      <c r="D50" s="21" t="s">
        <v>283</v>
      </c>
      <c r="E50" s="21" t="s">
        <v>281</v>
      </c>
      <c r="F50" s="26" t="str">
        <f aca="false">"Cards "&amp;TEXT(B1_Credit_Portfolio!P34/B1_Credit_Portfolio!O34,"0.00""x""")&amp;"; Micro "&amp;TEXT(B1_Credit_Portfolio!P35/B1_Credit_Portfolio!O35,"0.00""x""")&amp;"; Prime LAP "&amp;TEXT(B1_Credit_Portfolio!P23/B1_Credit_Portfolio!O23,"0.00""x""")</f>
        <v>Cards 0.67x; Micro 0.28x; Prime LAP 0.50x</v>
      </c>
    </row>
    <row r="51" customFormat="false" ht="15" hidden="false" customHeight="false" outlineLevel="0" collapsed="false">
      <c r="A51" s="9" t="n">
        <v>30</v>
      </c>
      <c r="B51" s="21" t="s">
        <v>284</v>
      </c>
      <c r="C51" s="21" t="s">
        <v>285</v>
      </c>
      <c r="D51" s="21" t="s">
        <v>286</v>
      </c>
      <c r="E51" s="21" t="s">
        <v>278</v>
      </c>
      <c r="F51" s="26" t="str">
        <f aca="false">TEXT(B1_Credit_Portfolio!D67,"#,##0.00;-#,##0.00;0.00")&amp;" / "&amp;TEXT(B1_Credit_Portfolio!E67,"#,##0.00;-#,##0.00;0.00")&amp;" / "&amp;TEXT(B1_Credit_Portfolio!F67,"#,##0.00;-#,##0.00;0.00")&amp;"; as % of gross "&amp;TEXT(B1_Credit_Portfolio!D68,"0.00%")&amp;" / "&amp;TEXT(B1_Credit_Portfolio!E68,"0.00%")&amp;" / "&amp;TEXT(B1_Credit_Portfolio!F68,"0.00%")</f>
        <v>280.94 / 1,965.37 / 2,246.32; as % of gross 0.54% / 2.93% / 1.88%</v>
      </c>
    </row>
    <row r="52" customFormat="false" ht="15" hidden="false" customHeight="false" outlineLevel="0" collapsed="false">
      <c r="A52" s="9" t="n">
        <v>31</v>
      </c>
      <c r="B52" s="21" t="s">
        <v>284</v>
      </c>
      <c r="C52" s="21" t="s">
        <v>287</v>
      </c>
      <c r="D52" s="21" t="s">
        <v>288</v>
      </c>
      <c r="E52" s="21" t="s">
        <v>289</v>
      </c>
      <c r="F52" s="26" t="str">
        <f aca="false">TEXT(B1_Credit_Portfolio!E40,"#,##0.00;-#,##0.00;0.00")&amp;" on "&amp;TEXT(B1_Credit_Portfolio!D40,"#,##0")&amp;" accounts — ties to Net Advances / Product-wise Null bucket"</f>
        <v>985.72 on 14 accounts — ties to Net Advances / Product-wise Null bucket</v>
      </c>
    </row>
    <row r="53" customFormat="false" ht="15" hidden="false" customHeight="false" outlineLevel="0" collapsed="false">
      <c r="A53" s="9" t="n">
        <v>32</v>
      </c>
      <c r="B53" s="21" t="s">
        <v>290</v>
      </c>
      <c r="C53" s="21" t="s">
        <v>291</v>
      </c>
      <c r="D53" s="21" t="s">
        <v>292</v>
      </c>
      <c r="E53" s="21" t="s">
        <v>293</v>
      </c>
      <c r="F53" s="26" t="str">
        <f aca="false">TEXT(B1_Credit_Portfolio!E47,"#,##0.00;-#,##0.00;0.00")&amp;" / "&amp;TEXT(B1_Credit_Portfolio!F47,"#,##0")&amp;" — gaps vs summary "&amp;TEXT(B1_Credit_Portfolio!E53,"#,##0.00;-#,##0.00;0.00")&amp;" / "&amp;TEXT(B1_Credit_Portfolio!F53,"#,##0")</f>
        <v>67,042.35 / 239,858 — gaps vs summary -0.02 / 0</v>
      </c>
    </row>
    <row r="54" customFormat="false" ht="15" hidden="false" customHeight="false" outlineLevel="0" collapsed="false">
      <c r="A54" s="9" t="n">
        <v>33</v>
      </c>
      <c r="B54" s="21" t="s">
        <v>290</v>
      </c>
      <c r="C54" s="21" t="s">
        <v>294</v>
      </c>
      <c r="D54" s="21" t="s">
        <v>295</v>
      </c>
      <c r="E54" s="21" t="s">
        <v>289</v>
      </c>
      <c r="F54" s="26" t="str">
        <f aca="false">TEXT(B1_Credit_Portfolio!N36,"0.00%")&amp;" of accounts NPA — run-off book"</f>
        <v>79.34% of accounts NPA — run-off book</v>
      </c>
    </row>
    <row r="55" customFormat="false" ht="15" hidden="false" customHeight="false" outlineLevel="0" collapsed="false">
      <c r="A55" s="9" t="n">
        <v>34</v>
      </c>
      <c r="B55" s="21" t="s">
        <v>290</v>
      </c>
      <c r="C55" s="21" t="s">
        <v>296</v>
      </c>
      <c r="D55" s="21" t="s">
        <v>297</v>
      </c>
      <c r="E55" s="21" t="s">
        <v>289</v>
      </c>
      <c r="F55" s="21" t="s">
        <v>298</v>
      </c>
    </row>
    <row r="57" customFormat="false" ht="15" hidden="false" customHeight="false" outlineLevel="0" collapsed="false">
      <c r="A57" s="3" t="s">
        <v>2</v>
      </c>
    </row>
  </sheetData>
  <mergeCells count="12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2026-10-09T21:17:23Z</dcterms:created>
  <dc:creator>openpyxl</dc:creator>
  <dc:description/>
  <dc:language>en-US</dc:language>
  <cp:lastModifiedBy/>
  <dcterms:modified xsi:type="dcterms:W3CDTF">2026-10-09T21:17:23Z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