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WB_Balance_Sheet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<sst xmlns="http://schemas.openxmlformats.org/spreadsheetml/2006/main" count="641" uniqueCount="259">
  <si>
    <t xml:space="preserve">RBL Bank — Wholesale Banking Balance Sheet (Oneview): page-wise metric extraction</t>
  </si>
  <si>
    <t xml:space="preserve">Source: 06_WB_Balance_Sheet.pdf (1 page, 10 segment blocks) | ₹ Cr | FY26 A, Q1 FY26 A, Q1 FY27 A actuals; Jul'26 P projection; Q2 FY27 B and FY27 B budgets</t>
  </si>
  <si>
    <t xml:space="preserve">⚠ DRAFT ONLY — Requires review and approval by a qualified Alvarez and Marsal professional before use.</t>
  </si>
  <si>
    <t xml:space="preserve">Sheet map</t>
  </si>
  <si>
    <t xml:space="preserve">B1_WB_Balance_Sheet</t>
  </si>
  <si>
    <t xml:space="preserve">Segment × line × column grid with derived ratios (CASA, EOP/AVG, LDR), growth / budget pacing columns, and segment roll-up to Wholesale Banking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</si>
  <si>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</si>
  <si>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</si>
  <si>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</si>
  <si>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</si>
  <si>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</si>
  <si>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</si>
  <si>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</si>
  <si>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</si>
  <si>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</si>
  <si>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</si>
  <si>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</si>
  <si>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</si>
  <si>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</si>
  <si>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</si>
  <si>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</si>
  <si>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Columns marked P (Jul'26 projection) and B (Q2 FY27 / FY27 budget) are forward-looking (ᴾ); every metric that uses them is labelled 'incl. projection / budget'.</t>
  </si>
  <si>
    <t xml:space="preserve">2</t>
  </si>
  <si>
    <t xml:space="preserve">MNC and Commercial Banking show deposit figures identical to Corporate Banking in the original — a copy error on the page. Deposit roll-ups are shown with and without these two segments; advances roll up exactly to Wholesale Banking.</t>
  </si>
  <si>
    <t xml:space="preserve">3</t>
  </si>
  <si>
    <t xml:space="preserve">Two blocks are both titled 'Liabilities &amp; New Economy'. The second block's advances (3,540 → 4,008) equal the IFI line on the Net Advances page; it is labelled 'L&amp;NE (2) — advances match IFI'.</t>
  </si>
  <si>
    <t xml:space="preserve">4</t>
  </si>
  <si>
    <t xml:space="preserve">Glossary on page: for MNC and L&amp;NE, CA EOP / CA AVG include Nodal Balance; excluded for other segments.</t>
  </si>
  <si>
    <t xml:space="preserve">5</t>
  </si>
  <si>
    <t xml:space="preserve">Cross-page: Wholesale ADV EOP Q1 FY27 (51,323) vs Net Advances Jun-26 wholesale (51,044) differ by ~₹279 Cr (gross vs net funded basis).</t>
  </si>
  <si>
    <t xml:space="preserve">Confidentiality</t>
  </si>
  <si>
    <t xml:space="preserve">Client-confidential RBL Bank data.</t>
  </si>
  <si>
    <t xml:space="preserve">Block 1 — Wholesale Banking balance sheet by segment (Oneview)</t>
  </si>
  <si>
    <t xml:space="preserve">Source: WB – Balance Sheet.pdf | ₹ Cr | A = actual, P = projection, B = budget (grey)</t>
  </si>
  <si>
    <t xml:space="preserve">A. Source data (blue; grey = P/B) with growth, pacing and ratio calculations</t>
  </si>
  <si>
    <t xml:space="preserve">#</t>
  </si>
  <si>
    <t xml:space="preserve">Segment</t>
  </si>
  <si>
    <t xml:space="preserve">Line</t>
  </si>
  <si>
    <t xml:space="preserve">FY26 A</t>
  </si>
  <si>
    <t xml:space="preserve">Q1 FY26 A</t>
  </si>
  <si>
    <t xml:space="preserve">Q1 FY27 A</t>
  </si>
  <si>
    <t xml:space="preserve">Jul'26 P</t>
  </si>
  <si>
    <t xml:space="preserve">Q2 FY27 B</t>
  </si>
  <si>
    <t xml:space="preserve">FY27 B</t>
  </si>
  <si>
    <t xml:space="preserve">Q1 YoY (Q1 FY27 ÷ Q1 FY26 − 1)</t>
  </si>
  <si>
    <t xml:space="preserve">Q1 FY27 vs FY26 A</t>
  </si>
  <si>
    <t xml:space="preserve">Jul'26 P vs Q1 FY27 A ᴾ</t>
  </si>
  <si>
    <t xml:space="preserve">Q2 FY27 B vs Q1 FY27 A ᴾ</t>
  </si>
  <si>
    <t xml:space="preserve">FY27 B vs FY26 A ᴾ</t>
  </si>
  <si>
    <t xml:space="preserve">Q1 A as % of Q2 B ᴾ</t>
  </si>
  <si>
    <t xml:space="preserve">FY27 B − FY26 A ᴾ</t>
  </si>
  <si>
    <t xml:space="preserve">Share of Wholesale (Q1 FY27 A)</t>
  </si>
  <si>
    <t xml:space="preserve">Wholesale Banking (total)</t>
  </si>
  <si>
    <t xml:space="preserve">ADV EOP</t>
  </si>
  <si>
    <t xml:space="preserve">ADV AVG</t>
  </si>
  <si>
    <t xml:space="preserve">CA EOP</t>
  </si>
  <si>
    <t xml:space="preserve">SA EOP</t>
  </si>
  <si>
    <t xml:space="preserve">TD EOP</t>
  </si>
  <si>
    <t xml:space="preserve">Deposits EOP</t>
  </si>
  <si>
    <t xml:space="preserve">CA AVG</t>
  </si>
  <si>
    <t xml:space="preserve">SA AVG</t>
  </si>
  <si>
    <t xml:space="preserve">TD AVG</t>
  </si>
  <si>
    <t xml:space="preserve">Deposits Avg</t>
  </si>
  <si>
    <t xml:space="preserve">CASA ratio EOP</t>
  </si>
  <si>
    <t xml:space="preserve">CASA ratio AVG</t>
  </si>
  <si>
    <t xml:space="preserve">ADV EOP ÷ ADV AVG</t>
  </si>
  <si>
    <t xml:space="preserve">Deposits EOP ÷ AVG</t>
  </si>
  <si>
    <t xml:space="preserve">Advances ÷ Deposits (EOP)</t>
  </si>
  <si>
    <t xml:space="preserve">Check: CA+SA+TD − Deposits EOP</t>
  </si>
  <si>
    <t xml:space="preserve">Corporate Banking</t>
  </si>
  <si>
    <t xml:space="preserve">MNC</t>
  </si>
  <si>
    <t xml:space="preserve">Commercial Banking</t>
  </si>
  <si>
    <t xml:space="preserve">SCF</t>
  </si>
  <si>
    <t xml:space="preserve">FIG</t>
  </si>
  <si>
    <t xml:space="preserve">Liabilities &amp; New Economy (1)</t>
  </si>
  <si>
    <t xml:space="preserve">Liabilities &amp; New Economy (2) — advances match IFI</t>
  </si>
  <si>
    <t xml:space="preserve">Government Banking</t>
  </si>
  <si>
    <t xml:space="preserve">Gems &amp; Jewellery</t>
  </si>
  <si>
    <t xml:space="preserve">B. Roll-up: Σ segments vs Wholesale Banking total</t>
  </si>
  <si>
    <t xml:space="preserve">Check</t>
  </si>
  <si>
    <t xml:space="preserve">Σ segments ADV EOP − Wholesale</t>
  </si>
  <si>
    <t xml:space="preserve">Σ segments ADV AVG − Wholesale</t>
  </si>
  <si>
    <t xml:space="preserve">Σ segments Deposits EOP − Wholesale (as printed)</t>
  </si>
  <si>
    <t xml:space="preserve">Σ segments Deposits EOP − Wholesale (excl. duplicated MNC &amp; Commercial)</t>
  </si>
  <si>
    <t xml:space="preserve">Σ segments Deposits Avg − Wholesale (excl. duplicates)</t>
  </si>
  <si>
    <t xml:space="preserve">Σ segments CA EOP − Wholesale (excl. duplicates)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</si>
  <si>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</si>
  <si>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</si>
  <si>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</si>
  <si>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</si>
  <si>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</si>
  <si>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MNC and Commercial Banking deposit lines are identical to Corporate Banking (copy error). Σ segment Deposits EOP − Wholesale, as printed:</t>
  </si>
  <si>
    <t xml:space="preserve">₹ Cr</t>
  </si>
  <si>
    <t xml:space="preserve">Deposit metrics for MNC / Commercial are unusable; excluding them the roll-up gap is shown in the next row.</t>
  </si>
  <si>
    <t xml:space="preserve">Advances roll up for FY26 A and Q1 FY27 A (gap shown below); budget columns do not fully roll up (Q2 FY27 B gap −442, FY27 B +185). Σ segments ADV EOP − Wholesale (Q1 FY27 A):</t>
  </si>
  <si>
    <t xml:space="preserve">Actual advances are reliable; treat segment budgets as indicative.</t>
  </si>
  <si>
    <t xml:space="preserve">Second 'Liabilities &amp; New Economy' block has advances equal to IFI on the Net Advances page (3,540 Mar-26 / 4,008 Jun-26).</t>
  </si>
  <si>
    <t xml:space="preserve">Likely a mislabelled IFI block; confirm.</t>
  </si>
  <si>
    <t xml:space="preserve">Wholesale CA EOP fell from 17,886 (Mar-26) to 9,341 (Jun-26) and 5,649 (Jul P) — EOP CASA is running far below budget.</t>
  </si>
  <si>
    <t xml:space="preserve">%</t>
  </si>
  <si>
    <t xml:space="preserve">Year-end CA balances were window-dressed or seasonal; AVG CA is more stable (7,267 → 6,544).</t>
  </si>
  <si>
    <t xml:space="preserve">FIG deposits EOP collapsed from 11,140 (Mar-26) to 5,657 (Jun-26): −49%.</t>
  </si>
  <si>
    <t xml:space="preserve">Largest single driver of the Wholesale deposit decline.</t>
  </si>
  <si>
    <t xml:space="preserve">Jul'26 P ADV EOP (52,289) vs Net Advances Jul-26 wholesale (51,950): basis difference.</t>
  </si>
  <si>
    <t xml:space="preserve">Gross vs net funded; state basis.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</si>
  <si>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</si>
  <si>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</si>
  <si>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</si>
  <si>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</si>
  <si>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</si>
  <si>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</si>
  <si>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</si>
  <si>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</si>
  <si>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Wholesale Banking ADV EOP at Q1 FY27?</t>
  </si>
  <si>
    <t xml:space="preserve">Lookup</t>
  </si>
  <si>
    <t xml:space="preserve">What is the FY27 budget for Corporate Banking ADV EOP?</t>
  </si>
  <si>
    <t xml:space="preserve">Lookup ᴾ</t>
  </si>
  <si>
    <t xml:space="preserve">What is FIG Deposits EOP at Q1 FY26?</t>
  </si>
  <si>
    <t xml:space="preserve">Medium</t>
  </si>
  <si>
    <t xml:space="preserve">What is Wholesale ADV EOP YoY growth (Q1 FY27 vs Q1 FY26)?</t>
  </si>
  <si>
    <t xml:space="preserve">F ÷ E − 1</t>
  </si>
  <si>
    <t xml:space="preserve">What is the Wholesale CASA ratio (EOP) at Q1 FY27?</t>
  </si>
  <si>
    <t xml:space="preserve">(CA + SA) ÷ Deposits</t>
  </si>
  <si>
    <t xml:space="preserve">How far is Wholesale ADV EOP at Q1 FY27 from the Q2 FY27 budget (pacing)?</t>
  </si>
  <si>
    <t xml:space="preserve">Q1 A ÷ Q2 B ᴾ</t>
  </si>
  <si>
    <t xml:space="preserve">What growth does the FY27 budget imply for Wholesale ADV EOP over FY26 A?</t>
  </si>
  <si>
    <t xml:space="preserve">FY27 B ÷ FY26 A − 1 ᴾ</t>
  </si>
  <si>
    <t xml:space="preserve">High</t>
  </si>
  <si>
    <t xml:space="preserve">Is the Wholesale ADV AVG step-up to Jul'26 P (49,538) consistent with the Q2 FY27 budget AVG (47,771)?</t>
  </si>
  <si>
    <t xml:space="preserve">Jul P − Q2 B ᴾ</t>
  </si>
  <si>
    <t xml:space="preserve">July projection already exceeds the full-quarter budget average — budget looks conservative or July is a peak.</t>
  </si>
  <si>
    <t xml:space="preserve">Which segment drove the Wholesale Deposits EOP decline Mar-26 → Jun-26, and what share of the decline?</t>
  </si>
  <si>
    <t xml:space="preserve">ΔFIG ÷ ΔWholesale</t>
  </si>
  <si>
    <t xml:space="preserve">FIG explains more than half of the ₹9.3k Cr fall.</t>
  </si>
  <si>
    <t xml:space="preserve">Do segment deposits roll up to Wholesale once the duplicated MNC / Commercial blocks are excluded (Q1 FY27 A)?</t>
  </si>
  <si>
    <t xml:space="preserve">Σ ex-dup − Wholesale</t>
  </si>
  <si>
    <t xml:space="preserve">Residual indicates Commercial / MNC true deposits are missing from the page.</t>
  </si>
  <si>
    <t xml:space="preserve">What this page cannot support (feeds the data request)</t>
  </si>
  <si>
    <t xml:space="preserve">Not derivable: true deposits of MNC and Commercial Banking (duplicated), monthly trajectory between quarter-ends, yields / cost of funds, fee income, non-fund exposure, asset quality by segment, budget phasing by month, and the reason for the two 'Liabilities &amp; New Economy' blocks.</t>
  </si>
  <si>
    <t xml:space="preserve">Wholesale Banking balance sheet: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</si>
  <si>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</si>
  <si>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</si>
  <si>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</si>
  <si>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</si>
  <si>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X(s,c)</t>
  </si>
  <si>
    <t xml:space="preserve">Value of line X for segment s in column c, ₹ Cr</t>
  </si>
  <si>
    <t xml:space="preserve">c</t>
  </si>
  <si>
    <t xml:space="preserve">FY26 A (Mar-26 EOP / FY avg), Q1 FY26 A, Q1 FY27 A (actuals); Jul'26 P (projection); Q2 FY27 B, FY27 B (budgets) — P/B marked ᴾ</t>
  </si>
  <si>
    <t xml:space="preserve">ADV EOP / AVG</t>
  </si>
  <si>
    <t xml:space="preserve">Advances end-of-period / average</t>
  </si>
  <si>
    <t xml:space="preserve">CA, SA, TD, Dep</t>
  </si>
  <si>
    <t xml:space="preserve">Current, savings, term and total deposits (EOP and AVG)</t>
  </si>
  <si>
    <t xml:space="preserve">W</t>
  </si>
  <si>
    <t xml:space="preserve">Wholesale Banking total block</t>
  </si>
  <si>
    <t xml:space="preserve">Σs</t>
  </si>
  <si>
    <t xml:space="preserve">Sum over the 9 segment blocks (ex-dup = excluding MNC and Commercial Banking deposit duplicates)</t>
  </si>
  <si>
    <t xml:space="preserve">CASA</t>
  </si>
  <si>
    <t xml:space="preserve">LDR</t>
  </si>
  <si>
    <t xml:space="preserve">ADV EOP ÷ Deposits EOP</t>
  </si>
  <si>
    <t xml:space="preserve">g_YoY</t>
  </si>
  <si>
    <t xml:space="preserve">Q1 FY27 A ÷ Q1 FY26 A − 1</t>
  </si>
  <si>
    <t xml:space="preserve">pace</t>
  </si>
  <si>
    <t xml:space="preserve">Q1 FY27 A ÷ Q2 FY27 B ᴾ</t>
  </si>
  <si>
    <t xml:space="preserve">g_B</t>
  </si>
  <si>
    <t xml:space="preserve">FY27 B ÷ FY26 A − 1 (budgeted growth) ᴾ</t>
  </si>
  <si>
    <t xml:space="preserve">Values are ₹ Cr; A = actual, P = projection, B = budget (ᴾ); growth in %, ratios in x.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</si>
  <si>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</si>
  <si>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</si>
  <si>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</si>
  <si>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</si>
  <si>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</si>
  <si>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</si>
  <si>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</si>
  <si>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Line values</t>
  </si>
  <si>
    <t xml:space="preserve">10 blocks × 10 lines × 6 columns (600 cells)</t>
  </si>
  <si>
    <t xml:space="preserve">Wholesale deposits</t>
  </si>
  <si>
    <t xml:space="preserve">Dep EOP(W,c)</t>
  </si>
  <si>
    <t xml:space="preserve">6 columns</t>
  </si>
  <si>
    <t xml:space="preserve">Roll-up check</t>
  </si>
  <si>
    <t xml:space="preserve">Advances</t>
  </si>
  <si>
    <t xml:space="preserve">Σs ADV EOP − ADV EOP(W)</t>
  </si>
  <si>
    <t xml:space="preserve">Deposits as printed</t>
  </si>
  <si>
    <t xml:space="preserve">Σs Dep EOP − Dep EOP(W)</t>
  </si>
  <si>
    <t xml:space="preserve">Deposits ex-duplicates</t>
  </si>
  <si>
    <t xml:space="preserve">Σs(ex-dup) Dep EOP − Dep EOP(W)</t>
  </si>
  <si>
    <t xml:space="preserve">Deposit components</t>
  </si>
  <si>
    <t xml:space="preserve">CA + SA + TD − Deposits EOP</t>
  </si>
  <si>
    <t xml:space="preserve">10 blocks × 6</t>
  </si>
  <si>
    <t xml:space="preserve">Growth &amp; momentum</t>
  </si>
  <si>
    <t xml:space="preserve">YoY growth (Q1)</t>
  </si>
  <si>
    <t xml:space="preserve">g_YoY by line</t>
  </si>
  <si>
    <t xml:space="preserve">10 blocks × 10 lines</t>
  </si>
  <si>
    <t xml:space="preserve">Segment ADV YoY</t>
  </si>
  <si>
    <t xml:space="preserve">g_YoY(ADV EOP)</t>
  </si>
  <si>
    <t xml:space="preserve">9 segments</t>
  </si>
  <si>
    <t xml:space="preserve">Q1 FY27 vs Mar-26</t>
  </si>
  <si>
    <t xml:space="preserve">X(Q1 FY27 A) ÷ X(FY26 A) − 1</t>
  </si>
  <si>
    <t xml:space="preserve">EOP lines</t>
  </si>
  <si>
    <t xml:space="preserve">July projection vs Q1 ᴾ</t>
  </si>
  <si>
    <t xml:space="preserve">X(Jul P) ÷ X(Q1 FY27 A) − 1</t>
  </si>
  <si>
    <t xml:space="preserve">All lines</t>
  </si>
  <si>
    <t xml:space="preserve">Budget</t>
  </si>
  <si>
    <t xml:space="preserve">Budgeted growth ᴾ</t>
  </si>
  <si>
    <t xml:space="preserve">g_B = FY27 B ÷ FY26 A − 1</t>
  </si>
  <si>
    <t xml:space="preserve">Budgeted increment ᴾ</t>
  </si>
  <si>
    <t xml:space="preserve">FY27 B − FY26 A</t>
  </si>
  <si>
    <t xml:space="preserve">Segment share of budgeted ADV increment ᴾ</t>
  </si>
  <si>
    <t xml:space="preserve">(FY27 B − FY26 A)(s) ÷ same (W)</t>
  </si>
  <si>
    <t xml:space="preserve">Q2 pacing ᴾ</t>
  </si>
  <si>
    <t xml:space="preserve">pace = Q1 FY27 A ÷ Q2 FY27 B</t>
  </si>
  <si>
    <t xml:space="preserve">Q2 budget vs Q1 actual ᴾ</t>
  </si>
  <si>
    <t xml:space="preserve">Q2 FY27 B ÷ Q1 FY27 A − 1</t>
  </si>
  <si>
    <t xml:space="preserve">July projection vs Q2 budget ᴾ</t>
  </si>
  <si>
    <t xml:space="preserve">X(Jul P) − X(Q2 B)</t>
  </si>
  <si>
    <t xml:space="preserve">FY27 B remaining after Q1 ᴾ</t>
  </si>
  <si>
    <t xml:space="preserve">FY27 B − Q1 FY27 A (EOP lines)</t>
  </si>
  <si>
    <t xml:space="preserve">All EOP lines</t>
  </si>
  <si>
    <t xml:space="preserve">Mix &amp; share</t>
  </si>
  <si>
    <t xml:space="preserve">Segment share of Wholesale</t>
  </si>
  <si>
    <t xml:space="preserve">X(s) ÷ X(W), Q1 FY27 A</t>
  </si>
  <si>
    <t xml:space="preserve">9 segments × lines</t>
  </si>
  <si>
    <t xml:space="preserve">(CA + SA) ÷ Dep EOP</t>
  </si>
  <si>
    <t xml:space="preserve">(CA + SA) ÷ Dep AVG</t>
  </si>
  <si>
    <t xml:space="preserve">Segment CASA (EOP, Q1 FY27)</t>
  </si>
  <si>
    <t xml:space="preserve">CASA by segment</t>
  </si>
  <si>
    <t xml:space="preserve">Deposit mix</t>
  </si>
  <si>
    <t xml:space="preserve">CA / SA / TD ÷ Dep EOP</t>
  </si>
  <si>
    <t xml:space="preserve">W × 6</t>
  </si>
  <si>
    <t xml:space="preserve">Balance quality</t>
  </si>
  <si>
    <t xml:space="preserve">EOP ÷ AVG — advances</t>
  </si>
  <si>
    <t xml:space="preserve">EOP ÷ AVG — deposits</t>
  </si>
  <si>
    <t xml:space="preserve">Dep EOP ÷ Dep AVG</t>
  </si>
  <si>
    <t xml:space="preserve">EOP ÷ AVG — CA</t>
  </si>
  <si>
    <t xml:space="preserve">CA EOP ÷ CA AVG</t>
  </si>
  <si>
    <t xml:space="preserve">LDR by segment</t>
  </si>
  <si>
    <t xml:space="preserve">LDR of liability-led segments (Q1 FY27)</t>
  </si>
  <si>
    <t xml:space="preserve">ADV EOP ÷ Dep EOP for FIG, Govt, L&amp;NE(1)</t>
  </si>
  <si>
    <t xml:space="preserve">3 segments</t>
  </si>
  <si>
    <t xml:space="preserve">Attribution</t>
  </si>
  <si>
    <t xml:space="preserve">Segment contribution to Wholesale ADV YoY</t>
  </si>
  <si>
    <t xml:space="preserve">ΔADV(s) ÷ ΔADV(W), Q1 YoY</t>
  </si>
  <si>
    <t xml:space="preserve">Segment contribution to deposit decline Mar-26 → Jun-26</t>
  </si>
  <si>
    <t xml:space="preserve">ΔDep(s) ÷ ΔDep(W) (ex-dup)</t>
  </si>
  <si>
    <t xml:space="preserve">7 segments</t>
  </si>
  <si>
    <t xml:space="preserve">Concentration</t>
  </si>
  <si>
    <t xml:space="preserve">Top segment share of ADV</t>
  </si>
  <si>
    <t xml:space="preserve">max share</t>
  </si>
  <si>
    <t xml:space="preserve">Data integrity</t>
  </si>
  <si>
    <t xml:space="preserve">Duplicate deposit blocks</t>
  </si>
  <si>
    <t xml:space="preserve">MNC / Commercial Dep = Corporate Dep</t>
  </si>
  <si>
    <t xml:space="preserve">2 segments</t>
  </si>
  <si>
    <t xml:space="preserve">Mislabelled block</t>
  </si>
  <si>
    <t xml:space="preserve">L&amp;NE (2) ADV = IFI (Net Advances page)</t>
  </si>
  <si>
    <t xml:space="preserve">1 block</t>
  </si>
  <si>
    <t xml:space="preserve">Government Banking advances</t>
  </si>
  <si>
    <t xml:space="preserve">ADV EOP 0.3 at Q1 FY27 vs Jul P 372 ᴾ</t>
  </si>
  <si>
    <t xml:space="preserve">Cross-page basis</t>
  </si>
  <si>
    <t xml:space="preserve">ADV EOP Q1 FY27 vs Net Advances Jun-26 wholesale (51,044)</t>
  </si>
  <si>
    <t xml:space="preserve">Page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</si>
</sst>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-0.0%;0.0%"/>
    <numFmt numFmtId="167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D9E1F2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23.8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4" t="s">
        <v>8</v>
      </c>
      <c r="B9" s="5"/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4" t="s">
        <v>19</v>
      </c>
      <c r="B16" s="5"/>
    </row>
    <row r="17" customFormat="false" ht="23.85" hidden="false" customHeight="false" outlineLevel="0" collapsed="false">
      <c r="A17" s="6" t="s">
        <v>20</v>
      </c>
      <c r="B17" s="7" t="s">
        <v>21</v>
      </c>
    </row>
    <row r="18" customFormat="false" ht="23.85" hidden="false" customHeight="false" outlineLevel="0" collapsed="false">
      <c r="A18" s="6" t="s">
        <v>22</v>
      </c>
      <c r="B18" s="7" t="s">
        <v>23</v>
      </c>
    </row>
    <row r="19" customFormat="false" ht="23.85" hidden="false" customHeight="false" outlineLevel="0" collapsed="false">
      <c r="A19" s="6" t="s">
        <v>24</v>
      </c>
      <c r="B19" s="7" t="s">
        <v>25</v>
      </c>
    </row>
    <row r="20" customFormat="false" ht="15" hidden="false" customHeight="false" outlineLevel="0" collapsed="false">
      <c r="A20" s="6" t="s">
        <v>26</v>
      </c>
      <c r="B20" s="7" t="s">
        <v>27</v>
      </c>
    </row>
    <row r="21" customFormat="false" ht="23.85" hidden="false" customHeight="false" outlineLevel="0" collapsed="false">
      <c r="A21" s="6" t="s">
        <v>28</v>
      </c>
      <c r="B21" s="7" t="s">
        <v>29</v>
      </c>
    </row>
    <row r="22" customFormat="false" ht="15" hidden="false" customHeight="false" outlineLevel="0" collapsed="false">
      <c r="A22" s="6" t="s">
        <v>30</v>
      </c>
      <c r="B22" s="7" t="s">
        <v>31</v>
      </c>
    </row>
    <row r="24" customFormat="false" ht="15" hidden="false" customHeight="false" outlineLevel="0" collapsed="false">
      <c r="A24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17" min="4" style="0" width="1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35.05" hidden="false" customHeight="false" outlineLevel="0" collapsed="false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45</v>
      </c>
      <c r="L6" s="8" t="s">
        <v>46</v>
      </c>
      <c r="M6" s="8" t="s">
        <v>47</v>
      </c>
      <c r="N6" s="8" t="s">
        <v>48</v>
      </c>
      <c r="O6" s="8" t="s">
        <v>49</v>
      </c>
      <c r="P6" s="8" t="s">
        <v>50</v>
      </c>
      <c r="Q6" s="8" t="s">
        <v>51</v>
      </c>
    </row>
    <row r="7" customFormat="false" ht="15" hidden="false" customHeight="false" outlineLevel="0" collapsed="false">
      <c r="A7" s="9" t="n">
        <v>1</v>
      </c>
      <c r="B7" s="9" t="s">
        <v>52</v>
      </c>
      <c r="C7" s="10" t="s">
        <v>53</v>
      </c>
      <c r="D7" s="11" t="n">
        <v>47432</v>
      </c>
      <c r="E7" s="11" t="n">
        <v>38256</v>
      </c>
      <c r="F7" s="11" t="n">
        <v>51323</v>
      </c>
      <c r="G7" s="12" t="n">
        <v>52289</v>
      </c>
      <c r="H7" s="12" t="n">
        <v>53098</v>
      </c>
      <c r="I7" s="12" t="n">
        <v>59961</v>
      </c>
      <c r="J7" s="13" t="n">
        <f aca="false">IF(E7=0,"n/a",F7/E7-1)</f>
        <v>0.341567335842744</v>
      </c>
      <c r="K7" s="13" t="n">
        <f aca="false">IF(D7=0,"n/a",F7/D7-1)</f>
        <v>0.082033226513746</v>
      </c>
      <c r="L7" s="13" t="n">
        <f aca="false">IF(F7=0,"n/a",G7/F7-1)</f>
        <v>0.0188219706564308</v>
      </c>
      <c r="M7" s="13" t="n">
        <f aca="false">IF(F7=0,"n/a",H7/F7-1)</f>
        <v>0.0345848839701499</v>
      </c>
      <c r="N7" s="13" t="n">
        <f aca="false">IF(D7=0,"n/a",I7/D7-1)</f>
        <v>0.264146567717996</v>
      </c>
      <c r="O7" s="13" t="n">
        <f aca="false">IF(H7=0,"n/a",F7/H7)</f>
        <v>0.966571245621304</v>
      </c>
      <c r="P7" s="14" t="n">
        <f aca="false">I7-D7</f>
        <v>12529</v>
      </c>
      <c r="Q7" s="13" t="n">
        <f aca="false">F7/F$7</f>
        <v>1</v>
      </c>
    </row>
    <row r="8" customFormat="false" ht="15" hidden="false" customHeight="false" outlineLevel="0" collapsed="false">
      <c r="A8" s="9" t="n">
        <v>2</v>
      </c>
      <c r="B8" s="9" t="s">
        <v>52</v>
      </c>
      <c r="C8" s="9" t="s">
        <v>54</v>
      </c>
      <c r="D8" s="11" t="n">
        <v>38331</v>
      </c>
      <c r="E8" s="11" t="n">
        <v>34795</v>
      </c>
      <c r="F8" s="11" t="n">
        <v>45724</v>
      </c>
      <c r="G8" s="12" t="n">
        <v>49538</v>
      </c>
      <c r="H8" s="12" t="n">
        <v>47771</v>
      </c>
      <c r="I8" s="12" t="n">
        <v>49765</v>
      </c>
      <c r="J8" s="13" t="n">
        <f aca="false">IF(E8=0,"n/a",F8/E8-1)</f>
        <v>0.31409685299612</v>
      </c>
      <c r="K8" s="13" t="n">
        <f aca="false">IF(D8=0,"n/a",F8/D8-1)</f>
        <v>0.192872609637108</v>
      </c>
      <c r="L8" s="13" t="n">
        <f aca="false">IF(F8=0,"n/a",G8/F8-1)</f>
        <v>0.083413524626017</v>
      </c>
      <c r="M8" s="13" t="n">
        <f aca="false">IF(F8=0,"n/a",H8/F8-1)</f>
        <v>0.0447686116700201</v>
      </c>
      <c r="N8" s="13" t="n">
        <f aca="false">IF(D8=0,"n/a",I8/D8-1)</f>
        <v>0.298296418042837</v>
      </c>
      <c r="O8" s="13" t="n">
        <f aca="false">IF(H8=0,"n/a",F8/H8)</f>
        <v>0.957149735194993</v>
      </c>
      <c r="P8" s="14" t="n">
        <f aca="false">I8-D8</f>
        <v>11434</v>
      </c>
      <c r="Q8" s="13" t="n">
        <f aca="false">F8/F$8</f>
        <v>1</v>
      </c>
    </row>
    <row r="9" customFormat="false" ht="15" hidden="false" customHeight="false" outlineLevel="0" collapsed="false">
      <c r="A9" s="9" t="n">
        <v>3</v>
      </c>
      <c r="B9" s="9" t="s">
        <v>52</v>
      </c>
      <c r="C9" s="9" t="s">
        <v>55</v>
      </c>
      <c r="D9" s="11" t="n">
        <v>17886</v>
      </c>
      <c r="E9" s="11" t="n">
        <v>11680</v>
      </c>
      <c r="F9" s="11" t="n">
        <v>9341</v>
      </c>
      <c r="G9" s="12" t="n">
        <v>5649</v>
      </c>
      <c r="H9" s="12" t="n">
        <v>9607</v>
      </c>
      <c r="I9" s="12" t="n">
        <v>14432</v>
      </c>
      <c r="J9" s="13" t="n">
        <f aca="false">IF(E9=0,"n/a",F9/E9-1)</f>
        <v>-0.200256849315068</v>
      </c>
      <c r="K9" s="13" t="n">
        <f aca="false">IF(D9=0,"n/a",F9/D9-1)</f>
        <v>-0.477747959297775</v>
      </c>
      <c r="L9" s="13" t="n">
        <f aca="false">IF(F9=0,"n/a",G9/F9-1)</f>
        <v>-0.395246761588695</v>
      </c>
      <c r="M9" s="13" t="n">
        <f aca="false">IF(F9=0,"n/a",H9/F9-1)</f>
        <v>0.0284766085001607</v>
      </c>
      <c r="N9" s="13" t="n">
        <f aca="false">IF(D9=0,"n/a",I9/D9-1)</f>
        <v>-0.193111931119311</v>
      </c>
      <c r="O9" s="13" t="n">
        <f aca="false">IF(H9=0,"n/a",F9/H9)</f>
        <v>0.972311855938378</v>
      </c>
      <c r="P9" s="14" t="n">
        <f aca="false">I9-D9</f>
        <v>-3454</v>
      </c>
      <c r="Q9" s="13" t="n">
        <f aca="false">F9/F$9</f>
        <v>1</v>
      </c>
    </row>
    <row r="10" customFormat="false" ht="15" hidden="false" customHeight="false" outlineLevel="0" collapsed="false">
      <c r="A10" s="9" t="n">
        <v>4</v>
      </c>
      <c r="B10" s="9" t="s">
        <v>52</v>
      </c>
      <c r="C10" s="9" t="s">
        <v>56</v>
      </c>
      <c r="D10" s="11" t="n">
        <v>1783</v>
      </c>
      <c r="E10" s="11" t="n">
        <v>882</v>
      </c>
      <c r="F10" s="11" t="n">
        <v>1773</v>
      </c>
      <c r="G10" s="12" t="n">
        <v>1594</v>
      </c>
      <c r="H10" s="12" t="n">
        <v>1491</v>
      </c>
      <c r="I10" s="12" t="n">
        <v>2896</v>
      </c>
      <c r="J10" s="13" t="n">
        <f aca="false">IF(E10=0,"n/a",F10/E10-1)</f>
        <v>1.01020408163265</v>
      </c>
      <c r="K10" s="13" t="n">
        <f aca="false">IF(D10=0,"n/a",F10/D10-1)</f>
        <v>-0.00560852495793607</v>
      </c>
      <c r="L10" s="13" t="n">
        <f aca="false">IF(F10=0,"n/a",G10/F10-1)</f>
        <v>-0.100958826847152</v>
      </c>
      <c r="M10" s="13" t="n">
        <f aca="false">IF(F10=0,"n/a",H10/F10-1)</f>
        <v>-0.159052453468697</v>
      </c>
      <c r="N10" s="13" t="n">
        <f aca="false">IF(D10=0,"n/a",I10/D10-1)</f>
        <v>0.624228827818284</v>
      </c>
      <c r="O10" s="13" t="n">
        <f aca="false">IF(H10=0,"n/a",F10/H10)</f>
        <v>1.18913480885312</v>
      </c>
      <c r="P10" s="14" t="n">
        <f aca="false">I10-D10</f>
        <v>1113</v>
      </c>
      <c r="Q10" s="13" t="n">
        <f aca="false">F10/F$10</f>
        <v>1</v>
      </c>
    </row>
    <row r="11" customFormat="false" ht="15" hidden="false" customHeight="false" outlineLevel="0" collapsed="false">
      <c r="A11" s="9" t="n">
        <v>5</v>
      </c>
      <c r="B11" s="9" t="s">
        <v>52</v>
      </c>
      <c r="C11" s="9" t="s">
        <v>57</v>
      </c>
      <c r="D11" s="11" t="n">
        <v>33402</v>
      </c>
      <c r="E11" s="11" t="n">
        <v>29600</v>
      </c>
      <c r="F11" s="11" t="n">
        <v>32624</v>
      </c>
      <c r="G11" s="12" t="n">
        <v>30725</v>
      </c>
      <c r="H11" s="12" t="n">
        <v>35730</v>
      </c>
      <c r="I11" s="12" t="n">
        <v>40000</v>
      </c>
      <c r="J11" s="13" t="n">
        <f aca="false">IF(E11=0,"n/a",F11/E11-1)</f>
        <v>0.102162162162162</v>
      </c>
      <c r="K11" s="13" t="n">
        <f aca="false">IF(D11=0,"n/a",F11/D11-1)</f>
        <v>-0.0232920184420095</v>
      </c>
      <c r="L11" s="13" t="n">
        <f aca="false">IF(F11=0,"n/a",G11/F11-1)</f>
        <v>-0.058208680725846</v>
      </c>
      <c r="M11" s="13" t="n">
        <f aca="false">IF(F11=0,"n/a",H11/F11-1)</f>
        <v>0.0952059833251593</v>
      </c>
      <c r="N11" s="13" t="n">
        <f aca="false">IF(D11=0,"n/a",I11/D11-1)</f>
        <v>0.197533081851386</v>
      </c>
      <c r="O11" s="13" t="n">
        <f aca="false">IF(H11=0,"n/a",F11/H11)</f>
        <v>0.9130702490904</v>
      </c>
      <c r="P11" s="14" t="n">
        <f aca="false">I11-D11</f>
        <v>6598</v>
      </c>
      <c r="Q11" s="13" t="n">
        <f aca="false">F11/F$11</f>
        <v>1</v>
      </c>
    </row>
    <row r="12" customFormat="false" ht="15" hidden="false" customHeight="false" outlineLevel="0" collapsed="false">
      <c r="A12" s="9" t="n">
        <v>6</v>
      </c>
      <c r="B12" s="9" t="s">
        <v>52</v>
      </c>
      <c r="C12" s="10" t="s">
        <v>58</v>
      </c>
      <c r="D12" s="11" t="n">
        <v>53070</v>
      </c>
      <c r="E12" s="11" t="n">
        <v>42162</v>
      </c>
      <c r="F12" s="11" t="n">
        <v>43738</v>
      </c>
      <c r="G12" s="12" t="n">
        <v>37968</v>
      </c>
      <c r="H12" s="12" t="n">
        <v>46828</v>
      </c>
      <c r="I12" s="12" t="n">
        <v>57328</v>
      </c>
      <c r="J12" s="13" t="n">
        <f aca="false">IF(E12=0,"n/a",F12/E12-1)</f>
        <v>0.0373796309472985</v>
      </c>
      <c r="K12" s="13" t="n">
        <f aca="false">IF(D12=0,"n/a",F12/D12-1)</f>
        <v>-0.17584322592802</v>
      </c>
      <c r="L12" s="13" t="n">
        <f aca="false">IF(F12=0,"n/a",G12/F12-1)</f>
        <v>-0.131921898577896</v>
      </c>
      <c r="M12" s="13" t="n">
        <f aca="false">IF(F12=0,"n/a",H12/F12-1)</f>
        <v>0.0706479491517673</v>
      </c>
      <c r="N12" s="13" t="n">
        <f aca="false">IF(D12=0,"n/a",I12/D12-1)</f>
        <v>0.0802336536649708</v>
      </c>
      <c r="O12" s="13" t="n">
        <f aca="false">IF(H12=0,"n/a",F12/H12)</f>
        <v>0.934013837874776</v>
      </c>
      <c r="P12" s="14" t="n">
        <f aca="false">I12-D12</f>
        <v>4258</v>
      </c>
      <c r="Q12" s="13" t="n">
        <f aca="false">F12/F$12</f>
        <v>1</v>
      </c>
    </row>
    <row r="13" customFormat="false" ht="15" hidden="false" customHeight="false" outlineLevel="0" collapsed="false">
      <c r="A13" s="9" t="n">
        <v>7</v>
      </c>
      <c r="B13" s="9" t="s">
        <v>52</v>
      </c>
      <c r="C13" s="9" t="s">
        <v>59</v>
      </c>
      <c r="D13" s="11" t="n">
        <v>7267</v>
      </c>
      <c r="E13" s="11" t="n">
        <v>5688</v>
      </c>
      <c r="F13" s="11" t="n">
        <v>6544</v>
      </c>
      <c r="G13" s="12" t="n">
        <v>6069</v>
      </c>
      <c r="H13" s="12" t="n">
        <v>8165</v>
      </c>
      <c r="I13" s="12" t="n">
        <v>8633</v>
      </c>
      <c r="J13" s="13" t="n">
        <f aca="false">IF(E13=0,"n/a",F13/E13-1)</f>
        <v>0.150492264416315</v>
      </c>
      <c r="K13" s="13" t="n">
        <f aca="false">IF(D13=0,"n/a",F13/D13-1)</f>
        <v>-0.0994908490436218</v>
      </c>
      <c r="L13" s="13" t="n">
        <f aca="false">IF(F13=0,"n/a",G13/F13-1)</f>
        <v>-0.0725855745721271</v>
      </c>
      <c r="M13" s="13" t="n">
        <f aca="false">IF(F13=0,"n/a",H13/F13-1)</f>
        <v>0.24770782396088</v>
      </c>
      <c r="N13" s="13" t="n">
        <f aca="false">IF(D13=0,"n/a",I13/D13-1)</f>
        <v>0.187973028760149</v>
      </c>
      <c r="O13" s="13" t="n">
        <f aca="false">IF(H13=0,"n/a",F13/H13)</f>
        <v>0.801469687691366</v>
      </c>
      <c r="P13" s="14" t="n">
        <f aca="false">I13-D13</f>
        <v>1366</v>
      </c>
      <c r="Q13" s="13" t="n">
        <f aca="false">F13/F$13</f>
        <v>1</v>
      </c>
    </row>
    <row r="14" customFormat="false" ht="15" hidden="false" customHeight="false" outlineLevel="0" collapsed="false">
      <c r="A14" s="9" t="n">
        <v>8</v>
      </c>
      <c r="B14" s="9" t="s">
        <v>52</v>
      </c>
      <c r="C14" s="9" t="s">
        <v>60</v>
      </c>
      <c r="D14" s="11" t="n">
        <v>967</v>
      </c>
      <c r="E14" s="11" t="n">
        <v>908</v>
      </c>
      <c r="F14" s="11" t="n">
        <v>1580</v>
      </c>
      <c r="G14" s="12" t="n">
        <v>1123</v>
      </c>
      <c r="H14" s="12" t="n">
        <v>1225</v>
      </c>
      <c r="I14" s="12" t="n">
        <v>1336</v>
      </c>
      <c r="J14" s="13" t="n">
        <f aca="false">IF(E14=0,"n/a",F14/E14-1)</f>
        <v>0.740088105726872</v>
      </c>
      <c r="K14" s="13" t="n">
        <f aca="false">IF(D14=0,"n/a",F14/D14-1)</f>
        <v>0.633919338159255</v>
      </c>
      <c r="L14" s="13" t="n">
        <f aca="false">IF(F14=0,"n/a",G14/F14-1)</f>
        <v>-0.289240506329114</v>
      </c>
      <c r="M14" s="13" t="n">
        <f aca="false">IF(F14=0,"n/a",H14/F14-1)</f>
        <v>-0.224683544303797</v>
      </c>
      <c r="N14" s="13" t="n">
        <f aca="false">IF(D14=0,"n/a",I14/D14-1)</f>
        <v>0.381592554291624</v>
      </c>
      <c r="O14" s="13" t="n">
        <f aca="false">IF(H14=0,"n/a",F14/H14)</f>
        <v>1.28979591836735</v>
      </c>
      <c r="P14" s="14" t="n">
        <f aca="false">I14-D14</f>
        <v>369</v>
      </c>
      <c r="Q14" s="13" t="n">
        <f aca="false">F14/F$14</f>
        <v>1</v>
      </c>
    </row>
    <row r="15" customFormat="false" ht="15" hidden="false" customHeight="false" outlineLevel="0" collapsed="false">
      <c r="A15" s="9" t="n">
        <v>9</v>
      </c>
      <c r="B15" s="9" t="s">
        <v>52</v>
      </c>
      <c r="C15" s="9" t="s">
        <v>61</v>
      </c>
      <c r="D15" s="11" t="n">
        <v>30114</v>
      </c>
      <c r="E15" s="11" t="n">
        <v>26619</v>
      </c>
      <c r="F15" s="11" t="n">
        <v>36465</v>
      </c>
      <c r="G15" s="12" t="n">
        <v>32077</v>
      </c>
      <c r="H15" s="12" t="n">
        <v>35886</v>
      </c>
      <c r="I15" s="12" t="n">
        <v>37072</v>
      </c>
      <c r="J15" s="13" t="n">
        <f aca="false">IF(E15=0,"n/a",F15/E15-1)</f>
        <v>0.369886171531613</v>
      </c>
      <c r="K15" s="13" t="n">
        <f aca="false">IF(D15=0,"n/a",F15/D15-1)</f>
        <v>0.210898585375573</v>
      </c>
      <c r="L15" s="13" t="n">
        <f aca="false">IF(F15=0,"n/a",G15/F15-1)</f>
        <v>-0.120334567393391</v>
      </c>
      <c r="M15" s="13" t="n">
        <f aca="false">IF(F15=0,"n/a",H15/F15-1)</f>
        <v>-0.0158782394076512</v>
      </c>
      <c r="N15" s="13" t="n">
        <f aca="false">IF(D15=0,"n/a",I15/D15-1)</f>
        <v>0.231055323105532</v>
      </c>
      <c r="O15" s="13" t="n">
        <f aca="false">IF(H15=0,"n/a",F15/H15)</f>
        <v>1.01613442568132</v>
      </c>
      <c r="P15" s="14" t="n">
        <f aca="false">I15-D15</f>
        <v>6958</v>
      </c>
      <c r="Q15" s="13" t="n">
        <f aca="false">F15/F$15</f>
        <v>1</v>
      </c>
    </row>
    <row r="16" customFormat="false" ht="15" hidden="false" customHeight="false" outlineLevel="0" collapsed="false">
      <c r="A16" s="9" t="n">
        <v>10</v>
      </c>
      <c r="B16" s="9" t="s">
        <v>52</v>
      </c>
      <c r="C16" s="9" t="s">
        <v>62</v>
      </c>
      <c r="D16" s="11" t="n">
        <v>38348</v>
      </c>
      <c r="E16" s="11" t="n">
        <v>33215</v>
      </c>
      <c r="F16" s="11" t="n">
        <v>44589</v>
      </c>
      <c r="G16" s="12" t="n">
        <v>39268</v>
      </c>
      <c r="H16" s="12" t="n">
        <v>45276</v>
      </c>
      <c r="I16" s="12" t="n">
        <v>47041</v>
      </c>
      <c r="J16" s="13" t="n">
        <f aca="false">IF(E16=0,"n/a",F16/E16-1)</f>
        <v>0.342435646545236</v>
      </c>
      <c r="K16" s="13" t="n">
        <f aca="false">IF(D16=0,"n/a",F16/D16-1)</f>
        <v>0.162746427453844</v>
      </c>
      <c r="L16" s="13" t="n">
        <f aca="false">IF(F16=0,"n/a",G16/F16-1)</f>
        <v>-0.119334364977909</v>
      </c>
      <c r="M16" s="13" t="n">
        <f aca="false">IF(F16=0,"n/a",H16/F16-1)</f>
        <v>0.0154073874722465</v>
      </c>
      <c r="N16" s="13" t="n">
        <f aca="false">IF(D16=0,"n/a",I16/D16-1)</f>
        <v>0.226687180557004</v>
      </c>
      <c r="O16" s="13" t="n">
        <f aca="false">IF(H16=0,"n/a",F16/H16)</f>
        <v>0.984826398091704</v>
      </c>
      <c r="P16" s="14" t="n">
        <f aca="false">I16-D16</f>
        <v>8693</v>
      </c>
      <c r="Q16" s="13" t="n">
        <f aca="false">F16/F$16</f>
        <v>1</v>
      </c>
    </row>
    <row r="17" customFormat="false" ht="15" hidden="false" customHeight="false" outlineLevel="0" collapsed="false">
      <c r="A17" s="9" t="n">
        <v>11</v>
      </c>
      <c r="B17" s="9" t="s">
        <v>52</v>
      </c>
      <c r="C17" s="15" t="s">
        <v>63</v>
      </c>
      <c r="D17" s="13" t="n">
        <f aca="false">(D9+D10)/D12</f>
        <v>0.370623704541172</v>
      </c>
      <c r="E17" s="13" t="n">
        <f aca="false">(E9+E10)/E12</f>
        <v>0.297946017741094</v>
      </c>
      <c r="F17" s="13" t="n">
        <f aca="false">(F9+F10)/F12</f>
        <v>0.254103982806713</v>
      </c>
      <c r="G17" s="13" t="n">
        <f aca="false">(G9+G10)/G12</f>
        <v>0.190765908133165</v>
      </c>
      <c r="H17" s="13" t="n">
        <f aca="false">(H9+H10)/H12</f>
        <v>0.236994960280174</v>
      </c>
      <c r="I17" s="13" t="n">
        <f aca="false">(I9+I10)/I12</f>
        <v>0.302260675411666</v>
      </c>
    </row>
    <row r="18" customFormat="false" ht="15" hidden="false" customHeight="false" outlineLevel="0" collapsed="false">
      <c r="A18" s="9" t="n">
        <v>12</v>
      </c>
      <c r="B18" s="9" t="s">
        <v>52</v>
      </c>
      <c r="C18" s="15" t="s">
        <v>64</v>
      </c>
      <c r="D18" s="13" t="n">
        <f aca="false">(D13+D14)/D16</f>
        <v>0.214717847084594</v>
      </c>
      <c r="E18" s="13" t="n">
        <f aca="false">(E13+E14)/E16</f>
        <v>0.198584976667168</v>
      </c>
      <c r="F18" s="13" t="n">
        <f aca="false">(F13+F14)/F16</f>
        <v>0.182197402946915</v>
      </c>
      <c r="G18" s="13" t="n">
        <f aca="false">(G13+G14)/G16</f>
        <v>0.183151675664663</v>
      </c>
      <c r="H18" s="13" t="n">
        <f aca="false">(H13+H14)/H16</f>
        <v>0.207394646170156</v>
      </c>
      <c r="I18" s="13" t="n">
        <f aca="false">(I13+I14)/I16</f>
        <v>0.21192151527391</v>
      </c>
    </row>
    <row r="19" customFormat="false" ht="15" hidden="false" customHeight="false" outlineLevel="0" collapsed="false">
      <c r="A19" s="9" t="n">
        <v>13</v>
      </c>
      <c r="B19" s="9" t="s">
        <v>52</v>
      </c>
      <c r="C19" s="15" t="s">
        <v>65</v>
      </c>
      <c r="D19" s="16" t="n">
        <f aca="false">D7/D8</f>
        <v>1.23743184367744</v>
      </c>
      <c r="E19" s="16" t="n">
        <f aca="false">E7/E8</f>
        <v>1.09946831441299</v>
      </c>
      <c r="F19" s="16" t="n">
        <f aca="false">F7/F8</f>
        <v>1.12245210392792</v>
      </c>
      <c r="G19" s="16" t="n">
        <f aca="false">G7/G8</f>
        <v>1.05553312608503</v>
      </c>
      <c r="H19" s="16" t="n">
        <f aca="false">H7/H8</f>
        <v>1.11151116786335</v>
      </c>
      <c r="I19" s="16" t="n">
        <f aca="false">I7/I8</f>
        <v>1.20488294986436</v>
      </c>
    </row>
    <row r="20" customFormat="false" ht="15" hidden="false" customHeight="false" outlineLevel="0" collapsed="false">
      <c r="A20" s="9" t="n">
        <v>14</v>
      </c>
      <c r="B20" s="9" t="s">
        <v>52</v>
      </c>
      <c r="C20" s="15" t="s">
        <v>66</v>
      </c>
      <c r="D20" s="16" t="n">
        <f aca="false">D12/D16</f>
        <v>1.38390528841139</v>
      </c>
      <c r="E20" s="16" t="n">
        <f aca="false">E12/E16</f>
        <v>1.26936625018817</v>
      </c>
      <c r="F20" s="16" t="n">
        <f aca="false">F12/F16</f>
        <v>0.980914575343695</v>
      </c>
      <c r="G20" s="16" t="n">
        <f aca="false">G12/G16</f>
        <v>0.96689416318631</v>
      </c>
      <c r="H20" s="16" t="n">
        <f aca="false">H12/H16</f>
        <v>1.03427864652354</v>
      </c>
      <c r="I20" s="16" t="n">
        <f aca="false">I12/I16</f>
        <v>1.21868157564678</v>
      </c>
    </row>
    <row r="21" customFormat="false" ht="15" hidden="false" customHeight="false" outlineLevel="0" collapsed="false">
      <c r="A21" s="9" t="n">
        <v>15</v>
      </c>
      <c r="B21" s="9" t="s">
        <v>52</v>
      </c>
      <c r="C21" s="15" t="s">
        <v>67</v>
      </c>
      <c r="D21" s="16" t="n">
        <f aca="false">D7/D12</f>
        <v>0.89376295458828</v>
      </c>
      <c r="E21" s="16" t="n">
        <f aca="false">E7/E12</f>
        <v>0.907357335989754</v>
      </c>
      <c r="F21" s="16" t="n">
        <f aca="false">F7/F12</f>
        <v>1.17341899492432</v>
      </c>
      <c r="G21" s="16" t="n">
        <f aca="false">G7/G12</f>
        <v>1.37718605141172</v>
      </c>
      <c r="H21" s="16" t="n">
        <f aca="false">H7/H12</f>
        <v>1.13389425130264</v>
      </c>
      <c r="I21" s="16" t="n">
        <f aca="false">I7/I12</f>
        <v>1.04592869104103</v>
      </c>
    </row>
    <row r="22" customFormat="false" ht="15" hidden="false" customHeight="false" outlineLevel="0" collapsed="false">
      <c r="A22" s="9" t="n">
        <v>16</v>
      </c>
      <c r="B22" s="9" t="s">
        <v>52</v>
      </c>
      <c r="C22" s="15" t="s">
        <v>68</v>
      </c>
      <c r="D22" s="14" t="n">
        <f aca="false">D9+D10+D11-D12</f>
        <v>1</v>
      </c>
      <c r="E22" s="14" t="n">
        <f aca="false">E9+E10+E11-E12</f>
        <v>0</v>
      </c>
      <c r="F22" s="14" t="n">
        <f aca="false">F9+F10+F11-F12</f>
        <v>0</v>
      </c>
      <c r="G22" s="14" t="n">
        <f aca="false">G9+G10+G11-G12</f>
        <v>0</v>
      </c>
      <c r="H22" s="14" t="n">
        <f aca="false">H9+H10+H11-H12</f>
        <v>0</v>
      </c>
      <c r="I22" s="14" t="n">
        <f aca="false">I9+I10+I11-I12</f>
        <v>0</v>
      </c>
    </row>
    <row r="24" customFormat="false" ht="15" hidden="false" customHeight="false" outlineLevel="0" collapsed="false">
      <c r="A24" s="9" t="n">
        <v>18</v>
      </c>
      <c r="B24" s="9" t="s">
        <v>69</v>
      </c>
      <c r="C24" s="10" t="s">
        <v>53</v>
      </c>
      <c r="D24" s="11" t="n">
        <v>19187</v>
      </c>
      <c r="E24" s="11" t="n">
        <v>16505</v>
      </c>
      <c r="F24" s="11" t="n">
        <v>21087</v>
      </c>
      <c r="G24" s="12" t="n">
        <v>21204</v>
      </c>
      <c r="H24" s="12" t="n">
        <v>21800</v>
      </c>
      <c r="I24" s="12" t="n">
        <v>24158</v>
      </c>
      <c r="J24" s="13" t="n">
        <f aca="false">IF(E24=0,"n/a",F24/E24-1)</f>
        <v>0.277612844592548</v>
      </c>
      <c r="K24" s="13" t="n">
        <f aca="false">IF(D24=0,"n/a",F24/D24-1)</f>
        <v>0.099025381768906</v>
      </c>
      <c r="L24" s="13" t="n">
        <f aca="false">IF(F24=0,"n/a",G24/F24-1)</f>
        <v>0.00554844216816042</v>
      </c>
      <c r="M24" s="13" t="n">
        <f aca="false">IF(F24=0,"n/a",H24/F24-1)</f>
        <v>0.0338123014179352</v>
      </c>
      <c r="N24" s="13" t="n">
        <f aca="false">IF(D24=0,"n/a",I24/D24-1)</f>
        <v>0.259081669880648</v>
      </c>
      <c r="O24" s="13" t="n">
        <f aca="false">IF(H24=0,"n/a",F24/H24)</f>
        <v>0.967293577981651</v>
      </c>
      <c r="P24" s="14" t="n">
        <f aca="false">I24-D24</f>
        <v>4971</v>
      </c>
      <c r="Q24" s="13" t="n">
        <f aca="false">F24/F$7</f>
        <v>0.41086842156538</v>
      </c>
    </row>
    <row r="25" customFormat="false" ht="15" hidden="false" customHeight="false" outlineLevel="0" collapsed="false">
      <c r="A25" s="9" t="n">
        <v>19</v>
      </c>
      <c r="B25" s="9" t="s">
        <v>69</v>
      </c>
      <c r="C25" s="9" t="s">
        <v>54</v>
      </c>
      <c r="D25" s="11" t="n">
        <v>16617</v>
      </c>
      <c r="E25" s="11" t="n">
        <v>15344</v>
      </c>
      <c r="F25" s="11" t="n">
        <v>19045</v>
      </c>
      <c r="G25" s="12" t="n">
        <v>20430</v>
      </c>
      <c r="H25" s="12" t="n">
        <v>20581</v>
      </c>
      <c r="I25" s="12" t="n">
        <v>20878</v>
      </c>
      <c r="J25" s="13" t="n">
        <f aca="false">IF(E25=0,"n/a",F25/E25-1)</f>
        <v>0.241201772679875</v>
      </c>
      <c r="K25" s="13" t="n">
        <f aca="false">IF(D25=0,"n/a",F25/D25-1)</f>
        <v>0.146115423963411</v>
      </c>
      <c r="L25" s="13" t="n">
        <f aca="false">IF(F25=0,"n/a",G25/F25-1)</f>
        <v>0.0727224993436597</v>
      </c>
      <c r="M25" s="13" t="n">
        <f aca="false">IF(F25=0,"n/a",H25/F25-1)</f>
        <v>0.0806510895248096</v>
      </c>
      <c r="N25" s="13" t="n">
        <f aca="false">IF(D25=0,"n/a",I25/D25-1)</f>
        <v>0.256424143948968</v>
      </c>
      <c r="O25" s="13" t="n">
        <f aca="false">IF(H25=0,"n/a",F25/H25)</f>
        <v>0.925368057917497</v>
      </c>
      <c r="P25" s="14" t="n">
        <f aca="false">I25-D25</f>
        <v>4261</v>
      </c>
      <c r="Q25" s="13" t="n">
        <f aca="false">F25/F$8</f>
        <v>0.416520864316333</v>
      </c>
    </row>
    <row r="26" customFormat="false" ht="15" hidden="false" customHeight="false" outlineLevel="0" collapsed="false">
      <c r="A26" s="9" t="n">
        <v>20</v>
      </c>
      <c r="B26" s="9" t="s">
        <v>69</v>
      </c>
      <c r="C26" s="9" t="s">
        <v>55</v>
      </c>
      <c r="D26" s="11" t="n">
        <v>2969</v>
      </c>
      <c r="E26" s="11" t="n">
        <v>2293</v>
      </c>
      <c r="F26" s="11" t="n">
        <v>1945</v>
      </c>
      <c r="G26" s="12" t="n">
        <v>1164</v>
      </c>
      <c r="H26" s="12" t="n">
        <v>2400</v>
      </c>
      <c r="I26" s="12" t="n">
        <v>3750</v>
      </c>
      <c r="J26" s="13" t="n">
        <f aca="false">IF(E26=0,"n/a",F26/E26-1)</f>
        <v>-0.151766245093764</v>
      </c>
      <c r="K26" s="13" t="n">
        <f aca="false">IF(D26=0,"n/a",F26/D26-1)</f>
        <v>-0.34489727180869</v>
      </c>
      <c r="L26" s="13" t="n">
        <f aca="false">IF(F26=0,"n/a",G26/F26-1)</f>
        <v>-0.401542416452442</v>
      </c>
      <c r="M26" s="13" t="n">
        <f aca="false">IF(F26=0,"n/a",H26/F26-1)</f>
        <v>0.233933161953728</v>
      </c>
      <c r="N26" s="13" t="n">
        <f aca="false">IF(D26=0,"n/a",I26/D26-1)</f>
        <v>0.263051532502526</v>
      </c>
      <c r="O26" s="13" t="n">
        <f aca="false">IF(H26=0,"n/a",F26/H26)</f>
        <v>0.810416666666667</v>
      </c>
      <c r="P26" s="14" t="n">
        <f aca="false">I26-D26</f>
        <v>781</v>
      </c>
      <c r="Q26" s="13" t="n">
        <f aca="false">F26/F$9</f>
        <v>0.208221817792528</v>
      </c>
    </row>
    <row r="27" customFormat="false" ht="15" hidden="false" customHeight="false" outlineLevel="0" collapsed="false">
      <c r="A27" s="9" t="n">
        <v>21</v>
      </c>
      <c r="B27" s="9" t="s">
        <v>69</v>
      </c>
      <c r="C27" s="9" t="s">
        <v>56</v>
      </c>
      <c r="D27" s="11" t="n">
        <v>96</v>
      </c>
      <c r="E27" s="11" t="n">
        <v>34</v>
      </c>
      <c r="F27" s="11" t="n">
        <v>42</v>
      </c>
      <c r="G27" s="12" t="n">
        <v>63</v>
      </c>
      <c r="H27" s="12" t="n">
        <v>250</v>
      </c>
      <c r="I27" s="12" t="n">
        <v>250</v>
      </c>
      <c r="J27" s="13" t="n">
        <f aca="false">IF(E27=0,"n/a",F27/E27-1)</f>
        <v>0.235294117647059</v>
      </c>
      <c r="K27" s="13" t="n">
        <f aca="false">IF(D27=0,"n/a",F27/D27-1)</f>
        <v>-0.5625</v>
      </c>
      <c r="L27" s="13" t="n">
        <f aca="false">IF(F27=0,"n/a",G27/F27-1)</f>
        <v>0.5</v>
      </c>
      <c r="M27" s="13" t="n">
        <f aca="false">IF(F27=0,"n/a",H27/F27-1)</f>
        <v>4.95238095238095</v>
      </c>
      <c r="N27" s="13" t="n">
        <f aca="false">IF(D27=0,"n/a",I27/D27-1)</f>
        <v>1.60416666666667</v>
      </c>
      <c r="O27" s="13" t="n">
        <f aca="false">IF(H27=0,"n/a",F27/H27)</f>
        <v>0.168</v>
      </c>
      <c r="P27" s="14" t="n">
        <f aca="false">I27-D27</f>
        <v>154</v>
      </c>
      <c r="Q27" s="13" t="n">
        <f aca="false">F27/F$10</f>
        <v>0.0236886632825719</v>
      </c>
    </row>
    <row r="28" customFormat="false" ht="15" hidden="false" customHeight="false" outlineLevel="0" collapsed="false">
      <c r="A28" s="9" t="n">
        <v>22</v>
      </c>
      <c r="B28" s="9" t="s">
        <v>69</v>
      </c>
      <c r="C28" s="9" t="s">
        <v>57</v>
      </c>
      <c r="D28" s="11" t="n">
        <v>10242</v>
      </c>
      <c r="E28" s="11" t="n">
        <v>8988</v>
      </c>
      <c r="F28" s="11" t="n">
        <v>10045</v>
      </c>
      <c r="G28" s="12" t="n">
        <v>9583</v>
      </c>
      <c r="H28" s="12" t="n">
        <v>10650</v>
      </c>
      <c r="I28" s="12" t="n">
        <v>12646</v>
      </c>
      <c r="J28" s="13" t="n">
        <f aca="false">IF(E28=0,"n/a",F28/E28-1)</f>
        <v>0.117601246105919</v>
      </c>
      <c r="K28" s="13" t="n">
        <f aca="false">IF(D28=0,"n/a",F28/D28-1)</f>
        <v>-0.0192345245069322</v>
      </c>
      <c r="L28" s="13" t="n">
        <f aca="false">IF(F28=0,"n/a",G28/F28-1)</f>
        <v>-0.045993031358885</v>
      </c>
      <c r="M28" s="13" t="n">
        <f aca="false">IF(F28=0,"n/a",H28/F28-1)</f>
        <v>0.0602289696366352</v>
      </c>
      <c r="N28" s="13" t="n">
        <f aca="false">IF(D28=0,"n/a",I28/D28-1)</f>
        <v>0.234719781292716</v>
      </c>
      <c r="O28" s="13" t="n">
        <f aca="false">IF(H28=0,"n/a",F28/H28)</f>
        <v>0.943192488262911</v>
      </c>
      <c r="P28" s="14" t="n">
        <f aca="false">I28-D28</f>
        <v>2404</v>
      </c>
      <c r="Q28" s="13" t="n">
        <f aca="false">F28/F$11</f>
        <v>0.307902157920549</v>
      </c>
    </row>
    <row r="29" customFormat="false" ht="15" hidden="false" customHeight="false" outlineLevel="0" collapsed="false">
      <c r="A29" s="9" t="n">
        <v>23</v>
      </c>
      <c r="B29" s="9" t="s">
        <v>69</v>
      </c>
      <c r="C29" s="10" t="s">
        <v>58</v>
      </c>
      <c r="D29" s="11" t="n">
        <v>13307</v>
      </c>
      <c r="E29" s="11" t="n">
        <v>11314</v>
      </c>
      <c r="F29" s="11" t="n">
        <v>12031</v>
      </c>
      <c r="G29" s="12" t="n">
        <v>10810</v>
      </c>
      <c r="H29" s="12" t="n">
        <v>13300</v>
      </c>
      <c r="I29" s="12" t="n">
        <v>16646</v>
      </c>
      <c r="J29" s="13" t="n">
        <f aca="false">IF(E29=0,"n/a",F29/E29-1)</f>
        <v>0.0633728124447588</v>
      </c>
      <c r="K29" s="13" t="n">
        <f aca="false">IF(D29=0,"n/a",F29/D29-1)</f>
        <v>-0.0958893815285188</v>
      </c>
      <c r="L29" s="13" t="n">
        <f aca="false">IF(F29=0,"n/a",G29/F29-1)</f>
        <v>-0.101487823123597</v>
      </c>
      <c r="M29" s="13" t="n">
        <f aca="false">IF(F29=0,"n/a",H29/F29-1)</f>
        <v>0.105477516415926</v>
      </c>
      <c r="N29" s="13" t="n">
        <f aca="false">IF(D29=0,"n/a",I29/D29-1)</f>
        <v>0.250920568122041</v>
      </c>
      <c r="O29" s="13" t="n">
        <f aca="false">IF(H29=0,"n/a",F29/H29)</f>
        <v>0.904586466165414</v>
      </c>
      <c r="P29" s="14" t="n">
        <f aca="false">I29-D29</f>
        <v>3339</v>
      </c>
      <c r="Q29" s="13" t="n">
        <f aca="false">F29/F$12</f>
        <v>0.275069733412593</v>
      </c>
    </row>
    <row r="30" customFormat="false" ht="15" hidden="false" customHeight="false" outlineLevel="0" collapsed="false">
      <c r="A30" s="9" t="n">
        <v>24</v>
      </c>
      <c r="B30" s="9" t="s">
        <v>69</v>
      </c>
      <c r="C30" s="9" t="s">
        <v>59</v>
      </c>
      <c r="D30" s="11" t="n">
        <v>1279</v>
      </c>
      <c r="E30" s="11" t="n">
        <v>1098</v>
      </c>
      <c r="F30" s="11" t="n">
        <v>1298</v>
      </c>
      <c r="G30" s="12" t="n">
        <v>1175</v>
      </c>
      <c r="H30" s="12" t="n">
        <v>1562</v>
      </c>
      <c r="I30" s="12" t="n">
        <v>1610</v>
      </c>
      <c r="J30" s="13" t="n">
        <f aca="false">IF(E30=0,"n/a",F30/E30-1)</f>
        <v>0.182149362477231</v>
      </c>
      <c r="K30" s="13" t="n">
        <f aca="false">IF(D30=0,"n/a",F30/D30-1)</f>
        <v>0.0148553557466771</v>
      </c>
      <c r="L30" s="13" t="n">
        <f aca="false">IF(F30=0,"n/a",G30/F30-1)</f>
        <v>-0.0947611710323575</v>
      </c>
      <c r="M30" s="13" t="n">
        <f aca="false">IF(F30=0,"n/a",H30/F30-1)</f>
        <v>0.203389830508474</v>
      </c>
      <c r="N30" s="13" t="n">
        <f aca="false">IF(D30=0,"n/a",I30/D30-1)</f>
        <v>0.25879593432369</v>
      </c>
      <c r="O30" s="13" t="n">
        <f aca="false">IF(H30=0,"n/a",F30/H30)</f>
        <v>0.830985915492958</v>
      </c>
      <c r="P30" s="14" t="n">
        <f aca="false">I30-D30</f>
        <v>331</v>
      </c>
      <c r="Q30" s="13" t="n">
        <f aca="false">F30/F$13</f>
        <v>0.198349633251834</v>
      </c>
    </row>
    <row r="31" customFormat="false" ht="15" hidden="false" customHeight="false" outlineLevel="0" collapsed="false">
      <c r="A31" s="9" t="n">
        <v>25</v>
      </c>
      <c r="B31" s="9" t="s">
        <v>69</v>
      </c>
      <c r="C31" s="9" t="s">
        <v>60</v>
      </c>
      <c r="D31" s="11" t="n">
        <v>101</v>
      </c>
      <c r="E31" s="11" t="n">
        <v>46</v>
      </c>
      <c r="F31" s="11" t="n">
        <v>49</v>
      </c>
      <c r="G31" s="12" t="n">
        <v>57</v>
      </c>
      <c r="H31" s="12" t="n">
        <v>150</v>
      </c>
      <c r="I31" s="12" t="n">
        <v>150</v>
      </c>
      <c r="J31" s="13" t="n">
        <f aca="false">IF(E31=0,"n/a",F31/E31-1)</f>
        <v>0.0652173913043479</v>
      </c>
      <c r="K31" s="13" t="n">
        <f aca="false">IF(D31=0,"n/a",F31/D31-1)</f>
        <v>-0.514851485148515</v>
      </c>
      <c r="L31" s="13" t="n">
        <f aca="false">IF(F31=0,"n/a",G31/F31-1)</f>
        <v>0.163265306122449</v>
      </c>
      <c r="M31" s="13" t="n">
        <f aca="false">IF(F31=0,"n/a",H31/F31-1)</f>
        <v>2.06122448979592</v>
      </c>
      <c r="N31" s="13" t="n">
        <f aca="false">IF(D31=0,"n/a",I31/D31-1)</f>
        <v>0.485148514851485</v>
      </c>
      <c r="O31" s="13" t="n">
        <f aca="false">IF(H31=0,"n/a",F31/H31)</f>
        <v>0.326666666666667</v>
      </c>
      <c r="P31" s="14" t="n">
        <f aca="false">I31-D31</f>
        <v>49</v>
      </c>
      <c r="Q31" s="13" t="n">
        <f aca="false">F31/F$14</f>
        <v>0.0310126582278481</v>
      </c>
    </row>
    <row r="32" customFormat="false" ht="15" hidden="false" customHeight="false" outlineLevel="0" collapsed="false">
      <c r="A32" s="9" t="n">
        <v>26</v>
      </c>
      <c r="B32" s="9" t="s">
        <v>69</v>
      </c>
      <c r="C32" s="9" t="s">
        <v>61</v>
      </c>
      <c r="D32" s="11" t="n">
        <v>9138</v>
      </c>
      <c r="E32" s="11" t="n">
        <v>8375</v>
      </c>
      <c r="F32" s="11" t="n">
        <v>10633</v>
      </c>
      <c r="G32" s="12" t="n">
        <v>9708</v>
      </c>
      <c r="H32" s="12" t="n">
        <v>10790</v>
      </c>
      <c r="I32" s="12" t="n">
        <v>10944</v>
      </c>
      <c r="J32" s="13" t="n">
        <f aca="false">IF(E32=0,"n/a",F32/E32-1)</f>
        <v>0.269611940298508</v>
      </c>
      <c r="K32" s="13" t="n">
        <f aca="false">IF(D32=0,"n/a",F32/D32-1)</f>
        <v>0.163602538848763</v>
      </c>
      <c r="L32" s="13" t="n">
        <f aca="false">IF(F32=0,"n/a",G32/F32-1)</f>
        <v>-0.086993322674692</v>
      </c>
      <c r="M32" s="13" t="n">
        <f aca="false">IF(F32=0,"n/a",H32/F32-1)</f>
        <v>0.0147653531458667</v>
      </c>
      <c r="N32" s="13" t="n">
        <f aca="false">IF(D32=0,"n/a",I32/D32-1)</f>
        <v>0.19763624425476</v>
      </c>
      <c r="O32" s="13" t="n">
        <f aca="false">IF(H32=0,"n/a",F32/H32)</f>
        <v>0.985449490268767</v>
      </c>
      <c r="P32" s="14" t="n">
        <f aca="false">I32-D32</f>
        <v>1806</v>
      </c>
      <c r="Q32" s="13" t="n">
        <f aca="false">F32/F$15</f>
        <v>0.291594679829974</v>
      </c>
    </row>
    <row r="33" customFormat="false" ht="15" hidden="false" customHeight="false" outlineLevel="0" collapsed="false">
      <c r="A33" s="9" t="n">
        <v>27</v>
      </c>
      <c r="B33" s="9" t="s">
        <v>69</v>
      </c>
      <c r="C33" s="9" t="s">
        <v>62</v>
      </c>
      <c r="D33" s="11" t="n">
        <v>10518</v>
      </c>
      <c r="E33" s="11" t="n">
        <v>9519</v>
      </c>
      <c r="F33" s="11" t="n">
        <v>11980</v>
      </c>
      <c r="G33" s="12" t="n">
        <v>10940</v>
      </c>
      <c r="H33" s="12" t="n">
        <v>12502</v>
      </c>
      <c r="I33" s="12" t="n">
        <v>12704</v>
      </c>
      <c r="J33" s="13" t="n">
        <f aca="false">IF(E33=0,"n/a",F33/E33-1)</f>
        <v>0.258535560458031</v>
      </c>
      <c r="K33" s="13" t="n">
        <f aca="false">IF(D33=0,"n/a",F33/D33-1)</f>
        <v>0.138999809849781</v>
      </c>
      <c r="L33" s="13" t="n">
        <f aca="false">IF(F33=0,"n/a",G33/F33-1)</f>
        <v>-0.0868113522537563</v>
      </c>
      <c r="M33" s="13" t="n">
        <f aca="false">IF(F33=0,"n/a",H33/F33-1)</f>
        <v>0.0435726210350584</v>
      </c>
      <c r="N33" s="13" t="n">
        <f aca="false">IF(D33=0,"n/a",I33/D33-1)</f>
        <v>0.207834189009317</v>
      </c>
      <c r="O33" s="13" t="n">
        <f aca="false">IF(H33=0,"n/a",F33/H33)</f>
        <v>0.958246680531115</v>
      </c>
      <c r="P33" s="14" t="n">
        <f aca="false">I33-D33</f>
        <v>2186</v>
      </c>
      <c r="Q33" s="13" t="n">
        <f aca="false">F33/F$16</f>
        <v>0.268676130884299</v>
      </c>
    </row>
    <row r="34" customFormat="false" ht="15" hidden="false" customHeight="false" outlineLevel="0" collapsed="false">
      <c r="A34" s="9" t="n">
        <v>28</v>
      </c>
      <c r="B34" s="9" t="s">
        <v>69</v>
      </c>
      <c r="C34" s="15" t="s">
        <v>63</v>
      </c>
      <c r="D34" s="13" t="n">
        <f aca="false">(D26+D27)/D29</f>
        <v>0.230329901555572</v>
      </c>
      <c r="E34" s="13" t="n">
        <f aca="false">(E26+E27)/E29</f>
        <v>0.205674385716811</v>
      </c>
      <c r="F34" s="13" t="n">
        <f aca="false">(F26+F27)/F29</f>
        <v>0.165156678580334</v>
      </c>
      <c r="G34" s="13" t="n">
        <f aca="false">(G26+G27)/G29</f>
        <v>0.113506012950971</v>
      </c>
      <c r="H34" s="13" t="n">
        <f aca="false">(H26+H27)/H29</f>
        <v>0.199248120300752</v>
      </c>
      <c r="I34" s="13" t="n">
        <f aca="false">(I26+I27)/I29</f>
        <v>0.240297969482158</v>
      </c>
    </row>
    <row r="35" customFormat="false" ht="15" hidden="false" customHeight="false" outlineLevel="0" collapsed="false">
      <c r="A35" s="9" t="n">
        <v>29</v>
      </c>
      <c r="B35" s="9" t="s">
        <v>69</v>
      </c>
      <c r="C35" s="15" t="s">
        <v>64</v>
      </c>
      <c r="D35" s="13" t="n">
        <f aca="false">(D30+D31)/D33</f>
        <v>0.131203650884199</v>
      </c>
      <c r="E35" s="13" t="n">
        <f aca="false">(E30+E31)/E33</f>
        <v>0.120180691249081</v>
      </c>
      <c r="F35" s="13" t="n">
        <f aca="false">(F30+F31)/F33</f>
        <v>0.112437395659432</v>
      </c>
      <c r="G35" s="13" t="n">
        <f aca="false">(G30+G31)/G33</f>
        <v>0.112614259597806</v>
      </c>
      <c r="H35" s="13" t="n">
        <f aca="false">(H30+H31)/H33</f>
        <v>0.136938089905615</v>
      </c>
      <c r="I35" s="13" t="n">
        <f aca="false">(I30+I31)/I33</f>
        <v>0.138539042821159</v>
      </c>
    </row>
    <row r="36" customFormat="false" ht="15" hidden="false" customHeight="false" outlineLevel="0" collapsed="false">
      <c r="A36" s="9" t="n">
        <v>30</v>
      </c>
      <c r="B36" s="9" t="s">
        <v>69</v>
      </c>
      <c r="C36" s="15" t="s">
        <v>65</v>
      </c>
      <c r="D36" s="16" t="n">
        <f aca="false">D24/D25</f>
        <v>1.15466088945056</v>
      </c>
      <c r="E36" s="16" t="n">
        <f aca="false">E24/E25</f>
        <v>1.07566475495308</v>
      </c>
      <c r="F36" s="16" t="n">
        <f aca="false">F24/F25</f>
        <v>1.10721974271462</v>
      </c>
      <c r="G36" s="16" t="n">
        <f aca="false">G24/G25</f>
        <v>1.03788546255507</v>
      </c>
      <c r="H36" s="16" t="n">
        <f aca="false">H24/H25</f>
        <v>1.05922938632719</v>
      </c>
      <c r="I36" s="16" t="n">
        <f aca="false">I24/I25</f>
        <v>1.1571031708018</v>
      </c>
    </row>
    <row r="37" customFormat="false" ht="15" hidden="false" customHeight="false" outlineLevel="0" collapsed="false">
      <c r="A37" s="9" t="n">
        <v>31</v>
      </c>
      <c r="B37" s="9" t="s">
        <v>69</v>
      </c>
      <c r="C37" s="15" t="s">
        <v>66</v>
      </c>
      <c r="D37" s="16" t="n">
        <f aca="false">D29/D33</f>
        <v>1.26516447993915</v>
      </c>
      <c r="E37" s="16" t="n">
        <f aca="false">E29/E33</f>
        <v>1.18857022796512</v>
      </c>
      <c r="F37" s="16" t="n">
        <f aca="false">F29/F33</f>
        <v>1.0042570951586</v>
      </c>
      <c r="G37" s="16" t="n">
        <f aca="false">G29/G33</f>
        <v>0.988117001828154</v>
      </c>
      <c r="H37" s="16" t="n">
        <f aca="false">H29/H33</f>
        <v>1.06382978723404</v>
      </c>
      <c r="I37" s="16" t="n">
        <f aca="false">I29/I33</f>
        <v>1.3102959697733</v>
      </c>
    </row>
    <row r="38" customFormat="false" ht="15" hidden="false" customHeight="false" outlineLevel="0" collapsed="false">
      <c r="A38" s="9" t="n">
        <v>32</v>
      </c>
      <c r="B38" s="9" t="s">
        <v>69</v>
      </c>
      <c r="C38" s="15" t="s">
        <v>67</v>
      </c>
      <c r="D38" s="16" t="n">
        <f aca="false">D24/D29</f>
        <v>1.44187269857969</v>
      </c>
      <c r="E38" s="16" t="n">
        <f aca="false">E24/E29</f>
        <v>1.45881209121442</v>
      </c>
      <c r="F38" s="16" t="n">
        <f aca="false">F24/F29</f>
        <v>1.75272213448591</v>
      </c>
      <c r="G38" s="16" t="n">
        <f aca="false">G24/G29</f>
        <v>1.96151711378353</v>
      </c>
      <c r="H38" s="16" t="n">
        <f aca="false">H24/H29</f>
        <v>1.6390977443609</v>
      </c>
      <c r="I38" s="16" t="n">
        <f aca="false">I24/I29</f>
        <v>1.45127958668749</v>
      </c>
    </row>
    <row r="39" customFormat="false" ht="15" hidden="false" customHeight="false" outlineLevel="0" collapsed="false">
      <c r="A39" s="9" t="n">
        <v>33</v>
      </c>
      <c r="B39" s="9" t="s">
        <v>69</v>
      </c>
      <c r="C39" s="15" t="s">
        <v>68</v>
      </c>
      <c r="D39" s="14" t="n">
        <f aca="false">D26+D27+D28-D29</f>
        <v>0</v>
      </c>
      <c r="E39" s="14" t="n">
        <f aca="false">E26+E27+E28-E29</f>
        <v>1</v>
      </c>
      <c r="F39" s="14" t="n">
        <f aca="false">F26+F27+F28-F29</f>
        <v>1</v>
      </c>
      <c r="G39" s="14" t="n">
        <f aca="false">G26+G27+G28-G29</f>
        <v>0</v>
      </c>
      <c r="H39" s="14" t="n">
        <f aca="false">H26+H27+H28-H29</f>
        <v>0</v>
      </c>
      <c r="I39" s="14" t="n">
        <f aca="false">I26+I27+I28-I29</f>
        <v>0</v>
      </c>
    </row>
    <row r="41" customFormat="false" ht="15" hidden="false" customHeight="false" outlineLevel="0" collapsed="false">
      <c r="A41" s="9" t="n">
        <v>35</v>
      </c>
      <c r="B41" s="9" t="s">
        <v>70</v>
      </c>
      <c r="C41" s="10" t="s">
        <v>53</v>
      </c>
      <c r="D41" s="11" t="n">
        <v>322.2</v>
      </c>
      <c r="E41" s="11" t="n">
        <v>352.4</v>
      </c>
      <c r="F41" s="11" t="n">
        <v>145.1</v>
      </c>
      <c r="G41" s="12" t="n">
        <v>189.6</v>
      </c>
      <c r="H41" s="12" t="n">
        <v>405</v>
      </c>
      <c r="I41" s="12" t="n">
        <v>467</v>
      </c>
      <c r="J41" s="13" t="n">
        <f aca="false">IF(E41=0,"n/a",F41/E41-1)</f>
        <v>-0.588251986379115</v>
      </c>
      <c r="K41" s="13" t="n">
        <f aca="false">IF(D41=0,"n/a",F41/D41-1)</f>
        <v>-0.549658597144631</v>
      </c>
      <c r="L41" s="13" t="n">
        <f aca="false">IF(F41=0,"n/a",G41/F41-1)</f>
        <v>0.306685044796692</v>
      </c>
      <c r="M41" s="13" t="n">
        <f aca="false">IF(F41=0,"n/a",H41/F41-1)</f>
        <v>1.79117849758787</v>
      </c>
      <c r="N41" s="13" t="n">
        <f aca="false">IF(D41=0,"n/a",I41/D41-1)</f>
        <v>0.449410304158908</v>
      </c>
      <c r="O41" s="13" t="n">
        <f aca="false">IF(H41=0,"n/a",F41/H41)</f>
        <v>0.358271604938272</v>
      </c>
      <c r="P41" s="14" t="n">
        <f aca="false">I41-D41</f>
        <v>144.8</v>
      </c>
      <c r="Q41" s="13" t="n">
        <f aca="false">F41/F$7</f>
        <v>0.00282719248679929</v>
      </c>
    </row>
    <row r="42" customFormat="false" ht="15" hidden="false" customHeight="false" outlineLevel="0" collapsed="false">
      <c r="A42" s="9" t="n">
        <v>36</v>
      </c>
      <c r="B42" s="9" t="s">
        <v>70</v>
      </c>
      <c r="C42" s="9" t="s">
        <v>54</v>
      </c>
      <c r="D42" s="11" t="n">
        <v>197.2</v>
      </c>
      <c r="E42" s="11" t="n">
        <v>143.5</v>
      </c>
      <c r="F42" s="11" t="n">
        <v>188.3</v>
      </c>
      <c r="G42" s="12" t="n">
        <v>150.4</v>
      </c>
      <c r="H42" s="12" t="n">
        <v>350</v>
      </c>
      <c r="I42" s="12" t="n">
        <v>388</v>
      </c>
      <c r="J42" s="13" t="n">
        <f aca="false">IF(E42=0,"n/a",F42/E42-1)</f>
        <v>0.31219512195122</v>
      </c>
      <c r="K42" s="13" t="n">
        <f aca="false">IF(D42=0,"n/a",F42/D42-1)</f>
        <v>-0.0451318458417849</v>
      </c>
      <c r="L42" s="13" t="n">
        <f aca="false">IF(F42=0,"n/a",G42/F42-1)</f>
        <v>-0.201274561869357</v>
      </c>
      <c r="M42" s="13" t="n">
        <f aca="false">IF(F42=0,"n/a",H42/F42-1)</f>
        <v>0.858736059479554</v>
      </c>
      <c r="N42" s="13" t="n">
        <f aca="false">IF(D42=0,"n/a",I42/D42-1)</f>
        <v>0.967545638945234</v>
      </c>
      <c r="O42" s="13" t="n">
        <f aca="false">IF(H42=0,"n/a",F42/H42)</f>
        <v>0.538</v>
      </c>
      <c r="P42" s="14" t="n">
        <f aca="false">I42-D42</f>
        <v>190.8</v>
      </c>
      <c r="Q42" s="13" t="n">
        <f aca="false">F42/F$8</f>
        <v>0.00411818738518065</v>
      </c>
    </row>
    <row r="43" customFormat="false" ht="15" hidden="false" customHeight="false" outlineLevel="0" collapsed="false">
      <c r="A43" s="9" t="n">
        <v>37</v>
      </c>
      <c r="B43" s="9" t="s">
        <v>70</v>
      </c>
      <c r="C43" s="9" t="s">
        <v>55</v>
      </c>
      <c r="D43" s="11" t="n">
        <v>2969</v>
      </c>
      <c r="E43" s="11" t="n">
        <v>2293</v>
      </c>
      <c r="F43" s="11" t="n">
        <v>1945</v>
      </c>
      <c r="G43" s="12" t="n">
        <v>1164</v>
      </c>
      <c r="H43" s="12" t="n">
        <v>2400</v>
      </c>
      <c r="I43" s="12" t="n">
        <v>3750</v>
      </c>
      <c r="J43" s="13" t="n">
        <f aca="false">IF(E43=0,"n/a",F43/E43-1)</f>
        <v>-0.151766245093764</v>
      </c>
      <c r="K43" s="13" t="n">
        <f aca="false">IF(D43=0,"n/a",F43/D43-1)</f>
        <v>-0.34489727180869</v>
      </c>
      <c r="L43" s="13" t="n">
        <f aca="false">IF(F43=0,"n/a",G43/F43-1)</f>
        <v>-0.401542416452442</v>
      </c>
      <c r="M43" s="13" t="n">
        <f aca="false">IF(F43=0,"n/a",H43/F43-1)</f>
        <v>0.233933161953728</v>
      </c>
      <c r="N43" s="13" t="n">
        <f aca="false">IF(D43=0,"n/a",I43/D43-1)</f>
        <v>0.263051532502526</v>
      </c>
      <c r="O43" s="13" t="n">
        <f aca="false">IF(H43=0,"n/a",F43/H43)</f>
        <v>0.810416666666667</v>
      </c>
      <c r="P43" s="14" t="n">
        <f aca="false">I43-D43</f>
        <v>781</v>
      </c>
      <c r="Q43" s="13" t="n">
        <f aca="false">F43/F$9</f>
        <v>0.208221817792528</v>
      </c>
    </row>
    <row r="44" customFormat="false" ht="15" hidden="false" customHeight="false" outlineLevel="0" collapsed="false">
      <c r="A44" s="9" t="n">
        <v>38</v>
      </c>
      <c r="B44" s="9" t="s">
        <v>70</v>
      </c>
      <c r="C44" s="9" t="s">
        <v>56</v>
      </c>
      <c r="D44" s="11" t="n">
        <v>96</v>
      </c>
      <c r="E44" s="11" t="n">
        <v>34</v>
      </c>
      <c r="F44" s="11" t="n">
        <v>42</v>
      </c>
      <c r="G44" s="12" t="n">
        <v>63</v>
      </c>
      <c r="H44" s="12" t="n">
        <v>250</v>
      </c>
      <c r="I44" s="12" t="n">
        <v>250</v>
      </c>
      <c r="J44" s="13" t="n">
        <f aca="false">IF(E44=0,"n/a",F44/E44-1)</f>
        <v>0.235294117647059</v>
      </c>
      <c r="K44" s="13" t="n">
        <f aca="false">IF(D44=0,"n/a",F44/D44-1)</f>
        <v>-0.5625</v>
      </c>
      <c r="L44" s="13" t="n">
        <f aca="false">IF(F44=0,"n/a",G44/F44-1)</f>
        <v>0.5</v>
      </c>
      <c r="M44" s="13" t="n">
        <f aca="false">IF(F44=0,"n/a",H44/F44-1)</f>
        <v>4.95238095238095</v>
      </c>
      <c r="N44" s="13" t="n">
        <f aca="false">IF(D44=0,"n/a",I44/D44-1)</f>
        <v>1.60416666666667</v>
      </c>
      <c r="O44" s="13" t="n">
        <f aca="false">IF(H44=0,"n/a",F44/H44)</f>
        <v>0.168</v>
      </c>
      <c r="P44" s="14" t="n">
        <f aca="false">I44-D44</f>
        <v>154</v>
      </c>
      <c r="Q44" s="13" t="n">
        <f aca="false">F44/F$10</f>
        <v>0.0236886632825719</v>
      </c>
    </row>
    <row r="45" customFormat="false" ht="15" hidden="false" customHeight="false" outlineLevel="0" collapsed="false">
      <c r="A45" s="9" t="n">
        <v>39</v>
      </c>
      <c r="B45" s="9" t="s">
        <v>70</v>
      </c>
      <c r="C45" s="9" t="s">
        <v>57</v>
      </c>
      <c r="D45" s="11" t="n">
        <v>10242</v>
      </c>
      <c r="E45" s="11" t="n">
        <v>8988</v>
      </c>
      <c r="F45" s="11" t="n">
        <v>10045</v>
      </c>
      <c r="G45" s="12" t="n">
        <v>9583</v>
      </c>
      <c r="H45" s="12" t="n">
        <v>10650</v>
      </c>
      <c r="I45" s="12" t="n">
        <v>12646</v>
      </c>
      <c r="J45" s="13" t="n">
        <f aca="false">IF(E45=0,"n/a",F45/E45-1)</f>
        <v>0.117601246105919</v>
      </c>
      <c r="K45" s="13" t="n">
        <f aca="false">IF(D45=0,"n/a",F45/D45-1)</f>
        <v>-0.0192345245069322</v>
      </c>
      <c r="L45" s="13" t="n">
        <f aca="false">IF(F45=0,"n/a",G45/F45-1)</f>
        <v>-0.045993031358885</v>
      </c>
      <c r="M45" s="13" t="n">
        <f aca="false">IF(F45=0,"n/a",H45/F45-1)</f>
        <v>0.0602289696366352</v>
      </c>
      <c r="N45" s="13" t="n">
        <f aca="false">IF(D45=0,"n/a",I45/D45-1)</f>
        <v>0.234719781292716</v>
      </c>
      <c r="O45" s="13" t="n">
        <f aca="false">IF(H45=0,"n/a",F45/H45)</f>
        <v>0.943192488262911</v>
      </c>
      <c r="P45" s="14" t="n">
        <f aca="false">I45-D45</f>
        <v>2404</v>
      </c>
      <c r="Q45" s="13" t="n">
        <f aca="false">F45/F$11</f>
        <v>0.307902157920549</v>
      </c>
    </row>
    <row r="46" customFormat="false" ht="15" hidden="false" customHeight="false" outlineLevel="0" collapsed="false">
      <c r="A46" s="9" t="n">
        <v>40</v>
      </c>
      <c r="B46" s="9" t="s">
        <v>70</v>
      </c>
      <c r="C46" s="10" t="s">
        <v>58</v>
      </c>
      <c r="D46" s="11" t="n">
        <v>13307</v>
      </c>
      <c r="E46" s="11" t="n">
        <v>11314</v>
      </c>
      <c r="F46" s="11" t="n">
        <v>12031</v>
      </c>
      <c r="G46" s="12" t="n">
        <v>10810</v>
      </c>
      <c r="H46" s="12" t="n">
        <v>13300</v>
      </c>
      <c r="I46" s="12" t="n">
        <v>16646</v>
      </c>
      <c r="J46" s="13" t="n">
        <f aca="false">IF(E46=0,"n/a",F46/E46-1)</f>
        <v>0.0633728124447588</v>
      </c>
      <c r="K46" s="13" t="n">
        <f aca="false">IF(D46=0,"n/a",F46/D46-1)</f>
        <v>-0.0958893815285188</v>
      </c>
      <c r="L46" s="13" t="n">
        <f aca="false">IF(F46=0,"n/a",G46/F46-1)</f>
        <v>-0.101487823123597</v>
      </c>
      <c r="M46" s="13" t="n">
        <f aca="false">IF(F46=0,"n/a",H46/F46-1)</f>
        <v>0.105477516415926</v>
      </c>
      <c r="N46" s="13" t="n">
        <f aca="false">IF(D46=0,"n/a",I46/D46-1)</f>
        <v>0.250920568122041</v>
      </c>
      <c r="O46" s="13" t="n">
        <f aca="false">IF(H46=0,"n/a",F46/H46)</f>
        <v>0.904586466165414</v>
      </c>
      <c r="P46" s="14" t="n">
        <f aca="false">I46-D46</f>
        <v>3339</v>
      </c>
      <c r="Q46" s="13" t="n">
        <f aca="false">F46/F$12</f>
        <v>0.275069733412593</v>
      </c>
    </row>
    <row r="47" customFormat="false" ht="15" hidden="false" customHeight="false" outlineLevel="0" collapsed="false">
      <c r="A47" s="9" t="n">
        <v>41</v>
      </c>
      <c r="B47" s="9" t="s">
        <v>70</v>
      </c>
      <c r="C47" s="9" t="s">
        <v>59</v>
      </c>
      <c r="D47" s="11" t="n">
        <v>1279</v>
      </c>
      <c r="E47" s="11" t="n">
        <v>1098</v>
      </c>
      <c r="F47" s="11" t="n">
        <v>1298</v>
      </c>
      <c r="G47" s="12" t="n">
        <v>1175</v>
      </c>
      <c r="H47" s="12" t="n">
        <v>1562</v>
      </c>
      <c r="I47" s="12" t="n">
        <v>1610</v>
      </c>
      <c r="J47" s="13" t="n">
        <f aca="false">IF(E47=0,"n/a",F47/E47-1)</f>
        <v>0.182149362477231</v>
      </c>
      <c r="K47" s="13" t="n">
        <f aca="false">IF(D47=0,"n/a",F47/D47-1)</f>
        <v>0.0148553557466771</v>
      </c>
      <c r="L47" s="13" t="n">
        <f aca="false">IF(F47=0,"n/a",G47/F47-1)</f>
        <v>-0.0947611710323575</v>
      </c>
      <c r="M47" s="13" t="n">
        <f aca="false">IF(F47=0,"n/a",H47/F47-1)</f>
        <v>0.203389830508474</v>
      </c>
      <c r="N47" s="13" t="n">
        <f aca="false">IF(D47=0,"n/a",I47/D47-1)</f>
        <v>0.25879593432369</v>
      </c>
      <c r="O47" s="13" t="n">
        <f aca="false">IF(H47=0,"n/a",F47/H47)</f>
        <v>0.830985915492958</v>
      </c>
      <c r="P47" s="14" t="n">
        <f aca="false">I47-D47</f>
        <v>331</v>
      </c>
      <c r="Q47" s="13" t="n">
        <f aca="false">F47/F$13</f>
        <v>0.198349633251834</v>
      </c>
    </row>
    <row r="48" customFormat="false" ht="15" hidden="false" customHeight="false" outlineLevel="0" collapsed="false">
      <c r="A48" s="9" t="n">
        <v>42</v>
      </c>
      <c r="B48" s="9" t="s">
        <v>70</v>
      </c>
      <c r="C48" s="9" t="s">
        <v>60</v>
      </c>
      <c r="D48" s="11" t="n">
        <v>101</v>
      </c>
      <c r="E48" s="11" t="n">
        <v>46</v>
      </c>
      <c r="F48" s="11" t="n">
        <v>49</v>
      </c>
      <c r="G48" s="12" t="n">
        <v>57</v>
      </c>
      <c r="H48" s="12" t="n">
        <v>150</v>
      </c>
      <c r="I48" s="12" t="n">
        <v>150</v>
      </c>
      <c r="J48" s="13" t="n">
        <f aca="false">IF(E48=0,"n/a",F48/E48-1)</f>
        <v>0.0652173913043479</v>
      </c>
      <c r="K48" s="13" t="n">
        <f aca="false">IF(D48=0,"n/a",F48/D48-1)</f>
        <v>-0.514851485148515</v>
      </c>
      <c r="L48" s="13" t="n">
        <f aca="false">IF(F48=0,"n/a",G48/F48-1)</f>
        <v>0.163265306122449</v>
      </c>
      <c r="M48" s="13" t="n">
        <f aca="false">IF(F48=0,"n/a",H48/F48-1)</f>
        <v>2.06122448979592</v>
      </c>
      <c r="N48" s="13" t="n">
        <f aca="false">IF(D48=0,"n/a",I48/D48-1)</f>
        <v>0.485148514851485</v>
      </c>
      <c r="O48" s="13" t="n">
        <f aca="false">IF(H48=0,"n/a",F48/H48)</f>
        <v>0.326666666666667</v>
      </c>
      <c r="P48" s="14" t="n">
        <f aca="false">I48-D48</f>
        <v>49</v>
      </c>
      <c r="Q48" s="13" t="n">
        <f aca="false">F48/F$14</f>
        <v>0.0310126582278481</v>
      </c>
    </row>
    <row r="49" customFormat="false" ht="15" hidden="false" customHeight="false" outlineLevel="0" collapsed="false">
      <c r="A49" s="9" t="n">
        <v>43</v>
      </c>
      <c r="B49" s="9" t="s">
        <v>70</v>
      </c>
      <c r="C49" s="9" t="s">
        <v>61</v>
      </c>
      <c r="D49" s="11" t="n">
        <v>9138</v>
      </c>
      <c r="E49" s="11" t="n">
        <v>8375</v>
      </c>
      <c r="F49" s="11" t="n">
        <v>10633</v>
      </c>
      <c r="G49" s="12" t="n">
        <v>9708</v>
      </c>
      <c r="H49" s="12" t="n">
        <v>10790</v>
      </c>
      <c r="I49" s="12" t="n">
        <v>10944</v>
      </c>
      <c r="J49" s="13" t="n">
        <f aca="false">IF(E49=0,"n/a",F49/E49-1)</f>
        <v>0.269611940298508</v>
      </c>
      <c r="K49" s="13" t="n">
        <f aca="false">IF(D49=0,"n/a",F49/D49-1)</f>
        <v>0.163602538848763</v>
      </c>
      <c r="L49" s="13" t="n">
        <f aca="false">IF(F49=0,"n/a",G49/F49-1)</f>
        <v>-0.086993322674692</v>
      </c>
      <c r="M49" s="13" t="n">
        <f aca="false">IF(F49=0,"n/a",H49/F49-1)</f>
        <v>0.0147653531458667</v>
      </c>
      <c r="N49" s="13" t="n">
        <f aca="false">IF(D49=0,"n/a",I49/D49-1)</f>
        <v>0.19763624425476</v>
      </c>
      <c r="O49" s="13" t="n">
        <f aca="false">IF(H49=0,"n/a",F49/H49)</f>
        <v>0.985449490268767</v>
      </c>
      <c r="P49" s="14" t="n">
        <f aca="false">I49-D49</f>
        <v>1806</v>
      </c>
      <c r="Q49" s="13" t="n">
        <f aca="false">F49/F$15</f>
        <v>0.291594679829974</v>
      </c>
    </row>
    <row r="50" customFormat="false" ht="15" hidden="false" customHeight="false" outlineLevel="0" collapsed="false">
      <c r="A50" s="9" t="n">
        <v>44</v>
      </c>
      <c r="B50" s="9" t="s">
        <v>70</v>
      </c>
      <c r="C50" s="9" t="s">
        <v>62</v>
      </c>
      <c r="D50" s="11" t="n">
        <v>10518</v>
      </c>
      <c r="E50" s="11" t="n">
        <v>9519</v>
      </c>
      <c r="F50" s="11" t="n">
        <v>11980</v>
      </c>
      <c r="G50" s="12" t="n">
        <v>10940</v>
      </c>
      <c r="H50" s="12" t="n">
        <v>12502</v>
      </c>
      <c r="I50" s="12" t="n">
        <v>12704</v>
      </c>
      <c r="J50" s="13" t="n">
        <f aca="false">IF(E50=0,"n/a",F50/E50-1)</f>
        <v>0.258535560458031</v>
      </c>
      <c r="K50" s="13" t="n">
        <f aca="false">IF(D50=0,"n/a",F50/D50-1)</f>
        <v>0.138999809849781</v>
      </c>
      <c r="L50" s="13" t="n">
        <f aca="false">IF(F50=0,"n/a",G50/F50-1)</f>
        <v>-0.0868113522537563</v>
      </c>
      <c r="M50" s="13" t="n">
        <f aca="false">IF(F50=0,"n/a",H50/F50-1)</f>
        <v>0.0435726210350584</v>
      </c>
      <c r="N50" s="13" t="n">
        <f aca="false">IF(D50=0,"n/a",I50/D50-1)</f>
        <v>0.207834189009317</v>
      </c>
      <c r="O50" s="13" t="n">
        <f aca="false">IF(H50=0,"n/a",F50/H50)</f>
        <v>0.958246680531115</v>
      </c>
      <c r="P50" s="14" t="n">
        <f aca="false">I50-D50</f>
        <v>2186</v>
      </c>
      <c r="Q50" s="13" t="n">
        <f aca="false">F50/F$16</f>
        <v>0.268676130884299</v>
      </c>
    </row>
    <row r="51" customFormat="false" ht="15" hidden="false" customHeight="false" outlineLevel="0" collapsed="false">
      <c r="A51" s="9" t="n">
        <v>45</v>
      </c>
      <c r="B51" s="9" t="s">
        <v>70</v>
      </c>
      <c r="C51" s="15" t="s">
        <v>63</v>
      </c>
      <c r="D51" s="13" t="n">
        <f aca="false">(D43+D44)/D46</f>
        <v>0.230329901555572</v>
      </c>
      <c r="E51" s="13" t="n">
        <f aca="false">(E43+E44)/E46</f>
        <v>0.205674385716811</v>
      </c>
      <c r="F51" s="13" t="n">
        <f aca="false">(F43+F44)/F46</f>
        <v>0.165156678580334</v>
      </c>
      <c r="G51" s="13" t="n">
        <f aca="false">(G43+G44)/G46</f>
        <v>0.113506012950971</v>
      </c>
      <c r="H51" s="13" t="n">
        <f aca="false">(H43+H44)/H46</f>
        <v>0.199248120300752</v>
      </c>
      <c r="I51" s="13" t="n">
        <f aca="false">(I43+I44)/I46</f>
        <v>0.240297969482158</v>
      </c>
    </row>
    <row r="52" customFormat="false" ht="15" hidden="false" customHeight="false" outlineLevel="0" collapsed="false">
      <c r="A52" s="9" t="n">
        <v>46</v>
      </c>
      <c r="B52" s="9" t="s">
        <v>70</v>
      </c>
      <c r="C52" s="15" t="s">
        <v>64</v>
      </c>
      <c r="D52" s="13" t="n">
        <f aca="false">(D47+D48)/D50</f>
        <v>0.131203650884199</v>
      </c>
      <c r="E52" s="13" t="n">
        <f aca="false">(E47+E48)/E50</f>
        <v>0.120180691249081</v>
      </c>
      <c r="F52" s="13" t="n">
        <f aca="false">(F47+F48)/F50</f>
        <v>0.112437395659432</v>
      </c>
      <c r="G52" s="13" t="n">
        <f aca="false">(G47+G48)/G50</f>
        <v>0.112614259597806</v>
      </c>
      <c r="H52" s="13" t="n">
        <f aca="false">(H47+H48)/H50</f>
        <v>0.136938089905615</v>
      </c>
      <c r="I52" s="13" t="n">
        <f aca="false">(I47+I48)/I50</f>
        <v>0.138539042821159</v>
      </c>
    </row>
    <row r="53" customFormat="false" ht="15" hidden="false" customHeight="false" outlineLevel="0" collapsed="false">
      <c r="A53" s="9" t="n">
        <v>47</v>
      </c>
      <c r="B53" s="9" t="s">
        <v>70</v>
      </c>
      <c r="C53" s="15" t="s">
        <v>65</v>
      </c>
      <c r="D53" s="16" t="n">
        <f aca="false">D41/D42</f>
        <v>1.63387423935091</v>
      </c>
      <c r="E53" s="16" t="n">
        <f aca="false">E41/E42</f>
        <v>2.45574912891986</v>
      </c>
      <c r="F53" s="16" t="n">
        <f aca="false">F41/F42</f>
        <v>0.770578863515666</v>
      </c>
      <c r="G53" s="16" t="n">
        <f aca="false">G41/G42</f>
        <v>1.26063829787234</v>
      </c>
      <c r="H53" s="16" t="n">
        <f aca="false">H41/H42</f>
        <v>1.15714285714286</v>
      </c>
      <c r="I53" s="16" t="n">
        <f aca="false">I41/I42</f>
        <v>1.20360824742268</v>
      </c>
    </row>
    <row r="54" customFormat="false" ht="15" hidden="false" customHeight="false" outlineLevel="0" collapsed="false">
      <c r="A54" s="9" t="n">
        <v>48</v>
      </c>
      <c r="B54" s="9" t="s">
        <v>70</v>
      </c>
      <c r="C54" s="15" t="s">
        <v>66</v>
      </c>
      <c r="D54" s="16" t="n">
        <f aca="false">D46/D50</f>
        <v>1.26516447993915</v>
      </c>
      <c r="E54" s="16" t="n">
        <f aca="false">E46/E50</f>
        <v>1.18857022796512</v>
      </c>
      <c r="F54" s="16" t="n">
        <f aca="false">F46/F50</f>
        <v>1.0042570951586</v>
      </c>
      <c r="G54" s="16" t="n">
        <f aca="false">G46/G50</f>
        <v>0.988117001828154</v>
      </c>
      <c r="H54" s="16" t="n">
        <f aca="false">H46/H50</f>
        <v>1.06382978723404</v>
      </c>
      <c r="I54" s="16" t="n">
        <f aca="false">I46/I50</f>
        <v>1.3102959697733</v>
      </c>
    </row>
    <row r="55" customFormat="false" ht="15" hidden="false" customHeight="false" outlineLevel="0" collapsed="false">
      <c r="A55" s="9" t="n">
        <v>49</v>
      </c>
      <c r="B55" s="9" t="s">
        <v>70</v>
      </c>
      <c r="C55" s="15" t="s">
        <v>67</v>
      </c>
      <c r="D55" s="16" t="n">
        <f aca="false">D41/D46</f>
        <v>0.0242128203201323</v>
      </c>
      <c r="E55" s="16" t="n">
        <f aca="false">E41/E46</f>
        <v>0.0311472511932119</v>
      </c>
      <c r="F55" s="16" t="n">
        <f aca="false">F41/F46</f>
        <v>0.012060510348267</v>
      </c>
      <c r="G55" s="16" t="n">
        <f aca="false">G41/G46</f>
        <v>0.0175393154486586</v>
      </c>
      <c r="H55" s="16" t="n">
        <f aca="false">H41/H46</f>
        <v>0.0304511278195489</v>
      </c>
      <c r="I55" s="16" t="n">
        <f aca="false">I41/I46</f>
        <v>0.0280547879370419</v>
      </c>
    </row>
    <row r="56" customFormat="false" ht="15" hidden="false" customHeight="false" outlineLevel="0" collapsed="false">
      <c r="A56" s="9" t="n">
        <v>50</v>
      </c>
      <c r="B56" s="9" t="s">
        <v>70</v>
      </c>
      <c r="C56" s="15" t="s">
        <v>68</v>
      </c>
      <c r="D56" s="14" t="n">
        <f aca="false">D43+D44+D45-D46</f>
        <v>0</v>
      </c>
      <c r="E56" s="14" t="n">
        <f aca="false">E43+E44+E45-E46</f>
        <v>1</v>
      </c>
      <c r="F56" s="14" t="n">
        <f aca="false">F43+F44+F45-F46</f>
        <v>1</v>
      </c>
      <c r="G56" s="14" t="n">
        <f aca="false">G43+G44+G45-G46</f>
        <v>0</v>
      </c>
      <c r="H56" s="14" t="n">
        <f aca="false">H43+H44+H45-H46</f>
        <v>0</v>
      </c>
      <c r="I56" s="14" t="n">
        <f aca="false">I43+I44+I45-I46</f>
        <v>0</v>
      </c>
    </row>
    <row r="58" customFormat="false" ht="15" hidden="false" customHeight="false" outlineLevel="0" collapsed="false">
      <c r="A58" s="9" t="n">
        <v>52</v>
      </c>
      <c r="B58" s="9" t="s">
        <v>71</v>
      </c>
      <c r="C58" s="10" t="s">
        <v>53</v>
      </c>
      <c r="D58" s="11" t="n">
        <v>12833</v>
      </c>
      <c r="E58" s="11" t="n">
        <v>10469</v>
      </c>
      <c r="F58" s="11" t="n">
        <v>14303</v>
      </c>
      <c r="G58" s="12" t="n">
        <v>14215</v>
      </c>
      <c r="H58" s="12" t="n">
        <v>14300</v>
      </c>
      <c r="I58" s="12" t="n">
        <v>16641</v>
      </c>
      <c r="J58" s="13" t="n">
        <f aca="false">IF(E58=0,"n/a",F58/E58-1)</f>
        <v>0.366224090170981</v>
      </c>
      <c r="K58" s="13" t="n">
        <f aca="false">IF(D58=0,"n/a",F58/D58-1)</f>
        <v>0.114548429829346</v>
      </c>
      <c r="L58" s="13" t="n">
        <f aca="false">IF(F58=0,"n/a",G58/F58-1)</f>
        <v>-0.00615255540795634</v>
      </c>
      <c r="M58" s="13" t="n">
        <f aca="false">IF(F58=0,"n/a",H58/F58-1)</f>
        <v>-0.000209746207089467</v>
      </c>
      <c r="N58" s="13" t="n">
        <f aca="false">IF(D58=0,"n/a",I58/D58-1)</f>
        <v>0.296734980129354</v>
      </c>
      <c r="O58" s="13" t="n">
        <f aca="false">IF(H58=0,"n/a",F58/H58)</f>
        <v>1.00020979020979</v>
      </c>
      <c r="P58" s="14" t="n">
        <f aca="false">I58-D58</f>
        <v>3808</v>
      </c>
      <c r="Q58" s="13" t="n">
        <f aca="false">F58/F$7</f>
        <v>0.278685969253551</v>
      </c>
    </row>
    <row r="59" customFormat="false" ht="15" hidden="false" customHeight="false" outlineLevel="0" collapsed="false">
      <c r="A59" s="9" t="n">
        <v>53</v>
      </c>
      <c r="B59" s="9" t="s">
        <v>71</v>
      </c>
      <c r="C59" s="9" t="s">
        <v>54</v>
      </c>
      <c r="D59" s="11" t="n">
        <v>10489</v>
      </c>
      <c r="E59" s="11" t="n">
        <v>9380</v>
      </c>
      <c r="F59" s="11" t="n">
        <v>12948</v>
      </c>
      <c r="G59" s="12" t="n">
        <v>13922</v>
      </c>
      <c r="H59" s="12" t="n">
        <v>13385</v>
      </c>
      <c r="I59" s="12" t="n">
        <v>13597</v>
      </c>
      <c r="J59" s="13" t="n">
        <f aca="false">IF(E59=0,"n/a",F59/E59-1)</f>
        <v>0.380383795309168</v>
      </c>
      <c r="K59" s="13" t="n">
        <f aca="false">IF(D59=0,"n/a",F59/D59-1)</f>
        <v>0.234436075889027</v>
      </c>
      <c r="L59" s="13" t="n">
        <f aca="false">IF(F59=0,"n/a",G59/F59-1)</f>
        <v>0.0752239728143342</v>
      </c>
      <c r="M59" s="13" t="n">
        <f aca="false">IF(F59=0,"n/a",H59/F59-1)</f>
        <v>0.0337503861600248</v>
      </c>
      <c r="N59" s="13" t="n">
        <f aca="false">IF(D59=0,"n/a",I59/D59-1)</f>
        <v>0.296310420440461</v>
      </c>
      <c r="O59" s="13" t="n">
        <f aca="false">IF(H59=0,"n/a",F59/H59)</f>
        <v>0.967351512887561</v>
      </c>
      <c r="P59" s="14" t="n">
        <f aca="false">I59-D59</f>
        <v>3108</v>
      </c>
      <c r="Q59" s="13" t="n">
        <f aca="false">F59/F$8</f>
        <v>0.283177324818476</v>
      </c>
    </row>
    <row r="60" customFormat="false" ht="15" hidden="false" customHeight="false" outlineLevel="0" collapsed="false">
      <c r="A60" s="9" t="n">
        <v>54</v>
      </c>
      <c r="B60" s="9" t="s">
        <v>71</v>
      </c>
      <c r="C60" s="9" t="s">
        <v>55</v>
      </c>
      <c r="D60" s="11" t="n">
        <v>2969</v>
      </c>
      <c r="E60" s="11" t="n">
        <v>2293</v>
      </c>
      <c r="F60" s="11" t="n">
        <v>1945</v>
      </c>
      <c r="G60" s="12" t="n">
        <v>1164</v>
      </c>
      <c r="H60" s="12" t="n">
        <v>2400</v>
      </c>
      <c r="I60" s="12" t="n">
        <v>3750</v>
      </c>
      <c r="J60" s="13" t="n">
        <f aca="false">IF(E60=0,"n/a",F60/E60-1)</f>
        <v>-0.151766245093764</v>
      </c>
      <c r="K60" s="13" t="n">
        <f aca="false">IF(D60=0,"n/a",F60/D60-1)</f>
        <v>-0.34489727180869</v>
      </c>
      <c r="L60" s="13" t="n">
        <f aca="false">IF(F60=0,"n/a",G60/F60-1)</f>
        <v>-0.401542416452442</v>
      </c>
      <c r="M60" s="13" t="n">
        <f aca="false">IF(F60=0,"n/a",H60/F60-1)</f>
        <v>0.233933161953728</v>
      </c>
      <c r="N60" s="13" t="n">
        <f aca="false">IF(D60=0,"n/a",I60/D60-1)</f>
        <v>0.263051532502526</v>
      </c>
      <c r="O60" s="13" t="n">
        <f aca="false">IF(H60=0,"n/a",F60/H60)</f>
        <v>0.810416666666667</v>
      </c>
      <c r="P60" s="14" t="n">
        <f aca="false">I60-D60</f>
        <v>781</v>
      </c>
      <c r="Q60" s="13" t="n">
        <f aca="false">F60/F$9</f>
        <v>0.208221817792528</v>
      </c>
    </row>
    <row r="61" customFormat="false" ht="15" hidden="false" customHeight="false" outlineLevel="0" collapsed="false">
      <c r="A61" s="9" t="n">
        <v>55</v>
      </c>
      <c r="B61" s="9" t="s">
        <v>71</v>
      </c>
      <c r="C61" s="9" t="s">
        <v>56</v>
      </c>
      <c r="D61" s="11" t="n">
        <v>96</v>
      </c>
      <c r="E61" s="11" t="n">
        <v>34</v>
      </c>
      <c r="F61" s="11" t="n">
        <v>42</v>
      </c>
      <c r="G61" s="12" t="n">
        <v>63</v>
      </c>
      <c r="H61" s="12" t="n">
        <v>250</v>
      </c>
      <c r="I61" s="12" t="n">
        <v>250</v>
      </c>
      <c r="J61" s="13" t="n">
        <f aca="false">IF(E61=0,"n/a",F61/E61-1)</f>
        <v>0.235294117647059</v>
      </c>
      <c r="K61" s="13" t="n">
        <f aca="false">IF(D61=0,"n/a",F61/D61-1)</f>
        <v>-0.5625</v>
      </c>
      <c r="L61" s="13" t="n">
        <f aca="false">IF(F61=0,"n/a",G61/F61-1)</f>
        <v>0.5</v>
      </c>
      <c r="M61" s="13" t="n">
        <f aca="false">IF(F61=0,"n/a",H61/F61-1)</f>
        <v>4.95238095238095</v>
      </c>
      <c r="N61" s="13" t="n">
        <f aca="false">IF(D61=0,"n/a",I61/D61-1)</f>
        <v>1.60416666666667</v>
      </c>
      <c r="O61" s="13" t="n">
        <f aca="false">IF(H61=0,"n/a",F61/H61)</f>
        <v>0.168</v>
      </c>
      <c r="P61" s="14" t="n">
        <f aca="false">I61-D61</f>
        <v>154</v>
      </c>
      <c r="Q61" s="13" t="n">
        <f aca="false">F61/F$10</f>
        <v>0.0236886632825719</v>
      </c>
    </row>
    <row r="62" customFormat="false" ht="15" hidden="false" customHeight="false" outlineLevel="0" collapsed="false">
      <c r="A62" s="9" t="n">
        <v>56</v>
      </c>
      <c r="B62" s="9" t="s">
        <v>71</v>
      </c>
      <c r="C62" s="9" t="s">
        <v>57</v>
      </c>
      <c r="D62" s="11" t="n">
        <v>10242</v>
      </c>
      <c r="E62" s="11" t="n">
        <v>8988</v>
      </c>
      <c r="F62" s="11" t="n">
        <v>10045</v>
      </c>
      <c r="G62" s="12" t="n">
        <v>9583</v>
      </c>
      <c r="H62" s="12" t="n">
        <v>10650</v>
      </c>
      <c r="I62" s="12" t="n">
        <v>12646</v>
      </c>
      <c r="J62" s="13" t="n">
        <f aca="false">IF(E62=0,"n/a",F62/E62-1)</f>
        <v>0.117601246105919</v>
      </c>
      <c r="K62" s="13" t="n">
        <f aca="false">IF(D62=0,"n/a",F62/D62-1)</f>
        <v>-0.0192345245069322</v>
      </c>
      <c r="L62" s="13" t="n">
        <f aca="false">IF(F62=0,"n/a",G62/F62-1)</f>
        <v>-0.045993031358885</v>
      </c>
      <c r="M62" s="13" t="n">
        <f aca="false">IF(F62=0,"n/a",H62/F62-1)</f>
        <v>0.0602289696366352</v>
      </c>
      <c r="N62" s="13" t="n">
        <f aca="false">IF(D62=0,"n/a",I62/D62-1)</f>
        <v>0.234719781292716</v>
      </c>
      <c r="O62" s="13" t="n">
        <f aca="false">IF(H62=0,"n/a",F62/H62)</f>
        <v>0.943192488262911</v>
      </c>
      <c r="P62" s="14" t="n">
        <f aca="false">I62-D62</f>
        <v>2404</v>
      </c>
      <c r="Q62" s="13" t="n">
        <f aca="false">F62/F$11</f>
        <v>0.307902157920549</v>
      </c>
    </row>
    <row r="63" customFormat="false" ht="15" hidden="false" customHeight="false" outlineLevel="0" collapsed="false">
      <c r="A63" s="9" t="n">
        <v>57</v>
      </c>
      <c r="B63" s="9" t="s">
        <v>71</v>
      </c>
      <c r="C63" s="10" t="s">
        <v>58</v>
      </c>
      <c r="D63" s="11" t="n">
        <v>13307</v>
      </c>
      <c r="E63" s="11" t="n">
        <v>11314</v>
      </c>
      <c r="F63" s="11" t="n">
        <v>12031</v>
      </c>
      <c r="G63" s="12" t="n">
        <v>10810</v>
      </c>
      <c r="H63" s="12" t="n">
        <v>13300</v>
      </c>
      <c r="I63" s="12" t="n">
        <v>16646</v>
      </c>
      <c r="J63" s="13" t="n">
        <f aca="false">IF(E63=0,"n/a",F63/E63-1)</f>
        <v>0.0633728124447588</v>
      </c>
      <c r="K63" s="13" t="n">
        <f aca="false">IF(D63=0,"n/a",F63/D63-1)</f>
        <v>-0.0958893815285188</v>
      </c>
      <c r="L63" s="13" t="n">
        <f aca="false">IF(F63=0,"n/a",G63/F63-1)</f>
        <v>-0.101487823123597</v>
      </c>
      <c r="M63" s="13" t="n">
        <f aca="false">IF(F63=0,"n/a",H63/F63-1)</f>
        <v>0.105477516415926</v>
      </c>
      <c r="N63" s="13" t="n">
        <f aca="false">IF(D63=0,"n/a",I63/D63-1)</f>
        <v>0.250920568122041</v>
      </c>
      <c r="O63" s="13" t="n">
        <f aca="false">IF(H63=0,"n/a",F63/H63)</f>
        <v>0.904586466165414</v>
      </c>
      <c r="P63" s="14" t="n">
        <f aca="false">I63-D63</f>
        <v>3339</v>
      </c>
      <c r="Q63" s="13" t="n">
        <f aca="false">F63/F$12</f>
        <v>0.275069733412593</v>
      </c>
    </row>
    <row r="64" customFormat="false" ht="15" hidden="false" customHeight="false" outlineLevel="0" collapsed="false">
      <c r="A64" s="9" t="n">
        <v>58</v>
      </c>
      <c r="B64" s="9" t="s">
        <v>71</v>
      </c>
      <c r="C64" s="9" t="s">
        <v>59</v>
      </c>
      <c r="D64" s="11" t="n">
        <v>1279</v>
      </c>
      <c r="E64" s="11" t="n">
        <v>1098</v>
      </c>
      <c r="F64" s="11" t="n">
        <v>1298</v>
      </c>
      <c r="G64" s="12" t="n">
        <v>1175</v>
      </c>
      <c r="H64" s="12" t="n">
        <v>1562</v>
      </c>
      <c r="I64" s="12" t="n">
        <v>1610</v>
      </c>
      <c r="J64" s="13" t="n">
        <f aca="false">IF(E64=0,"n/a",F64/E64-1)</f>
        <v>0.182149362477231</v>
      </c>
      <c r="K64" s="13" t="n">
        <f aca="false">IF(D64=0,"n/a",F64/D64-1)</f>
        <v>0.0148553557466771</v>
      </c>
      <c r="L64" s="13" t="n">
        <f aca="false">IF(F64=0,"n/a",G64/F64-1)</f>
        <v>-0.0947611710323575</v>
      </c>
      <c r="M64" s="13" t="n">
        <f aca="false">IF(F64=0,"n/a",H64/F64-1)</f>
        <v>0.203389830508474</v>
      </c>
      <c r="N64" s="13" t="n">
        <f aca="false">IF(D64=0,"n/a",I64/D64-1)</f>
        <v>0.25879593432369</v>
      </c>
      <c r="O64" s="13" t="n">
        <f aca="false">IF(H64=0,"n/a",F64/H64)</f>
        <v>0.830985915492958</v>
      </c>
      <c r="P64" s="14" t="n">
        <f aca="false">I64-D64</f>
        <v>331</v>
      </c>
      <c r="Q64" s="13" t="n">
        <f aca="false">F64/F$13</f>
        <v>0.198349633251834</v>
      </c>
    </row>
    <row r="65" customFormat="false" ht="15" hidden="false" customHeight="false" outlineLevel="0" collapsed="false">
      <c r="A65" s="9" t="n">
        <v>59</v>
      </c>
      <c r="B65" s="9" t="s">
        <v>71</v>
      </c>
      <c r="C65" s="9" t="s">
        <v>60</v>
      </c>
      <c r="D65" s="11" t="n">
        <v>101</v>
      </c>
      <c r="E65" s="11" t="n">
        <v>46</v>
      </c>
      <c r="F65" s="11" t="n">
        <v>49</v>
      </c>
      <c r="G65" s="12" t="n">
        <v>57</v>
      </c>
      <c r="H65" s="12" t="n">
        <v>150</v>
      </c>
      <c r="I65" s="12" t="n">
        <v>150</v>
      </c>
      <c r="J65" s="13" t="n">
        <f aca="false">IF(E65=0,"n/a",F65/E65-1)</f>
        <v>0.0652173913043479</v>
      </c>
      <c r="K65" s="13" t="n">
        <f aca="false">IF(D65=0,"n/a",F65/D65-1)</f>
        <v>-0.514851485148515</v>
      </c>
      <c r="L65" s="13" t="n">
        <f aca="false">IF(F65=0,"n/a",G65/F65-1)</f>
        <v>0.163265306122449</v>
      </c>
      <c r="M65" s="13" t="n">
        <f aca="false">IF(F65=0,"n/a",H65/F65-1)</f>
        <v>2.06122448979592</v>
      </c>
      <c r="N65" s="13" t="n">
        <f aca="false">IF(D65=0,"n/a",I65/D65-1)</f>
        <v>0.485148514851485</v>
      </c>
      <c r="O65" s="13" t="n">
        <f aca="false">IF(H65=0,"n/a",F65/H65)</f>
        <v>0.326666666666667</v>
      </c>
      <c r="P65" s="14" t="n">
        <f aca="false">I65-D65</f>
        <v>49</v>
      </c>
      <c r="Q65" s="13" t="n">
        <f aca="false">F65/F$14</f>
        <v>0.0310126582278481</v>
      </c>
    </row>
    <row r="66" customFormat="false" ht="15" hidden="false" customHeight="false" outlineLevel="0" collapsed="false">
      <c r="A66" s="9" t="n">
        <v>60</v>
      </c>
      <c r="B66" s="9" t="s">
        <v>71</v>
      </c>
      <c r="C66" s="9" t="s">
        <v>61</v>
      </c>
      <c r="D66" s="11" t="n">
        <v>9138</v>
      </c>
      <c r="E66" s="11" t="n">
        <v>8375</v>
      </c>
      <c r="F66" s="11" t="n">
        <v>10633</v>
      </c>
      <c r="G66" s="12" t="n">
        <v>9708</v>
      </c>
      <c r="H66" s="12" t="n">
        <v>10790</v>
      </c>
      <c r="I66" s="12" t="n">
        <v>10944</v>
      </c>
      <c r="J66" s="13" t="n">
        <f aca="false">IF(E66=0,"n/a",F66/E66-1)</f>
        <v>0.269611940298508</v>
      </c>
      <c r="K66" s="13" t="n">
        <f aca="false">IF(D66=0,"n/a",F66/D66-1)</f>
        <v>0.163602538848763</v>
      </c>
      <c r="L66" s="13" t="n">
        <f aca="false">IF(F66=0,"n/a",G66/F66-1)</f>
        <v>-0.086993322674692</v>
      </c>
      <c r="M66" s="13" t="n">
        <f aca="false">IF(F66=0,"n/a",H66/F66-1)</f>
        <v>0.0147653531458667</v>
      </c>
      <c r="N66" s="13" t="n">
        <f aca="false">IF(D66=0,"n/a",I66/D66-1)</f>
        <v>0.19763624425476</v>
      </c>
      <c r="O66" s="13" t="n">
        <f aca="false">IF(H66=0,"n/a",F66/H66)</f>
        <v>0.985449490268767</v>
      </c>
      <c r="P66" s="14" t="n">
        <f aca="false">I66-D66</f>
        <v>1806</v>
      </c>
      <c r="Q66" s="13" t="n">
        <f aca="false">F66/F$15</f>
        <v>0.291594679829974</v>
      </c>
    </row>
    <row r="67" customFormat="false" ht="15" hidden="false" customHeight="false" outlineLevel="0" collapsed="false">
      <c r="A67" s="9" t="n">
        <v>61</v>
      </c>
      <c r="B67" s="9" t="s">
        <v>71</v>
      </c>
      <c r="C67" s="9" t="s">
        <v>62</v>
      </c>
      <c r="D67" s="11" t="n">
        <v>10518</v>
      </c>
      <c r="E67" s="11" t="n">
        <v>9519</v>
      </c>
      <c r="F67" s="11" t="n">
        <v>11980</v>
      </c>
      <c r="G67" s="12" t="n">
        <v>10940</v>
      </c>
      <c r="H67" s="12" t="n">
        <v>12502</v>
      </c>
      <c r="I67" s="12" t="n">
        <v>12704</v>
      </c>
      <c r="J67" s="13" t="n">
        <f aca="false">IF(E67=0,"n/a",F67/E67-1)</f>
        <v>0.258535560458031</v>
      </c>
      <c r="K67" s="13" t="n">
        <f aca="false">IF(D67=0,"n/a",F67/D67-1)</f>
        <v>0.138999809849781</v>
      </c>
      <c r="L67" s="13" t="n">
        <f aca="false">IF(F67=0,"n/a",G67/F67-1)</f>
        <v>-0.0868113522537563</v>
      </c>
      <c r="M67" s="13" t="n">
        <f aca="false">IF(F67=0,"n/a",H67/F67-1)</f>
        <v>0.0435726210350584</v>
      </c>
      <c r="N67" s="13" t="n">
        <f aca="false">IF(D67=0,"n/a",I67/D67-1)</f>
        <v>0.207834189009317</v>
      </c>
      <c r="O67" s="13" t="n">
        <f aca="false">IF(H67=0,"n/a",F67/H67)</f>
        <v>0.958246680531115</v>
      </c>
      <c r="P67" s="14" t="n">
        <f aca="false">I67-D67</f>
        <v>2186</v>
      </c>
      <c r="Q67" s="13" t="n">
        <f aca="false">F67/F$16</f>
        <v>0.268676130884299</v>
      </c>
    </row>
    <row r="68" customFormat="false" ht="15" hidden="false" customHeight="false" outlineLevel="0" collapsed="false">
      <c r="A68" s="9" t="n">
        <v>62</v>
      </c>
      <c r="B68" s="9" t="s">
        <v>71</v>
      </c>
      <c r="C68" s="15" t="s">
        <v>63</v>
      </c>
      <c r="D68" s="13" t="n">
        <f aca="false">(D60+D61)/D63</f>
        <v>0.230329901555572</v>
      </c>
      <c r="E68" s="13" t="n">
        <f aca="false">(E60+E61)/E63</f>
        <v>0.205674385716811</v>
      </c>
      <c r="F68" s="13" t="n">
        <f aca="false">(F60+F61)/F63</f>
        <v>0.165156678580334</v>
      </c>
      <c r="G68" s="13" t="n">
        <f aca="false">(G60+G61)/G63</f>
        <v>0.113506012950971</v>
      </c>
      <c r="H68" s="13" t="n">
        <f aca="false">(H60+H61)/H63</f>
        <v>0.199248120300752</v>
      </c>
      <c r="I68" s="13" t="n">
        <f aca="false">(I60+I61)/I63</f>
        <v>0.240297969482158</v>
      </c>
    </row>
    <row r="69" customFormat="false" ht="15" hidden="false" customHeight="false" outlineLevel="0" collapsed="false">
      <c r="A69" s="9" t="n">
        <v>63</v>
      </c>
      <c r="B69" s="9" t="s">
        <v>71</v>
      </c>
      <c r="C69" s="15" t="s">
        <v>64</v>
      </c>
      <c r="D69" s="13" t="n">
        <f aca="false">(D64+D65)/D67</f>
        <v>0.131203650884199</v>
      </c>
      <c r="E69" s="13" t="n">
        <f aca="false">(E64+E65)/E67</f>
        <v>0.120180691249081</v>
      </c>
      <c r="F69" s="13" t="n">
        <f aca="false">(F64+F65)/F67</f>
        <v>0.112437395659432</v>
      </c>
      <c r="G69" s="13" t="n">
        <f aca="false">(G64+G65)/G67</f>
        <v>0.112614259597806</v>
      </c>
      <c r="H69" s="13" t="n">
        <f aca="false">(H64+H65)/H67</f>
        <v>0.136938089905615</v>
      </c>
      <c r="I69" s="13" t="n">
        <f aca="false">(I64+I65)/I67</f>
        <v>0.138539042821159</v>
      </c>
    </row>
    <row r="70" customFormat="false" ht="15" hidden="false" customHeight="false" outlineLevel="0" collapsed="false">
      <c r="A70" s="9" t="n">
        <v>64</v>
      </c>
      <c r="B70" s="9" t="s">
        <v>71</v>
      </c>
      <c r="C70" s="15" t="s">
        <v>65</v>
      </c>
      <c r="D70" s="16" t="n">
        <f aca="false">D58/D59</f>
        <v>1.22347220898084</v>
      </c>
      <c r="E70" s="16" t="n">
        <f aca="false">E58/E59</f>
        <v>1.11609808102345</v>
      </c>
      <c r="F70" s="16" t="n">
        <f aca="false">F58/F59</f>
        <v>1.10464936669756</v>
      </c>
      <c r="G70" s="16" t="n">
        <f aca="false">G58/G59</f>
        <v>1.02104582674903</v>
      </c>
      <c r="H70" s="16" t="n">
        <f aca="false">H58/H59</f>
        <v>1.0683601045947</v>
      </c>
      <c r="I70" s="16" t="n">
        <f aca="false">I58/I59</f>
        <v>1.22387291314261</v>
      </c>
    </row>
    <row r="71" customFormat="false" ht="15" hidden="false" customHeight="false" outlineLevel="0" collapsed="false">
      <c r="A71" s="9" t="n">
        <v>65</v>
      </c>
      <c r="B71" s="9" t="s">
        <v>71</v>
      </c>
      <c r="C71" s="15" t="s">
        <v>66</v>
      </c>
      <c r="D71" s="16" t="n">
        <f aca="false">D63/D67</f>
        <v>1.26516447993915</v>
      </c>
      <c r="E71" s="16" t="n">
        <f aca="false">E63/E67</f>
        <v>1.18857022796512</v>
      </c>
      <c r="F71" s="16" t="n">
        <f aca="false">F63/F67</f>
        <v>1.0042570951586</v>
      </c>
      <c r="G71" s="16" t="n">
        <f aca="false">G63/G67</f>
        <v>0.988117001828154</v>
      </c>
      <c r="H71" s="16" t="n">
        <f aca="false">H63/H67</f>
        <v>1.06382978723404</v>
      </c>
      <c r="I71" s="16" t="n">
        <f aca="false">I63/I67</f>
        <v>1.3102959697733</v>
      </c>
    </row>
    <row r="72" customFormat="false" ht="15" hidden="false" customHeight="false" outlineLevel="0" collapsed="false">
      <c r="A72" s="9" t="n">
        <v>66</v>
      </c>
      <c r="B72" s="9" t="s">
        <v>71</v>
      </c>
      <c r="C72" s="15" t="s">
        <v>67</v>
      </c>
      <c r="D72" s="16" t="n">
        <f aca="false">D58/D63</f>
        <v>0.964379649808372</v>
      </c>
      <c r="E72" s="16" t="n">
        <f aca="false">E58/E63</f>
        <v>0.925313770549761</v>
      </c>
      <c r="F72" s="16" t="n">
        <f aca="false">F58/F63</f>
        <v>1.18884548250353</v>
      </c>
      <c r="G72" s="16" t="n">
        <f aca="false">G58/G63</f>
        <v>1.3149861239593</v>
      </c>
      <c r="H72" s="16" t="n">
        <f aca="false">H58/H63</f>
        <v>1.07518796992481</v>
      </c>
      <c r="I72" s="16" t="n">
        <f aca="false">I58/I63</f>
        <v>0.999699627538147</v>
      </c>
    </row>
    <row r="73" customFormat="false" ht="15" hidden="false" customHeight="false" outlineLevel="0" collapsed="false">
      <c r="A73" s="9" t="n">
        <v>67</v>
      </c>
      <c r="B73" s="9" t="s">
        <v>71</v>
      </c>
      <c r="C73" s="15" t="s">
        <v>68</v>
      </c>
      <c r="D73" s="14" t="n">
        <f aca="false">D60+D61+D62-D63</f>
        <v>0</v>
      </c>
      <c r="E73" s="14" t="n">
        <f aca="false">E60+E61+E62-E63</f>
        <v>1</v>
      </c>
      <c r="F73" s="14" t="n">
        <f aca="false">F60+F61+F62-F63</f>
        <v>1</v>
      </c>
      <c r="G73" s="14" t="n">
        <f aca="false">G60+G61+G62-G63</f>
        <v>0</v>
      </c>
      <c r="H73" s="14" t="n">
        <f aca="false">H60+H61+H62-H63</f>
        <v>0</v>
      </c>
      <c r="I73" s="14" t="n">
        <f aca="false">I60+I61+I62-I63</f>
        <v>0</v>
      </c>
    </row>
    <row r="75" customFormat="false" ht="15" hidden="false" customHeight="false" outlineLevel="0" collapsed="false">
      <c r="A75" s="9" t="n">
        <v>69</v>
      </c>
      <c r="B75" s="9" t="s">
        <v>72</v>
      </c>
      <c r="C75" s="10" t="s">
        <v>53</v>
      </c>
      <c r="D75" s="11" t="n">
        <v>1629.9</v>
      </c>
      <c r="E75" s="11" t="n">
        <v>1369.8</v>
      </c>
      <c r="F75" s="11" t="n">
        <v>1657.9</v>
      </c>
      <c r="G75" s="12" t="n">
        <v>1706.7</v>
      </c>
      <c r="H75" s="12" t="n">
        <v>1802</v>
      </c>
      <c r="I75" s="12" t="n">
        <v>2150</v>
      </c>
      <c r="J75" s="13" t="n">
        <f aca="false">IF(E75=0,"n/a",F75/E75-1)</f>
        <v>0.210322674843043</v>
      </c>
      <c r="K75" s="13" t="n">
        <f aca="false">IF(D75=0,"n/a",F75/D75-1)</f>
        <v>0.0171789680348489</v>
      </c>
      <c r="L75" s="13" t="n">
        <f aca="false">IF(F75=0,"n/a",G75/F75-1)</f>
        <v>0.0294348271910248</v>
      </c>
      <c r="M75" s="13" t="n">
        <f aca="false">IF(F75=0,"n/a",H75/F75-1)</f>
        <v>0.0869171843898908</v>
      </c>
      <c r="N75" s="13" t="n">
        <f aca="false">IF(D75=0,"n/a",I75/D75-1)</f>
        <v>0.319099331247316</v>
      </c>
      <c r="O75" s="13" t="n">
        <f aca="false">IF(H75=0,"n/a",F75/H75)</f>
        <v>0.920033296337403</v>
      </c>
      <c r="P75" s="14" t="n">
        <f aca="false">I75-D75</f>
        <v>520.1</v>
      </c>
      <c r="Q75" s="13" t="n">
        <f aca="false">F75/F$7</f>
        <v>0.0323032558502036</v>
      </c>
    </row>
    <row r="76" customFormat="false" ht="15" hidden="false" customHeight="false" outlineLevel="0" collapsed="false">
      <c r="A76" s="9" t="n">
        <v>70</v>
      </c>
      <c r="B76" s="9" t="s">
        <v>72</v>
      </c>
      <c r="C76" s="9" t="s">
        <v>54</v>
      </c>
      <c r="D76" s="11" t="n">
        <v>1403.6</v>
      </c>
      <c r="E76" s="11" t="n">
        <v>1314.8</v>
      </c>
      <c r="F76" s="11" t="n">
        <v>1638.7</v>
      </c>
      <c r="G76" s="12" t="n">
        <v>1615.6</v>
      </c>
      <c r="H76" s="12" t="n">
        <v>1715</v>
      </c>
      <c r="I76" s="12" t="n">
        <v>1795</v>
      </c>
      <c r="J76" s="13" t="n">
        <f aca="false">IF(E76=0,"n/a",F76/E76-1)</f>
        <v>0.246349254639489</v>
      </c>
      <c r="K76" s="13" t="n">
        <f aca="false">IF(D76=0,"n/a",F76/D76-1)</f>
        <v>0.167497862638929</v>
      </c>
      <c r="L76" s="13" t="n">
        <f aca="false">IF(F76=0,"n/a",G76/F76-1)</f>
        <v>-0.0140965399401966</v>
      </c>
      <c r="M76" s="13" t="n">
        <f aca="false">IF(F76=0,"n/a",H76/F76-1)</f>
        <v>0.0465612985903461</v>
      </c>
      <c r="N76" s="13" t="n">
        <f aca="false">IF(D76=0,"n/a",I76/D76-1)</f>
        <v>0.27885437446566</v>
      </c>
      <c r="O76" s="13" t="n">
        <f aca="false">IF(H76=0,"n/a",F76/H76)</f>
        <v>0.955510204081633</v>
      </c>
      <c r="P76" s="14" t="n">
        <f aca="false">I76-D76</f>
        <v>391.4</v>
      </c>
      <c r="Q76" s="13" t="n">
        <f aca="false">F76/F$8</f>
        <v>0.0358389467238212</v>
      </c>
    </row>
    <row r="77" customFormat="false" ht="15" hidden="false" customHeight="false" outlineLevel="0" collapsed="false">
      <c r="A77" s="9" t="n">
        <v>71</v>
      </c>
      <c r="B77" s="9" t="s">
        <v>72</v>
      </c>
      <c r="C77" s="9" t="s">
        <v>55</v>
      </c>
      <c r="D77" s="11" t="n">
        <v>7.8</v>
      </c>
      <c r="E77" s="11" t="n">
        <v>6</v>
      </c>
      <c r="F77" s="11" t="n">
        <v>23.4</v>
      </c>
      <c r="G77" s="12" t="n">
        <v>9.6</v>
      </c>
      <c r="H77" s="12" t="n">
        <v>20</v>
      </c>
      <c r="I77" s="12" t="n">
        <v>20</v>
      </c>
      <c r="J77" s="13" t="n">
        <f aca="false">IF(E77=0,"n/a",F77/E77-1)</f>
        <v>2.9</v>
      </c>
      <c r="K77" s="13" t="n">
        <f aca="false">IF(D77=0,"n/a",F77/D77-1)</f>
        <v>2</v>
      </c>
      <c r="L77" s="13" t="n">
        <f aca="false">IF(F77=0,"n/a",G77/F77-1)</f>
        <v>-0.58974358974359</v>
      </c>
      <c r="M77" s="13" t="n">
        <f aca="false">IF(F77=0,"n/a",H77/F77-1)</f>
        <v>-0.145299145299145</v>
      </c>
      <c r="N77" s="13" t="n">
        <f aca="false">IF(D77=0,"n/a",I77/D77-1)</f>
        <v>1.56410256410256</v>
      </c>
      <c r="O77" s="13" t="n">
        <f aca="false">IF(H77=0,"n/a",F77/H77)</f>
        <v>1.17</v>
      </c>
      <c r="P77" s="14" t="n">
        <f aca="false">I77-D77</f>
        <v>12.2</v>
      </c>
      <c r="Q77" s="13" t="n">
        <f aca="false">F77/F$9</f>
        <v>0.00250508510866074</v>
      </c>
    </row>
    <row r="78" customFormat="false" ht="15" hidden="false" customHeight="false" outlineLevel="0" collapsed="false">
      <c r="A78" s="9" t="n">
        <v>72</v>
      </c>
      <c r="B78" s="9" t="s">
        <v>72</v>
      </c>
      <c r="C78" s="9" t="s">
        <v>56</v>
      </c>
      <c r="D78" s="11" t="n">
        <v>0.3</v>
      </c>
      <c r="E78" s="11" t="n">
        <v>0.6</v>
      </c>
      <c r="F78" s="11" t="n">
        <v>0.6</v>
      </c>
      <c r="G78" s="12" t="n">
        <v>0.6</v>
      </c>
      <c r="H78" s="12" t="n">
        <v>0</v>
      </c>
      <c r="I78" s="12" t="n">
        <v>0</v>
      </c>
      <c r="J78" s="13" t="n">
        <f aca="false">IF(E78=0,"n/a",F78/E78-1)</f>
        <v>0</v>
      </c>
      <c r="K78" s="13" t="n">
        <f aca="false">IF(D78=0,"n/a",F78/D78-1)</f>
        <v>1</v>
      </c>
      <c r="L78" s="13" t="n">
        <f aca="false">IF(F78=0,"n/a",G78/F78-1)</f>
        <v>0</v>
      </c>
      <c r="M78" s="13" t="n">
        <f aca="false">IF(F78=0,"n/a",H78/F78-1)</f>
        <v>-1</v>
      </c>
      <c r="N78" s="13" t="n">
        <f aca="false">IF(D78=0,"n/a",I78/D78-1)</f>
        <v>-1</v>
      </c>
      <c r="O78" s="13" t="str">
        <f aca="false">IF(H78=0,"n/a",F78/H78)</f>
        <v>n/a</v>
      </c>
      <c r="P78" s="14" t="n">
        <f aca="false">I78-D78</f>
        <v>-0.3</v>
      </c>
      <c r="Q78" s="13" t="n">
        <f aca="false">F78/F$10</f>
        <v>0.000338409475465313</v>
      </c>
    </row>
    <row r="79" customFormat="false" ht="15" hidden="false" customHeight="false" outlineLevel="0" collapsed="false">
      <c r="A79" s="9" t="n">
        <v>73</v>
      </c>
      <c r="B79" s="9" t="s">
        <v>72</v>
      </c>
      <c r="C79" s="9" t="s">
        <v>57</v>
      </c>
      <c r="D79" s="11" t="n">
        <v>204.7</v>
      </c>
      <c r="E79" s="11" t="n">
        <v>78</v>
      </c>
      <c r="F79" s="11" t="n">
        <v>251.7</v>
      </c>
      <c r="G79" s="12" t="n">
        <v>272.6</v>
      </c>
      <c r="H79" s="12" t="n">
        <v>180</v>
      </c>
      <c r="I79" s="12" t="n">
        <v>304</v>
      </c>
      <c r="J79" s="13" t="n">
        <f aca="false">IF(E79=0,"n/a",F79/E79-1)</f>
        <v>2.22692307692308</v>
      </c>
      <c r="K79" s="13" t="n">
        <f aca="false">IF(D79=0,"n/a",F79/D79-1)</f>
        <v>0.229604298974109</v>
      </c>
      <c r="L79" s="13" t="n">
        <f aca="false">IF(F79=0,"n/a",G79/F79-1)</f>
        <v>0.0830353595550259</v>
      </c>
      <c r="M79" s="13" t="n">
        <f aca="false">IF(F79=0,"n/a",H79/F79-1)</f>
        <v>-0.284862932061979</v>
      </c>
      <c r="N79" s="13" t="n">
        <f aca="false">IF(D79=0,"n/a",I79/D79-1)</f>
        <v>0.485100146555936</v>
      </c>
      <c r="O79" s="13" t="n">
        <f aca="false">IF(H79=0,"n/a",F79/H79)</f>
        <v>1.39833333333333</v>
      </c>
      <c r="P79" s="14" t="n">
        <f aca="false">I79-D79</f>
        <v>99.3</v>
      </c>
      <c r="Q79" s="13" t="n">
        <f aca="false">F79/F$11</f>
        <v>0.00771517900931829</v>
      </c>
    </row>
    <row r="80" customFormat="false" ht="15" hidden="false" customHeight="false" outlineLevel="0" collapsed="false">
      <c r="A80" s="9" t="n">
        <v>74</v>
      </c>
      <c r="B80" s="9" t="s">
        <v>72</v>
      </c>
      <c r="C80" s="10" t="s">
        <v>58</v>
      </c>
      <c r="D80" s="11" t="n">
        <v>212.7</v>
      </c>
      <c r="E80" s="11" t="n">
        <v>84.7</v>
      </c>
      <c r="F80" s="11" t="n">
        <v>275.6</v>
      </c>
      <c r="G80" s="12" t="n">
        <v>282.8</v>
      </c>
      <c r="H80" s="12" t="n">
        <v>200</v>
      </c>
      <c r="I80" s="12" t="n">
        <v>324</v>
      </c>
      <c r="J80" s="13" t="n">
        <f aca="false">IF(E80=0,"n/a",F80/E80-1)</f>
        <v>2.25383707201889</v>
      </c>
      <c r="K80" s="13" t="n">
        <f aca="false">IF(D80=0,"n/a",F80/D80-1)</f>
        <v>0.295721673718853</v>
      </c>
      <c r="L80" s="13" t="n">
        <f aca="false">IF(F80=0,"n/a",G80/F80-1)</f>
        <v>0.0261248185776488</v>
      </c>
      <c r="M80" s="13" t="n">
        <f aca="false">IF(F80=0,"n/a",H80/F80-1)</f>
        <v>-0.274310595065312</v>
      </c>
      <c r="N80" s="13" t="n">
        <f aca="false">IF(D80=0,"n/a",I80/D80-1)</f>
        <v>0.52327221438646</v>
      </c>
      <c r="O80" s="13" t="n">
        <f aca="false">IF(H80=0,"n/a",F80/H80)</f>
        <v>1.378</v>
      </c>
      <c r="P80" s="14" t="n">
        <f aca="false">I80-D80</f>
        <v>111.3</v>
      </c>
      <c r="Q80" s="13" t="n">
        <f aca="false">F80/F$12</f>
        <v>0.00630115688874663</v>
      </c>
    </row>
    <row r="81" customFormat="false" ht="15" hidden="false" customHeight="false" outlineLevel="0" collapsed="false">
      <c r="A81" s="9" t="n">
        <v>75</v>
      </c>
      <c r="B81" s="9" t="s">
        <v>72</v>
      </c>
      <c r="C81" s="9" t="s">
        <v>59</v>
      </c>
      <c r="D81" s="11" t="n">
        <v>6.3</v>
      </c>
      <c r="E81" s="11" t="n">
        <v>4.8</v>
      </c>
      <c r="F81" s="11" t="n">
        <v>5.8</v>
      </c>
      <c r="G81" s="12" t="n">
        <v>8.1</v>
      </c>
      <c r="H81" s="12" t="n">
        <v>15</v>
      </c>
      <c r="I81" s="12" t="n">
        <v>10</v>
      </c>
      <c r="J81" s="13" t="n">
        <f aca="false">IF(E81=0,"n/a",F81/E81-1)</f>
        <v>0.208333333333333</v>
      </c>
      <c r="K81" s="13" t="n">
        <f aca="false">IF(D81=0,"n/a",F81/D81-1)</f>
        <v>-0.0793650793650794</v>
      </c>
      <c r="L81" s="13" t="n">
        <f aca="false">IF(F81=0,"n/a",G81/F81-1)</f>
        <v>0.396551724137931</v>
      </c>
      <c r="M81" s="13" t="n">
        <f aca="false">IF(F81=0,"n/a",H81/F81-1)</f>
        <v>1.58620689655172</v>
      </c>
      <c r="N81" s="13" t="n">
        <f aca="false">IF(D81=0,"n/a",I81/D81-1)</f>
        <v>0.587301587301587</v>
      </c>
      <c r="O81" s="13" t="n">
        <f aca="false">IF(H81=0,"n/a",F81/H81)</f>
        <v>0.386666666666667</v>
      </c>
      <c r="P81" s="14" t="n">
        <f aca="false">I81-D81</f>
        <v>3.7</v>
      </c>
      <c r="Q81" s="13" t="n">
        <f aca="false">F81/F$13</f>
        <v>0.000886308068459658</v>
      </c>
    </row>
    <row r="82" customFormat="false" ht="15" hidden="false" customHeight="false" outlineLevel="0" collapsed="false">
      <c r="A82" s="9" t="n">
        <v>76</v>
      </c>
      <c r="B82" s="9" t="s">
        <v>72</v>
      </c>
      <c r="C82" s="9" t="s">
        <v>60</v>
      </c>
      <c r="D82" s="11" t="n">
        <v>0.4</v>
      </c>
      <c r="E82" s="11" t="n">
        <v>0.5</v>
      </c>
      <c r="F82" s="11" t="n">
        <v>0.3</v>
      </c>
      <c r="G82" s="12" t="n">
        <v>0.6</v>
      </c>
      <c r="H82" s="12" t="n">
        <v>0</v>
      </c>
      <c r="I82" s="12" t="n">
        <v>0</v>
      </c>
      <c r="J82" s="13" t="n">
        <f aca="false">IF(E82=0,"n/a",F82/E82-1)</f>
        <v>-0.4</v>
      </c>
      <c r="K82" s="13" t="n">
        <f aca="false">IF(D82=0,"n/a",F82/D82-1)</f>
        <v>-0.25</v>
      </c>
      <c r="L82" s="13" t="n">
        <f aca="false">IF(F82=0,"n/a",G82/F82-1)</f>
        <v>1</v>
      </c>
      <c r="M82" s="13" t="n">
        <f aca="false">IF(F82=0,"n/a",H82/F82-1)</f>
        <v>-1</v>
      </c>
      <c r="N82" s="13" t="n">
        <f aca="false">IF(D82=0,"n/a",I82/D82-1)</f>
        <v>-1</v>
      </c>
      <c r="O82" s="13" t="str">
        <f aca="false">IF(H82=0,"n/a",F82/H82)</f>
        <v>n/a</v>
      </c>
      <c r="P82" s="14" t="n">
        <f aca="false">I82-D82</f>
        <v>-0.4</v>
      </c>
      <c r="Q82" s="13" t="n">
        <f aca="false">F82/F$14</f>
        <v>0.000189873417721519</v>
      </c>
    </row>
    <row r="83" customFormat="false" ht="15" hidden="false" customHeight="false" outlineLevel="0" collapsed="false">
      <c r="A83" s="9" t="n">
        <v>77</v>
      </c>
      <c r="B83" s="9" t="s">
        <v>72</v>
      </c>
      <c r="C83" s="9" t="s">
        <v>61</v>
      </c>
      <c r="D83" s="11" t="n">
        <v>132.2</v>
      </c>
      <c r="E83" s="11" t="n">
        <v>72.6</v>
      </c>
      <c r="F83" s="11" t="n">
        <v>220.5</v>
      </c>
      <c r="G83" s="12" t="n">
        <v>258.9</v>
      </c>
      <c r="H83" s="12" t="n">
        <v>163</v>
      </c>
      <c r="I83" s="12" t="n">
        <v>177</v>
      </c>
      <c r="J83" s="13" t="n">
        <f aca="false">IF(E83=0,"n/a",F83/E83-1)</f>
        <v>2.03719008264463</v>
      </c>
      <c r="K83" s="13" t="n">
        <f aca="false">IF(D83=0,"n/a",F83/D83-1)</f>
        <v>0.667927382753404</v>
      </c>
      <c r="L83" s="13" t="n">
        <f aca="false">IF(F83=0,"n/a",G83/F83-1)</f>
        <v>0.174149659863945</v>
      </c>
      <c r="M83" s="13" t="n">
        <f aca="false">IF(F83=0,"n/a",H83/F83-1)</f>
        <v>-0.260770975056689</v>
      </c>
      <c r="N83" s="13" t="n">
        <f aca="false">IF(D83=0,"n/a",I83/D83-1)</f>
        <v>0.338880484114978</v>
      </c>
      <c r="O83" s="13" t="n">
        <f aca="false">IF(H83=0,"n/a",F83/H83)</f>
        <v>1.35276073619632</v>
      </c>
      <c r="P83" s="14" t="n">
        <f aca="false">I83-D83</f>
        <v>44.8</v>
      </c>
      <c r="Q83" s="13" t="n">
        <f aca="false">F83/F$15</f>
        <v>0.0060468942821884</v>
      </c>
    </row>
    <row r="84" customFormat="false" ht="15" hidden="false" customHeight="false" outlineLevel="0" collapsed="false">
      <c r="A84" s="9" t="n">
        <v>78</v>
      </c>
      <c r="B84" s="9" t="s">
        <v>72</v>
      </c>
      <c r="C84" s="9" t="s">
        <v>62</v>
      </c>
      <c r="D84" s="11" t="n">
        <v>138.8</v>
      </c>
      <c r="E84" s="11" t="n">
        <v>77.9</v>
      </c>
      <c r="F84" s="11" t="n">
        <v>226.6</v>
      </c>
      <c r="G84" s="12" t="n">
        <v>267.5</v>
      </c>
      <c r="H84" s="12" t="n">
        <v>178</v>
      </c>
      <c r="I84" s="12" t="n">
        <v>187</v>
      </c>
      <c r="J84" s="13" t="n">
        <f aca="false">IF(E84=0,"n/a",F84/E84-1)</f>
        <v>1.90885750962773</v>
      </c>
      <c r="K84" s="13" t="n">
        <f aca="false">IF(D84=0,"n/a",F84/D84-1)</f>
        <v>0.632564841498559</v>
      </c>
      <c r="L84" s="13" t="n">
        <f aca="false">IF(F84=0,"n/a",G84/F84-1)</f>
        <v>0.180494263018535</v>
      </c>
      <c r="M84" s="13" t="n">
        <f aca="false">IF(F84=0,"n/a",H84/F84-1)</f>
        <v>-0.214474845542807</v>
      </c>
      <c r="N84" s="13" t="n">
        <f aca="false">IF(D84=0,"n/a",I84/D84-1)</f>
        <v>0.347262247838617</v>
      </c>
      <c r="O84" s="13" t="n">
        <f aca="false">IF(H84=0,"n/a",F84/H84)</f>
        <v>1.27303370786517</v>
      </c>
      <c r="P84" s="14" t="n">
        <f aca="false">I84-D84</f>
        <v>48.2</v>
      </c>
      <c r="Q84" s="13" t="n">
        <f aca="false">F84/F$16</f>
        <v>0.00508197088968131</v>
      </c>
    </row>
    <row r="85" customFormat="false" ht="15" hidden="false" customHeight="false" outlineLevel="0" collapsed="false">
      <c r="A85" s="9" t="n">
        <v>79</v>
      </c>
      <c r="B85" s="9" t="s">
        <v>72</v>
      </c>
      <c r="C85" s="15" t="s">
        <v>63</v>
      </c>
      <c r="D85" s="13" t="n">
        <f aca="false">(D77+D78)/D80</f>
        <v>0.0380818053596615</v>
      </c>
      <c r="E85" s="13" t="n">
        <f aca="false">(E77+E78)/E80</f>
        <v>0.0779220779220779</v>
      </c>
      <c r="F85" s="13" t="n">
        <f aca="false">(F77+F78)/F80</f>
        <v>0.0870827285921626</v>
      </c>
      <c r="G85" s="13" t="n">
        <f aca="false">(G77+G78)/G80</f>
        <v>0.0360678925035361</v>
      </c>
      <c r="H85" s="13" t="n">
        <f aca="false">(H77+H78)/H80</f>
        <v>0.1</v>
      </c>
      <c r="I85" s="13" t="n">
        <f aca="false">(I77+I78)/I80</f>
        <v>0.0617283950617284</v>
      </c>
    </row>
    <row r="86" customFormat="false" ht="15" hidden="false" customHeight="false" outlineLevel="0" collapsed="false">
      <c r="A86" s="9" t="n">
        <v>80</v>
      </c>
      <c r="B86" s="9" t="s">
        <v>72</v>
      </c>
      <c r="C86" s="15" t="s">
        <v>64</v>
      </c>
      <c r="D86" s="13" t="n">
        <f aca="false">(D81+D82)/D84</f>
        <v>0.0482708933717579</v>
      </c>
      <c r="E86" s="13" t="n">
        <f aca="false">(E81+E82)/E84</f>
        <v>0.0680359435173299</v>
      </c>
      <c r="F86" s="13" t="n">
        <f aca="false">(F81+F82)/F84</f>
        <v>0.0269196822594881</v>
      </c>
      <c r="G86" s="13" t="n">
        <f aca="false">(G81+G82)/G84</f>
        <v>0.0325233644859813</v>
      </c>
      <c r="H86" s="13" t="n">
        <f aca="false">(H81+H82)/H84</f>
        <v>0.0842696629213483</v>
      </c>
      <c r="I86" s="13" t="n">
        <f aca="false">(I81+I82)/I84</f>
        <v>0.053475935828877</v>
      </c>
    </row>
    <row r="87" customFormat="false" ht="15" hidden="false" customHeight="false" outlineLevel="0" collapsed="false">
      <c r="A87" s="9" t="n">
        <v>81</v>
      </c>
      <c r="B87" s="9" t="s">
        <v>72</v>
      </c>
      <c r="C87" s="15" t="s">
        <v>65</v>
      </c>
      <c r="D87" s="16" t="n">
        <f aca="false">D75/D76</f>
        <v>1.16122827016244</v>
      </c>
      <c r="E87" s="16" t="n">
        <f aca="false">E75/E76</f>
        <v>1.04183145725586</v>
      </c>
      <c r="F87" s="16" t="n">
        <f aca="false">F75/F76</f>
        <v>1.01171660462562</v>
      </c>
      <c r="G87" s="16" t="n">
        <f aca="false">G75/G76</f>
        <v>1.05638771973261</v>
      </c>
      <c r="H87" s="16" t="n">
        <f aca="false">H75/H76</f>
        <v>1.05072886297376</v>
      </c>
      <c r="I87" s="16" t="n">
        <f aca="false">I75/I76</f>
        <v>1.19777158774373</v>
      </c>
    </row>
    <row r="88" customFormat="false" ht="15" hidden="false" customHeight="false" outlineLevel="0" collapsed="false">
      <c r="A88" s="9" t="n">
        <v>82</v>
      </c>
      <c r="B88" s="9" t="s">
        <v>72</v>
      </c>
      <c r="C88" s="15" t="s">
        <v>66</v>
      </c>
      <c r="D88" s="16" t="n">
        <f aca="false">D80/D84</f>
        <v>1.53242074927954</v>
      </c>
      <c r="E88" s="16" t="n">
        <f aca="false">E80/E84</f>
        <v>1.08729139922978</v>
      </c>
      <c r="F88" s="16" t="n">
        <f aca="false">F80/F84</f>
        <v>1.216240070609</v>
      </c>
      <c r="G88" s="16" t="n">
        <f aca="false">G80/G84</f>
        <v>1.05719626168224</v>
      </c>
      <c r="H88" s="16" t="n">
        <f aca="false">H80/H84</f>
        <v>1.12359550561798</v>
      </c>
      <c r="I88" s="16" t="n">
        <f aca="false">I80/I84</f>
        <v>1.73262032085562</v>
      </c>
    </row>
    <row r="89" customFormat="false" ht="15" hidden="false" customHeight="false" outlineLevel="0" collapsed="false">
      <c r="A89" s="9" t="n">
        <v>83</v>
      </c>
      <c r="B89" s="9" t="s">
        <v>72</v>
      </c>
      <c r="C89" s="15" t="s">
        <v>67</v>
      </c>
      <c r="D89" s="16" t="n">
        <f aca="false">D75/D80</f>
        <v>7.66290550070522</v>
      </c>
      <c r="E89" s="16" t="n">
        <f aca="false">E75/E80</f>
        <v>16.172373081464</v>
      </c>
      <c r="F89" s="16" t="n">
        <f aca="false">F75/F80</f>
        <v>6.0156023222061</v>
      </c>
      <c r="G89" s="16" t="n">
        <f aca="false">G75/G80</f>
        <v>6.03500707213579</v>
      </c>
      <c r="H89" s="16" t="n">
        <f aca="false">H75/H80</f>
        <v>9.01</v>
      </c>
      <c r="I89" s="16" t="n">
        <f aca="false">I75/I80</f>
        <v>6.6358024691358</v>
      </c>
    </row>
    <row r="90" customFormat="false" ht="15" hidden="false" customHeight="false" outlineLevel="0" collapsed="false">
      <c r="A90" s="9" t="n">
        <v>84</v>
      </c>
      <c r="B90" s="9" t="s">
        <v>72</v>
      </c>
      <c r="C90" s="15" t="s">
        <v>68</v>
      </c>
      <c r="D90" s="14" t="n">
        <f aca="false">D77+D78+D79-D80</f>
        <v>0.0999999999999943</v>
      </c>
      <c r="E90" s="14" t="n">
        <f aca="false">E77+E78+E79-E80</f>
        <v>-0.100000000000009</v>
      </c>
      <c r="F90" s="14" t="n">
        <f aca="false">F77+F78+F79-F80</f>
        <v>0.0999999999999659</v>
      </c>
      <c r="G90" s="14" t="n">
        <f aca="false">G77+G78+G79-G80</f>
        <v>0</v>
      </c>
      <c r="H90" s="14" t="n">
        <f aca="false">H77+H78+H79-H80</f>
        <v>0</v>
      </c>
      <c r="I90" s="14" t="n">
        <f aca="false">I77+I78+I79-I80</f>
        <v>0</v>
      </c>
    </row>
    <row r="92" customFormat="false" ht="15" hidden="false" customHeight="false" outlineLevel="0" collapsed="false">
      <c r="A92" s="9" t="n">
        <v>86</v>
      </c>
      <c r="B92" s="9" t="s">
        <v>73</v>
      </c>
      <c r="C92" s="10" t="s">
        <v>53</v>
      </c>
      <c r="D92" s="11" t="n">
        <v>8195</v>
      </c>
      <c r="E92" s="11" t="n">
        <v>5798</v>
      </c>
      <c r="F92" s="11" t="n">
        <v>8205</v>
      </c>
      <c r="G92" s="12" t="n">
        <v>8755</v>
      </c>
      <c r="H92" s="12" t="n">
        <v>8700</v>
      </c>
      <c r="I92" s="12" t="n">
        <v>10000</v>
      </c>
      <c r="J92" s="13" t="n">
        <f aca="false">IF(E92=0,"n/a",F92/E92-1)</f>
        <v>0.415143152811314</v>
      </c>
      <c r="K92" s="13" t="n">
        <f aca="false">IF(D92=0,"n/a",F92/D92-1)</f>
        <v>0.00122025625381328</v>
      </c>
      <c r="L92" s="13" t="n">
        <f aca="false">IF(F92=0,"n/a",G92/F92-1)</f>
        <v>0.0670322973796467</v>
      </c>
      <c r="M92" s="13" t="n">
        <f aca="false">IF(F92=0,"n/a",H92/F92-1)</f>
        <v>0.0603290676416819</v>
      </c>
      <c r="N92" s="13" t="n">
        <f aca="false">IF(D92=0,"n/a",I92/D92-1)</f>
        <v>0.220256253813301</v>
      </c>
      <c r="O92" s="13" t="n">
        <f aca="false">IF(H92=0,"n/a",F92/H92)</f>
        <v>0.943103448275862</v>
      </c>
      <c r="P92" s="14" t="n">
        <f aca="false">I92-D92</f>
        <v>1805</v>
      </c>
      <c r="Q92" s="13" t="n">
        <f aca="false">F92/F$7</f>
        <v>0.159869843929622</v>
      </c>
    </row>
    <row r="93" customFormat="false" ht="15" hidden="false" customHeight="false" outlineLevel="0" collapsed="false">
      <c r="A93" s="9" t="n">
        <v>87</v>
      </c>
      <c r="B93" s="9" t="s">
        <v>73</v>
      </c>
      <c r="C93" s="9" t="s">
        <v>54</v>
      </c>
      <c r="D93" s="11" t="n">
        <v>5953</v>
      </c>
      <c r="E93" s="11" t="n">
        <v>5155</v>
      </c>
      <c r="F93" s="11" t="n">
        <v>6642</v>
      </c>
      <c r="G93" s="12" t="n">
        <v>7625</v>
      </c>
      <c r="H93" s="12" t="n">
        <v>7330</v>
      </c>
      <c r="I93" s="12" t="n">
        <v>7500</v>
      </c>
      <c r="J93" s="13" t="n">
        <f aca="false">IF(E93=0,"n/a",F93/E93-1)</f>
        <v>0.288457807953443</v>
      </c>
      <c r="K93" s="13" t="n">
        <f aca="false">IF(D93=0,"n/a",F93/D93-1)</f>
        <v>0.115739963043843</v>
      </c>
      <c r="L93" s="13" t="n">
        <f aca="false">IF(F93=0,"n/a",G93/F93-1)</f>
        <v>0.147997591087022</v>
      </c>
      <c r="M93" s="13" t="n">
        <f aca="false">IF(F93=0,"n/a",H93/F93-1)</f>
        <v>0.103583258054803</v>
      </c>
      <c r="N93" s="13" t="n">
        <f aca="false">IF(D93=0,"n/a",I93/D93-1)</f>
        <v>0.259868973626743</v>
      </c>
      <c r="O93" s="13" t="n">
        <f aca="false">IF(H93=0,"n/a",F93/H93)</f>
        <v>0.906139154160982</v>
      </c>
      <c r="P93" s="14" t="n">
        <f aca="false">I93-D93</f>
        <v>1547</v>
      </c>
      <c r="Q93" s="13" t="n">
        <f aca="false">F93/F$8</f>
        <v>0.145262881637652</v>
      </c>
    </row>
    <row r="94" customFormat="false" ht="15" hidden="false" customHeight="false" outlineLevel="0" collapsed="false">
      <c r="A94" s="9" t="n">
        <v>88</v>
      </c>
      <c r="B94" s="9" t="s">
        <v>73</v>
      </c>
      <c r="C94" s="9" t="s">
        <v>55</v>
      </c>
      <c r="D94" s="11" t="n">
        <v>7185</v>
      </c>
      <c r="E94" s="11" t="n">
        <v>5153</v>
      </c>
      <c r="F94" s="11" t="n">
        <v>1547</v>
      </c>
      <c r="G94" s="12" t="n">
        <v>827</v>
      </c>
      <c r="H94" s="12" t="n">
        <v>2100</v>
      </c>
      <c r="I94" s="12" t="n">
        <v>3101</v>
      </c>
      <c r="J94" s="13" t="n">
        <f aca="false">IF(E94=0,"n/a",F94/E94-1)</f>
        <v>-0.699786532117213</v>
      </c>
      <c r="K94" s="13" t="n">
        <f aca="false">IF(D94=0,"n/a",F94/D94-1)</f>
        <v>-0.784690327070285</v>
      </c>
      <c r="L94" s="13" t="n">
        <f aca="false">IF(F94=0,"n/a",G94/F94-1)</f>
        <v>-0.465416936005171</v>
      </c>
      <c r="M94" s="13" t="n">
        <f aca="false">IF(F94=0,"n/a",H94/F94-1)</f>
        <v>0.357466063348416</v>
      </c>
      <c r="N94" s="13" t="n">
        <f aca="false">IF(D94=0,"n/a",I94/D94-1)</f>
        <v>-0.568406402226862</v>
      </c>
      <c r="O94" s="13" t="n">
        <f aca="false">IF(H94=0,"n/a",F94/H94)</f>
        <v>0.736666666666667</v>
      </c>
      <c r="P94" s="14" t="n">
        <f aca="false">I94-D94</f>
        <v>-4084</v>
      </c>
      <c r="Q94" s="13" t="n">
        <f aca="false">F94/F$9</f>
        <v>0.16561395996146</v>
      </c>
    </row>
    <row r="95" customFormat="false" ht="15" hidden="false" customHeight="false" outlineLevel="0" collapsed="false">
      <c r="A95" s="9" t="n">
        <v>89</v>
      </c>
      <c r="B95" s="9" t="s">
        <v>73</v>
      </c>
      <c r="C95" s="9" t="s">
        <v>56</v>
      </c>
      <c r="D95" s="11" t="n">
        <v>752</v>
      </c>
      <c r="E95" s="11" t="n">
        <v>329</v>
      </c>
      <c r="F95" s="11" t="n">
        <v>1229</v>
      </c>
      <c r="G95" s="12" t="n">
        <v>1040</v>
      </c>
      <c r="H95" s="12" t="n">
        <v>550</v>
      </c>
      <c r="I95" s="12" t="n">
        <v>1221</v>
      </c>
      <c r="J95" s="13" t="n">
        <f aca="false">IF(E95=0,"n/a",F95/E95-1)</f>
        <v>2.7355623100304</v>
      </c>
      <c r="K95" s="13" t="n">
        <f aca="false">IF(D95=0,"n/a",F95/D95-1)</f>
        <v>0.634308510638298</v>
      </c>
      <c r="L95" s="13" t="n">
        <f aca="false">IF(F95=0,"n/a",G95/F95-1)</f>
        <v>-0.153783563873068</v>
      </c>
      <c r="M95" s="13" t="n">
        <f aca="false">IF(F95=0,"n/a",H95/F95-1)</f>
        <v>-0.552481692432872</v>
      </c>
      <c r="N95" s="13" t="n">
        <f aca="false">IF(D95=0,"n/a",I95/D95-1)</f>
        <v>0.623670212765958</v>
      </c>
      <c r="O95" s="13" t="n">
        <f aca="false">IF(H95=0,"n/a",F95/H95)</f>
        <v>2.23454545454545</v>
      </c>
      <c r="P95" s="14" t="n">
        <f aca="false">I95-D95</f>
        <v>469</v>
      </c>
      <c r="Q95" s="13" t="n">
        <f aca="false">F95/F$10</f>
        <v>0.69317540891145</v>
      </c>
    </row>
    <row r="96" customFormat="false" ht="15" hidden="false" customHeight="false" outlineLevel="0" collapsed="false">
      <c r="A96" s="9" t="n">
        <v>90</v>
      </c>
      <c r="B96" s="9" t="s">
        <v>73</v>
      </c>
      <c r="C96" s="9" t="s">
        <v>57</v>
      </c>
      <c r="D96" s="11" t="n">
        <v>3203</v>
      </c>
      <c r="E96" s="11" t="n">
        <v>2513</v>
      </c>
      <c r="F96" s="11" t="n">
        <v>2881</v>
      </c>
      <c r="G96" s="12" t="n">
        <v>1779</v>
      </c>
      <c r="H96" s="12" t="n">
        <v>2313</v>
      </c>
      <c r="I96" s="12" t="n">
        <v>2313</v>
      </c>
      <c r="J96" s="13" t="n">
        <f aca="false">IF(E96=0,"n/a",F96/E96-1)</f>
        <v>0.146438519697573</v>
      </c>
      <c r="K96" s="13" t="n">
        <f aca="false">IF(D96=0,"n/a",F96/D96-1)</f>
        <v>-0.100530752419607</v>
      </c>
      <c r="L96" s="13" t="n">
        <f aca="false">IF(F96=0,"n/a",G96/F96-1)</f>
        <v>-0.382506074279764</v>
      </c>
      <c r="M96" s="13" t="n">
        <f aca="false">IF(F96=0,"n/a",H96/F96-1)</f>
        <v>-0.197153766053454</v>
      </c>
      <c r="N96" s="13" t="n">
        <f aca="false">IF(D96=0,"n/a",I96/D96-1)</f>
        <v>-0.277864502029348</v>
      </c>
      <c r="O96" s="13" t="n">
        <f aca="false">IF(H96=0,"n/a",F96/H96)</f>
        <v>1.24556852572417</v>
      </c>
      <c r="P96" s="14" t="n">
        <f aca="false">I96-D96</f>
        <v>-890</v>
      </c>
      <c r="Q96" s="13" t="n">
        <f aca="false">F96/F$11</f>
        <v>0.0883092202059833</v>
      </c>
    </row>
    <row r="97" customFormat="false" ht="15" hidden="false" customHeight="false" outlineLevel="0" collapsed="false">
      <c r="A97" s="9" t="n">
        <v>91</v>
      </c>
      <c r="B97" s="9" t="s">
        <v>73</v>
      </c>
      <c r="C97" s="10" t="s">
        <v>58</v>
      </c>
      <c r="D97" s="11" t="n">
        <v>11140</v>
      </c>
      <c r="E97" s="11" t="n">
        <v>7995</v>
      </c>
      <c r="F97" s="11" t="n">
        <v>5657</v>
      </c>
      <c r="G97" s="12" t="n">
        <v>3646</v>
      </c>
      <c r="H97" s="12" t="n">
        <v>4963</v>
      </c>
      <c r="I97" s="12" t="n">
        <v>6635</v>
      </c>
      <c r="J97" s="13" t="n">
        <f aca="false">IF(E97=0,"n/a",F97/E97-1)</f>
        <v>-0.292432770481551</v>
      </c>
      <c r="K97" s="13" t="n">
        <f aca="false">IF(D97=0,"n/a",F97/D97-1)</f>
        <v>-0.492190305206463</v>
      </c>
      <c r="L97" s="13" t="n">
        <f aca="false">IF(F97=0,"n/a",G97/F97-1)</f>
        <v>-0.355488774969065</v>
      </c>
      <c r="M97" s="13" t="n">
        <f aca="false">IF(F97=0,"n/a",H97/F97-1)</f>
        <v>-0.122679865653173</v>
      </c>
      <c r="N97" s="13" t="n">
        <f aca="false">IF(D97=0,"n/a",I97/D97-1)</f>
        <v>-0.404398563734291</v>
      </c>
      <c r="O97" s="13" t="n">
        <f aca="false">IF(H97=0,"n/a",F97/H97)</f>
        <v>1.13983477735241</v>
      </c>
      <c r="P97" s="14" t="n">
        <f aca="false">I97-D97</f>
        <v>-4505</v>
      </c>
      <c r="Q97" s="13" t="n">
        <f aca="false">F97/F$12</f>
        <v>0.129338332799854</v>
      </c>
    </row>
    <row r="98" customFormat="false" ht="15" hidden="false" customHeight="false" outlineLevel="0" collapsed="false">
      <c r="A98" s="9" t="n">
        <v>92</v>
      </c>
      <c r="B98" s="9" t="s">
        <v>73</v>
      </c>
      <c r="C98" s="9" t="s">
        <v>59</v>
      </c>
      <c r="D98" s="11" t="n">
        <v>1575</v>
      </c>
      <c r="E98" s="11" t="n">
        <v>1542</v>
      </c>
      <c r="F98" s="11" t="n">
        <v>1362</v>
      </c>
      <c r="G98" s="12" t="n">
        <v>1360</v>
      </c>
      <c r="H98" s="12" t="n">
        <v>1697</v>
      </c>
      <c r="I98" s="12" t="n">
        <v>1846</v>
      </c>
      <c r="J98" s="13" t="n">
        <f aca="false">IF(E98=0,"n/a",F98/E98-1)</f>
        <v>-0.116731517509728</v>
      </c>
      <c r="K98" s="13" t="n">
        <f aca="false">IF(D98=0,"n/a",F98/D98-1)</f>
        <v>-0.135238095238095</v>
      </c>
      <c r="L98" s="13" t="n">
        <f aca="false">IF(F98=0,"n/a",G98/F98-1)</f>
        <v>-0.00146842878120412</v>
      </c>
      <c r="M98" s="13" t="n">
        <f aca="false">IF(F98=0,"n/a",H98/F98-1)</f>
        <v>0.245961820851689</v>
      </c>
      <c r="N98" s="13" t="n">
        <f aca="false">IF(D98=0,"n/a",I98/D98-1)</f>
        <v>0.172063492063492</v>
      </c>
      <c r="O98" s="13" t="n">
        <f aca="false">IF(H98=0,"n/a",F98/H98)</f>
        <v>0.802592810842664</v>
      </c>
      <c r="P98" s="14" t="n">
        <f aca="false">I98-D98</f>
        <v>271</v>
      </c>
      <c r="Q98" s="13" t="n">
        <f aca="false">F98/F$13</f>
        <v>0.208129584352078</v>
      </c>
    </row>
    <row r="99" customFormat="false" ht="15" hidden="false" customHeight="false" outlineLevel="0" collapsed="false">
      <c r="A99" s="9" t="n">
        <v>93</v>
      </c>
      <c r="B99" s="9" t="s">
        <v>73</v>
      </c>
      <c r="C99" s="9" t="s">
        <v>60</v>
      </c>
      <c r="D99" s="11" t="n">
        <v>267</v>
      </c>
      <c r="E99" s="11" t="n">
        <v>332</v>
      </c>
      <c r="F99" s="11" t="n">
        <v>599</v>
      </c>
      <c r="G99" s="12" t="n">
        <v>607</v>
      </c>
      <c r="H99" s="12" t="n">
        <v>352</v>
      </c>
      <c r="I99" s="12" t="n">
        <v>382</v>
      </c>
      <c r="J99" s="13" t="n">
        <f aca="false">IF(E99=0,"n/a",F99/E99-1)</f>
        <v>0.80421686746988</v>
      </c>
      <c r="K99" s="13" t="n">
        <f aca="false">IF(D99=0,"n/a",F99/D99-1)</f>
        <v>1.2434456928839</v>
      </c>
      <c r="L99" s="13" t="n">
        <f aca="false">IF(F99=0,"n/a",G99/F99-1)</f>
        <v>0.013355592654424</v>
      </c>
      <c r="M99" s="13" t="n">
        <f aca="false">IF(F99=0,"n/a",H99/F99-1)</f>
        <v>-0.412353923205342</v>
      </c>
      <c r="N99" s="13" t="n">
        <f aca="false">IF(D99=0,"n/a",I99/D99-1)</f>
        <v>0.430711610486891</v>
      </c>
      <c r="O99" s="13" t="n">
        <f aca="false">IF(H99=0,"n/a",F99/H99)</f>
        <v>1.70170454545455</v>
      </c>
      <c r="P99" s="14" t="n">
        <f aca="false">I99-D99</f>
        <v>115</v>
      </c>
      <c r="Q99" s="13" t="n">
        <f aca="false">F99/F$14</f>
        <v>0.379113924050633</v>
      </c>
    </row>
    <row r="100" customFormat="false" ht="15" hidden="false" customHeight="false" outlineLevel="0" collapsed="false">
      <c r="A100" s="9" t="n">
        <v>94</v>
      </c>
      <c r="B100" s="9" t="s">
        <v>73</v>
      </c>
      <c r="C100" s="9" t="s">
        <v>61</v>
      </c>
      <c r="D100" s="11" t="n">
        <v>3063</v>
      </c>
      <c r="E100" s="11" t="n">
        <v>2029</v>
      </c>
      <c r="F100" s="11" t="n">
        <v>3971</v>
      </c>
      <c r="G100" s="12" t="n">
        <v>2601</v>
      </c>
      <c r="H100" s="12" t="n">
        <v>3487</v>
      </c>
      <c r="I100" s="12" t="n">
        <v>3595</v>
      </c>
      <c r="J100" s="13" t="n">
        <f aca="false">IF(E100=0,"n/a",F100/E100-1)</f>
        <v>0.957121734844751</v>
      </c>
      <c r="K100" s="13" t="n">
        <f aca="false">IF(D100=0,"n/a",F100/D100-1)</f>
        <v>0.296441397322886</v>
      </c>
      <c r="L100" s="13" t="n">
        <f aca="false">IF(F100=0,"n/a",G100/F100-1)</f>
        <v>-0.345001259128683</v>
      </c>
      <c r="M100" s="13" t="n">
        <f aca="false">IF(F100=0,"n/a",H100/F100-1)</f>
        <v>-0.121883656509695</v>
      </c>
      <c r="N100" s="13" t="n">
        <f aca="false">IF(D100=0,"n/a",I100/D100-1)</f>
        <v>0.173685928827946</v>
      </c>
      <c r="O100" s="13" t="n">
        <f aca="false">IF(H100=0,"n/a",F100/H100)</f>
        <v>1.13880126182965</v>
      </c>
      <c r="P100" s="14" t="n">
        <f aca="false">I100-D100</f>
        <v>532</v>
      </c>
      <c r="Q100" s="13" t="n">
        <f aca="false">F100/F$15</f>
        <v>0.108898944193062</v>
      </c>
    </row>
    <row r="101" customFormat="false" ht="15" hidden="false" customHeight="false" outlineLevel="0" collapsed="false">
      <c r="A101" s="9" t="n">
        <v>95</v>
      </c>
      <c r="B101" s="9" t="s">
        <v>73</v>
      </c>
      <c r="C101" s="9" t="s">
        <v>62</v>
      </c>
      <c r="D101" s="11" t="n">
        <v>4905</v>
      </c>
      <c r="E101" s="11" t="n">
        <v>3904</v>
      </c>
      <c r="F101" s="11" t="n">
        <v>5932</v>
      </c>
      <c r="G101" s="12" t="n">
        <v>4568</v>
      </c>
      <c r="H101" s="12" t="n">
        <v>5536</v>
      </c>
      <c r="I101" s="12" t="n">
        <v>5823</v>
      </c>
      <c r="J101" s="13" t="n">
        <f aca="false">IF(E101=0,"n/a",F101/E101-1)</f>
        <v>0.519467213114754</v>
      </c>
      <c r="K101" s="13" t="n">
        <f aca="false">IF(D101=0,"n/a",F101/D101-1)</f>
        <v>0.209378185524975</v>
      </c>
      <c r="L101" s="13" t="n">
        <f aca="false">IF(F101=0,"n/a",G101/F101-1)</f>
        <v>-0.22993931220499</v>
      </c>
      <c r="M101" s="13" t="n">
        <f aca="false">IF(F101=0,"n/a",H101/F101-1)</f>
        <v>-0.066756574511126</v>
      </c>
      <c r="N101" s="13" t="n">
        <f aca="false">IF(D101=0,"n/a",I101/D101-1)</f>
        <v>0.187155963302752</v>
      </c>
      <c r="O101" s="13" t="n">
        <f aca="false">IF(H101=0,"n/a",F101/H101)</f>
        <v>1.07153179190751</v>
      </c>
      <c r="P101" s="14" t="n">
        <f aca="false">I101-D101</f>
        <v>918</v>
      </c>
      <c r="Q101" s="13" t="n">
        <f aca="false">F101/F$16</f>
        <v>0.133037296194129</v>
      </c>
    </row>
    <row r="102" customFormat="false" ht="15" hidden="false" customHeight="false" outlineLevel="0" collapsed="false">
      <c r="A102" s="9" t="n">
        <v>96</v>
      </c>
      <c r="B102" s="9" t="s">
        <v>73</v>
      </c>
      <c r="C102" s="15" t="s">
        <v>63</v>
      </c>
      <c r="D102" s="13" t="n">
        <f aca="false">(D94+D95)/D97</f>
        <v>0.712477558348294</v>
      </c>
      <c r="E102" s="13" t="n">
        <f aca="false">(E94+E95)/E97</f>
        <v>0.685678549093183</v>
      </c>
      <c r="F102" s="13" t="n">
        <f aca="false">(F94+F95)/F97</f>
        <v>0.490719462612692</v>
      </c>
      <c r="G102" s="13" t="n">
        <f aca="false">(G94+G95)/G97</f>
        <v>0.512068019747669</v>
      </c>
      <c r="H102" s="13" t="n">
        <f aca="false">(H94+H95)/H97</f>
        <v>0.533951239169857</v>
      </c>
      <c r="I102" s="13" t="n">
        <f aca="false">(I94+I95)/I97</f>
        <v>0.65139412207988</v>
      </c>
    </row>
    <row r="103" customFormat="false" ht="15" hidden="false" customHeight="false" outlineLevel="0" collapsed="false">
      <c r="A103" s="9" t="n">
        <v>97</v>
      </c>
      <c r="B103" s="9" t="s">
        <v>73</v>
      </c>
      <c r="C103" s="15" t="s">
        <v>64</v>
      </c>
      <c r="D103" s="13" t="n">
        <f aca="false">(D98+D99)/D101</f>
        <v>0.375535168195719</v>
      </c>
      <c r="E103" s="13" t="n">
        <f aca="false">(E98+E99)/E101</f>
        <v>0.480020491803279</v>
      </c>
      <c r="F103" s="13" t="n">
        <f aca="false">(F98+F99)/F101</f>
        <v>0.330579905596763</v>
      </c>
      <c r="G103" s="13" t="n">
        <f aca="false">(G98+G99)/G101</f>
        <v>0.430604203152364</v>
      </c>
      <c r="H103" s="13" t="n">
        <f aca="false">(H98+H99)/H101</f>
        <v>0.370122832369942</v>
      </c>
      <c r="I103" s="13" t="n">
        <f aca="false">(I98+I99)/I101</f>
        <v>0.382620642280611</v>
      </c>
    </row>
    <row r="104" customFormat="false" ht="15" hidden="false" customHeight="false" outlineLevel="0" collapsed="false">
      <c r="A104" s="9" t="n">
        <v>98</v>
      </c>
      <c r="B104" s="9" t="s">
        <v>73</v>
      </c>
      <c r="C104" s="15" t="s">
        <v>65</v>
      </c>
      <c r="D104" s="16" t="n">
        <f aca="false">D92/D93</f>
        <v>1.37661683184949</v>
      </c>
      <c r="E104" s="16" t="n">
        <f aca="false">E92/E93</f>
        <v>1.12473326867119</v>
      </c>
      <c r="F104" s="16" t="n">
        <f aca="false">F92/F93</f>
        <v>1.2353206865402</v>
      </c>
      <c r="G104" s="16" t="n">
        <f aca="false">G92/G93</f>
        <v>1.14819672131148</v>
      </c>
      <c r="H104" s="16" t="n">
        <f aca="false">H92/H93</f>
        <v>1.1869031377899</v>
      </c>
      <c r="I104" s="16" t="n">
        <f aca="false">I92/I93</f>
        <v>1.33333333333333</v>
      </c>
    </row>
    <row r="105" customFormat="false" ht="15" hidden="false" customHeight="false" outlineLevel="0" collapsed="false">
      <c r="A105" s="9" t="n">
        <v>99</v>
      </c>
      <c r="B105" s="9" t="s">
        <v>73</v>
      </c>
      <c r="C105" s="15" t="s">
        <v>66</v>
      </c>
      <c r="D105" s="16" t="n">
        <f aca="false">D97/D101</f>
        <v>2.27115188583079</v>
      </c>
      <c r="E105" s="16" t="n">
        <f aca="false">E97/E101</f>
        <v>2.04789959016393</v>
      </c>
      <c r="F105" s="16" t="n">
        <f aca="false">F97/F101</f>
        <v>0.953641267700607</v>
      </c>
      <c r="G105" s="16" t="n">
        <f aca="false">G97/G101</f>
        <v>0.798161120840631</v>
      </c>
      <c r="H105" s="16" t="n">
        <f aca="false">H97/H101</f>
        <v>0.896495664739884</v>
      </c>
      <c r="I105" s="16" t="n">
        <f aca="false">I97/I101</f>
        <v>1.1394470204362</v>
      </c>
    </row>
    <row r="106" customFormat="false" ht="15" hidden="false" customHeight="false" outlineLevel="0" collapsed="false">
      <c r="A106" s="9" t="n">
        <v>100</v>
      </c>
      <c r="B106" s="9" t="s">
        <v>73</v>
      </c>
      <c r="C106" s="15" t="s">
        <v>67</v>
      </c>
      <c r="D106" s="16" t="n">
        <f aca="false">D92/D97</f>
        <v>0.735637342908438</v>
      </c>
      <c r="E106" s="16" t="n">
        <f aca="false">E92/E97</f>
        <v>0.72520325203252</v>
      </c>
      <c r="F106" s="16" t="n">
        <f aca="false">F92/F97</f>
        <v>1.45041541453067</v>
      </c>
      <c r="G106" s="16" t="n">
        <f aca="false">G92/G97</f>
        <v>2.40126165660998</v>
      </c>
      <c r="H106" s="16" t="n">
        <f aca="false">H92/H97</f>
        <v>1.75297199274632</v>
      </c>
      <c r="I106" s="16" t="n">
        <f aca="false">I92/I97</f>
        <v>1.50715900527506</v>
      </c>
    </row>
    <row r="107" customFormat="false" ht="15" hidden="false" customHeight="false" outlineLevel="0" collapsed="false">
      <c r="A107" s="9" t="n">
        <v>101</v>
      </c>
      <c r="B107" s="9" t="s">
        <v>73</v>
      </c>
      <c r="C107" s="15" t="s">
        <v>68</v>
      </c>
      <c r="D107" s="14" t="n">
        <f aca="false">D94+D95+D96-D97</f>
        <v>0</v>
      </c>
      <c r="E107" s="14" t="n">
        <f aca="false">E94+E95+E96-E97</f>
        <v>0</v>
      </c>
      <c r="F107" s="14" t="n">
        <f aca="false">F94+F95+F96-F97</f>
        <v>0</v>
      </c>
      <c r="G107" s="14" t="n">
        <f aca="false">G94+G95+G96-G97</f>
        <v>0</v>
      </c>
      <c r="H107" s="14" t="n">
        <f aca="false">H94+H95+H96-H97</f>
        <v>0</v>
      </c>
      <c r="I107" s="14" t="n">
        <f aca="false">I94+I95+I96-I97</f>
        <v>0</v>
      </c>
    </row>
    <row r="109" customFormat="false" ht="15" hidden="false" customHeight="false" outlineLevel="0" collapsed="false">
      <c r="A109" s="9" t="n">
        <v>103</v>
      </c>
      <c r="B109" s="9" t="s">
        <v>74</v>
      </c>
      <c r="C109" s="10" t="s">
        <v>53</v>
      </c>
      <c r="D109" s="11" t="n">
        <v>867</v>
      </c>
      <c r="E109" s="11" t="n">
        <v>704.7</v>
      </c>
      <c r="F109" s="11" t="n">
        <v>937.9</v>
      </c>
      <c r="G109" s="12" t="n">
        <v>933.3</v>
      </c>
      <c r="H109" s="12" t="n">
        <v>924</v>
      </c>
      <c r="I109" s="12" t="n">
        <v>1122</v>
      </c>
      <c r="J109" s="13" t="n">
        <f aca="false">IF(E109=0,"n/a",F109/E109-1)</f>
        <v>0.33092095927345</v>
      </c>
      <c r="K109" s="13" t="n">
        <f aca="false">IF(D109=0,"n/a",F109/D109-1)</f>
        <v>0.0817762399077278</v>
      </c>
      <c r="L109" s="13" t="n">
        <f aca="false">IF(F109=0,"n/a",G109/F109-1)</f>
        <v>-0.00490457404840605</v>
      </c>
      <c r="M109" s="13" t="n">
        <f aca="false">IF(F109=0,"n/a",H109/F109-1)</f>
        <v>-0.0148203433201833</v>
      </c>
      <c r="N109" s="13" t="n">
        <f aca="false">IF(D109=0,"n/a",I109/D109-1)</f>
        <v>0.294117647058824</v>
      </c>
      <c r="O109" s="13" t="n">
        <f aca="false">IF(H109=0,"n/a",F109/H109)</f>
        <v>1.01504329004329</v>
      </c>
      <c r="P109" s="14" t="n">
        <f aca="false">I109-D109</f>
        <v>255</v>
      </c>
      <c r="Q109" s="13" t="n">
        <f aca="false">F109/F$7</f>
        <v>0.0182744578454104</v>
      </c>
    </row>
    <row r="110" customFormat="false" ht="15" hidden="false" customHeight="false" outlineLevel="0" collapsed="false">
      <c r="A110" s="9" t="n">
        <v>104</v>
      </c>
      <c r="B110" s="9" t="s">
        <v>74</v>
      </c>
      <c r="C110" s="9" t="s">
        <v>54</v>
      </c>
      <c r="D110" s="11" t="n">
        <v>631.1</v>
      </c>
      <c r="E110" s="11" t="n">
        <v>610.8</v>
      </c>
      <c r="F110" s="11" t="n">
        <v>804.8</v>
      </c>
      <c r="G110" s="12" t="n">
        <v>856.3</v>
      </c>
      <c r="H110" s="12" t="n">
        <v>869</v>
      </c>
      <c r="I110" s="12" t="n">
        <v>932</v>
      </c>
      <c r="J110" s="13" t="n">
        <f aca="false">IF(E110=0,"n/a",F110/E110-1)</f>
        <v>0.317616240995416</v>
      </c>
      <c r="K110" s="13" t="n">
        <f aca="false">IF(D110=0,"n/a",F110/D110-1)</f>
        <v>0.275233718903502</v>
      </c>
      <c r="L110" s="13" t="n">
        <f aca="false">IF(F110=0,"n/a",G110/F110-1)</f>
        <v>0.0639910536779325</v>
      </c>
      <c r="M110" s="13" t="n">
        <f aca="false">IF(F110=0,"n/a",H110/F110-1)</f>
        <v>0.0797713717693838</v>
      </c>
      <c r="N110" s="13" t="n">
        <f aca="false">IF(D110=0,"n/a",I110/D110-1)</f>
        <v>0.476786563143717</v>
      </c>
      <c r="O110" s="13" t="n">
        <f aca="false">IF(H110=0,"n/a",F110/H110)</f>
        <v>0.926121979286536</v>
      </c>
      <c r="P110" s="14" t="n">
        <f aca="false">I110-D110</f>
        <v>300.9</v>
      </c>
      <c r="Q110" s="13" t="n">
        <f aca="false">F110/F$8</f>
        <v>0.0176012597323069</v>
      </c>
    </row>
    <row r="111" customFormat="false" ht="15" hidden="false" customHeight="false" outlineLevel="0" collapsed="false">
      <c r="A111" s="9" t="n">
        <v>105</v>
      </c>
      <c r="B111" s="9" t="s">
        <v>74</v>
      </c>
      <c r="C111" s="9" t="s">
        <v>55</v>
      </c>
      <c r="D111" s="11" t="n">
        <v>3258</v>
      </c>
      <c r="E111" s="11" t="n">
        <v>1358</v>
      </c>
      <c r="F111" s="11" t="n">
        <v>2299</v>
      </c>
      <c r="G111" s="12" t="n">
        <v>1171</v>
      </c>
      <c r="H111" s="12" t="n">
        <v>2500</v>
      </c>
      <c r="I111" s="12" t="n">
        <v>4000</v>
      </c>
      <c r="J111" s="13" t="n">
        <f aca="false">IF(E111=0,"n/a",F111/E111-1)</f>
        <v>0.692930780559647</v>
      </c>
      <c r="K111" s="13" t="n">
        <f aca="false">IF(D111=0,"n/a",F111/D111-1)</f>
        <v>-0.294352363413137</v>
      </c>
      <c r="L111" s="13" t="n">
        <f aca="false">IF(F111=0,"n/a",G111/F111-1)</f>
        <v>-0.490648107872988</v>
      </c>
      <c r="M111" s="13" t="n">
        <f aca="false">IF(F111=0,"n/a",H111/F111-1)</f>
        <v>0.087429317094389</v>
      </c>
      <c r="N111" s="13" t="n">
        <f aca="false">IF(D111=0,"n/a",I111/D111-1)</f>
        <v>0.227747084100675</v>
      </c>
      <c r="O111" s="13" t="n">
        <f aca="false">IF(H111=0,"n/a",F111/H111)</f>
        <v>0.9196</v>
      </c>
      <c r="P111" s="14" t="n">
        <f aca="false">I111-D111</f>
        <v>742</v>
      </c>
      <c r="Q111" s="13" t="n">
        <f aca="false">F111/F$9</f>
        <v>0.246119259179959</v>
      </c>
    </row>
    <row r="112" customFormat="false" ht="15" hidden="false" customHeight="false" outlineLevel="0" collapsed="false">
      <c r="A112" s="9" t="n">
        <v>106</v>
      </c>
      <c r="B112" s="9" t="s">
        <v>74</v>
      </c>
      <c r="C112" s="9" t="s">
        <v>56</v>
      </c>
      <c r="D112" s="11" t="n">
        <v>22</v>
      </c>
      <c r="E112" s="11" t="n">
        <v>17</v>
      </c>
      <c r="F112" s="11" t="n">
        <v>28</v>
      </c>
      <c r="G112" s="12" t="n">
        <v>17</v>
      </c>
      <c r="H112" s="12" t="n">
        <v>36</v>
      </c>
      <c r="I112" s="12" t="n">
        <v>36</v>
      </c>
      <c r="J112" s="13" t="n">
        <f aca="false">IF(E112=0,"n/a",F112/E112-1)</f>
        <v>0.647058823529412</v>
      </c>
      <c r="K112" s="13" t="n">
        <f aca="false">IF(D112=0,"n/a",F112/D112-1)</f>
        <v>0.272727272727273</v>
      </c>
      <c r="L112" s="13" t="n">
        <f aca="false">IF(F112=0,"n/a",G112/F112-1)</f>
        <v>-0.392857142857143</v>
      </c>
      <c r="M112" s="13" t="n">
        <f aca="false">IF(F112=0,"n/a",H112/F112-1)</f>
        <v>0.285714285714286</v>
      </c>
      <c r="N112" s="13" t="n">
        <f aca="false">IF(D112=0,"n/a",I112/D112-1)</f>
        <v>0.636363636363637</v>
      </c>
      <c r="O112" s="13" t="n">
        <f aca="false">IF(H112=0,"n/a",F112/H112)</f>
        <v>0.777777777777778</v>
      </c>
      <c r="P112" s="14" t="n">
        <f aca="false">I112-D112</f>
        <v>14</v>
      </c>
      <c r="Q112" s="13" t="n">
        <f aca="false">F112/F$10</f>
        <v>0.0157924421883813</v>
      </c>
    </row>
    <row r="113" customFormat="false" ht="15" hidden="false" customHeight="false" outlineLevel="0" collapsed="false">
      <c r="A113" s="9" t="n">
        <v>107</v>
      </c>
      <c r="B113" s="9" t="s">
        <v>74</v>
      </c>
      <c r="C113" s="9" t="s">
        <v>57</v>
      </c>
      <c r="D113" s="11" t="n">
        <v>2992</v>
      </c>
      <c r="E113" s="11" t="n">
        <v>2635</v>
      </c>
      <c r="F113" s="11" t="n">
        <v>3715</v>
      </c>
      <c r="G113" s="12" t="n">
        <v>4552</v>
      </c>
      <c r="H113" s="12" t="n">
        <v>3141</v>
      </c>
      <c r="I113" s="12" t="n">
        <v>3305</v>
      </c>
      <c r="J113" s="13" t="n">
        <f aca="false">IF(E113=0,"n/a",F113/E113-1)</f>
        <v>0.409867172675522</v>
      </c>
      <c r="K113" s="13" t="n">
        <f aca="false">IF(D113=0,"n/a",F113/D113-1)</f>
        <v>0.241644385026738</v>
      </c>
      <c r="L113" s="13" t="n">
        <f aca="false">IF(F113=0,"n/a",G113/F113-1)</f>
        <v>0.225302826379542</v>
      </c>
      <c r="M113" s="13" t="n">
        <f aca="false">IF(F113=0,"n/a",H113/F113-1)</f>
        <v>-0.154508748317631</v>
      </c>
      <c r="N113" s="13" t="n">
        <f aca="false">IF(D113=0,"n/a",I113/D113-1)</f>
        <v>0.104612299465241</v>
      </c>
      <c r="O113" s="13" t="n">
        <f aca="false">IF(H113=0,"n/a",F113/H113)</f>
        <v>1.18274434893346</v>
      </c>
      <c r="P113" s="14" t="n">
        <f aca="false">I113-D113</f>
        <v>313</v>
      </c>
      <c r="Q113" s="13" t="n">
        <f aca="false">F113/F$11</f>
        <v>0.113873222167729</v>
      </c>
    </row>
    <row r="114" customFormat="false" ht="15" hidden="false" customHeight="false" outlineLevel="0" collapsed="false">
      <c r="A114" s="9" t="n">
        <v>108</v>
      </c>
      <c r="B114" s="9" t="s">
        <v>74</v>
      </c>
      <c r="C114" s="10" t="s">
        <v>58</v>
      </c>
      <c r="D114" s="11" t="n">
        <v>6272</v>
      </c>
      <c r="E114" s="11" t="n">
        <v>4010</v>
      </c>
      <c r="F114" s="11" t="n">
        <v>6042</v>
      </c>
      <c r="G114" s="12" t="n">
        <v>5740</v>
      </c>
      <c r="H114" s="12" t="n">
        <v>5677</v>
      </c>
      <c r="I114" s="12" t="n">
        <v>7341</v>
      </c>
      <c r="J114" s="13" t="n">
        <f aca="false">IF(E114=0,"n/a",F114/E114-1)</f>
        <v>0.506733167082294</v>
      </c>
      <c r="K114" s="13" t="n">
        <f aca="false">IF(D114=0,"n/a",F114/D114-1)</f>
        <v>-0.0366709183673469</v>
      </c>
      <c r="L114" s="13" t="n">
        <f aca="false">IF(F114=0,"n/a",G114/F114-1)</f>
        <v>-0.0499834491890102</v>
      </c>
      <c r="M114" s="13" t="n">
        <f aca="false">IF(F114=0,"n/a",H114/F114-1)</f>
        <v>-0.0604104601125455</v>
      </c>
      <c r="N114" s="13" t="n">
        <f aca="false">IF(D114=0,"n/a",I114/D114-1)</f>
        <v>0.170440051020408</v>
      </c>
      <c r="O114" s="13" t="n">
        <f aca="false">IF(H114=0,"n/a",F114/H114)</f>
        <v>1.06429452175445</v>
      </c>
      <c r="P114" s="14" t="n">
        <f aca="false">I114-D114</f>
        <v>1069</v>
      </c>
      <c r="Q114" s="13" t="n">
        <f aca="false">F114/F$12</f>
        <v>0.138140747176368</v>
      </c>
    </row>
    <row r="115" customFormat="false" ht="15" hidden="false" customHeight="false" outlineLevel="0" collapsed="false">
      <c r="A115" s="9" t="n">
        <v>109</v>
      </c>
      <c r="B115" s="9" t="s">
        <v>74</v>
      </c>
      <c r="C115" s="9" t="s">
        <v>59</v>
      </c>
      <c r="D115" s="11" t="n">
        <v>1151</v>
      </c>
      <c r="E115" s="11" t="n">
        <v>1257</v>
      </c>
      <c r="F115" s="11" t="n">
        <v>1236</v>
      </c>
      <c r="G115" s="12" t="n">
        <v>1304</v>
      </c>
      <c r="H115" s="12" t="n">
        <v>1677</v>
      </c>
      <c r="I115" s="12" t="n">
        <v>1687</v>
      </c>
      <c r="J115" s="13" t="n">
        <f aca="false">IF(E115=0,"n/a",F115/E115-1)</f>
        <v>-0.0167064439140812</v>
      </c>
      <c r="K115" s="13" t="n">
        <f aca="false">IF(D115=0,"n/a",F115/D115-1)</f>
        <v>0.0738488271068636</v>
      </c>
      <c r="L115" s="13" t="n">
        <f aca="false">IF(F115=0,"n/a",G115/F115-1)</f>
        <v>0.0550161812297734</v>
      </c>
      <c r="M115" s="13" t="n">
        <f aca="false">IF(F115=0,"n/a",H115/F115-1)</f>
        <v>0.356796116504854</v>
      </c>
      <c r="N115" s="13" t="n">
        <f aca="false">IF(D115=0,"n/a",I115/D115-1)</f>
        <v>0.465682015638575</v>
      </c>
      <c r="O115" s="13" t="n">
        <f aca="false">IF(H115=0,"n/a",F115/H115)</f>
        <v>0.737030411449016</v>
      </c>
      <c r="P115" s="14" t="n">
        <f aca="false">I115-D115</f>
        <v>536</v>
      </c>
      <c r="Q115" s="13" t="n">
        <f aca="false">F115/F$13</f>
        <v>0.188875305623472</v>
      </c>
    </row>
    <row r="116" customFormat="false" ht="15" hidden="false" customHeight="false" outlineLevel="0" collapsed="false">
      <c r="A116" s="9" t="n">
        <v>110</v>
      </c>
      <c r="B116" s="9" t="s">
        <v>74</v>
      </c>
      <c r="C116" s="9" t="s">
        <v>60</v>
      </c>
      <c r="D116" s="11" t="n">
        <v>15</v>
      </c>
      <c r="E116" s="11" t="n">
        <v>21</v>
      </c>
      <c r="F116" s="11" t="n">
        <v>24</v>
      </c>
      <c r="G116" s="12" t="n">
        <v>23</v>
      </c>
      <c r="H116" s="12" t="n">
        <v>28</v>
      </c>
      <c r="I116" s="12" t="n">
        <v>31</v>
      </c>
      <c r="J116" s="13" t="n">
        <f aca="false">IF(E116=0,"n/a",F116/E116-1)</f>
        <v>0.142857142857143</v>
      </c>
      <c r="K116" s="13" t="n">
        <f aca="false">IF(D116=0,"n/a",F116/D116-1)</f>
        <v>0.6</v>
      </c>
      <c r="L116" s="13" t="n">
        <f aca="false">IF(F116=0,"n/a",G116/F116-1)</f>
        <v>-0.0416666666666666</v>
      </c>
      <c r="M116" s="13" t="n">
        <f aca="false">IF(F116=0,"n/a",H116/F116-1)</f>
        <v>0.166666666666667</v>
      </c>
      <c r="N116" s="13" t="n">
        <f aca="false">IF(D116=0,"n/a",I116/D116-1)</f>
        <v>1.06666666666667</v>
      </c>
      <c r="O116" s="13" t="n">
        <f aca="false">IF(H116=0,"n/a",F116/H116)</f>
        <v>0.857142857142857</v>
      </c>
      <c r="P116" s="14" t="n">
        <f aca="false">I116-D116</f>
        <v>16</v>
      </c>
      <c r="Q116" s="13" t="n">
        <f aca="false">F116/F$14</f>
        <v>0.0151898734177215</v>
      </c>
    </row>
    <row r="117" customFormat="false" ht="15" hidden="false" customHeight="false" outlineLevel="0" collapsed="false">
      <c r="A117" s="9" t="n">
        <v>111</v>
      </c>
      <c r="B117" s="9" t="s">
        <v>74</v>
      </c>
      <c r="C117" s="9" t="s">
        <v>61</v>
      </c>
      <c r="D117" s="11" t="n">
        <v>2954</v>
      </c>
      <c r="E117" s="11" t="n">
        <v>2355</v>
      </c>
      <c r="F117" s="11" t="n">
        <v>4573</v>
      </c>
      <c r="G117" s="12" t="n">
        <v>4594</v>
      </c>
      <c r="H117" s="12" t="n">
        <v>3215</v>
      </c>
      <c r="I117" s="12" t="n">
        <v>3295</v>
      </c>
      <c r="J117" s="13" t="n">
        <f aca="false">IF(E117=0,"n/a",F117/E117-1)</f>
        <v>0.941825902335457</v>
      </c>
      <c r="K117" s="13" t="n">
        <f aca="false">IF(D117=0,"n/a",F117/D117-1)</f>
        <v>0.548070412999323</v>
      </c>
      <c r="L117" s="13" t="n">
        <f aca="false">IF(F117=0,"n/a",G117/F117-1)</f>
        <v>0.00459217144106705</v>
      </c>
      <c r="M117" s="13" t="n">
        <f aca="false">IF(F117=0,"n/a",H117/F117-1)</f>
        <v>-0.296960419855675</v>
      </c>
      <c r="N117" s="13" t="n">
        <f aca="false">IF(D117=0,"n/a",I117/D117-1)</f>
        <v>0.115436696005416</v>
      </c>
      <c r="O117" s="13" t="n">
        <f aca="false">IF(H117=0,"n/a",F117/H117)</f>
        <v>1.42239502332815</v>
      </c>
      <c r="P117" s="14" t="n">
        <f aca="false">I117-D117</f>
        <v>341</v>
      </c>
      <c r="Q117" s="13" t="n">
        <f aca="false">F117/F$15</f>
        <v>0.125407925407925</v>
      </c>
    </row>
    <row r="118" customFormat="false" ht="15" hidden="false" customHeight="false" outlineLevel="0" collapsed="false">
      <c r="A118" s="9" t="n">
        <v>112</v>
      </c>
      <c r="B118" s="9" t="s">
        <v>74</v>
      </c>
      <c r="C118" s="9" t="s">
        <v>62</v>
      </c>
      <c r="D118" s="11" t="n">
        <v>4120</v>
      </c>
      <c r="E118" s="11" t="n">
        <v>3633</v>
      </c>
      <c r="F118" s="11" t="n">
        <v>5833</v>
      </c>
      <c r="G118" s="12" t="n">
        <v>5920</v>
      </c>
      <c r="H118" s="12" t="n">
        <v>4920</v>
      </c>
      <c r="I118" s="12" t="n">
        <v>5013</v>
      </c>
      <c r="J118" s="13" t="n">
        <f aca="false">IF(E118=0,"n/a",F118/E118-1)</f>
        <v>0.605560143132397</v>
      </c>
      <c r="K118" s="13" t="n">
        <f aca="false">IF(D118=0,"n/a",F118/D118-1)</f>
        <v>0.415776699029126</v>
      </c>
      <c r="L118" s="13" t="n">
        <f aca="false">IF(F118=0,"n/a",G118/F118-1)</f>
        <v>0.0149151380078862</v>
      </c>
      <c r="M118" s="13" t="n">
        <f aca="false">IF(F118=0,"n/a",H118/F118-1)</f>
        <v>-0.156523229898851</v>
      </c>
      <c r="N118" s="13" t="n">
        <f aca="false">IF(D118=0,"n/a",I118/D118-1)</f>
        <v>0.216747572815534</v>
      </c>
      <c r="O118" s="13" t="n">
        <f aca="false">IF(H118=0,"n/a",F118/H118)</f>
        <v>1.18556910569106</v>
      </c>
      <c r="P118" s="14" t="n">
        <f aca="false">I118-D118</f>
        <v>893</v>
      </c>
      <c r="Q118" s="13" t="n">
        <f aca="false">F118/F$16</f>
        <v>0.130817017650093</v>
      </c>
    </row>
    <row r="119" customFormat="false" ht="15" hidden="false" customHeight="false" outlineLevel="0" collapsed="false">
      <c r="A119" s="9" t="n">
        <v>113</v>
      </c>
      <c r="B119" s="9" t="s">
        <v>74</v>
      </c>
      <c r="C119" s="15" t="s">
        <v>63</v>
      </c>
      <c r="D119" s="13" t="n">
        <f aca="false">(D111+D112)/D114</f>
        <v>0.522959183673469</v>
      </c>
      <c r="E119" s="13" t="n">
        <f aca="false">(E111+E112)/E114</f>
        <v>0.342892768079801</v>
      </c>
      <c r="F119" s="13" t="n">
        <f aca="false">(F111+F112)/F114</f>
        <v>0.385137371731215</v>
      </c>
      <c r="G119" s="13" t="n">
        <f aca="false">(G111+G112)/G114</f>
        <v>0.206968641114983</v>
      </c>
      <c r="H119" s="13" t="n">
        <f aca="false">(H111+H112)/H114</f>
        <v>0.44671481416241</v>
      </c>
      <c r="I119" s="13" t="n">
        <f aca="false">(I111+I112)/I114</f>
        <v>0.549788857103937</v>
      </c>
    </row>
    <row r="120" customFormat="false" ht="15" hidden="false" customHeight="false" outlineLevel="0" collapsed="false">
      <c r="A120" s="9" t="n">
        <v>114</v>
      </c>
      <c r="B120" s="9" t="s">
        <v>74</v>
      </c>
      <c r="C120" s="15" t="s">
        <v>64</v>
      </c>
      <c r="D120" s="13" t="n">
        <f aca="false">(D115+D116)/D118</f>
        <v>0.283009708737864</v>
      </c>
      <c r="E120" s="13" t="n">
        <f aca="false">(E115+E116)/E118</f>
        <v>0.35177539223782</v>
      </c>
      <c r="F120" s="13" t="n">
        <f aca="false">(F115+F116)/F118</f>
        <v>0.216012343562489</v>
      </c>
      <c r="G120" s="13" t="n">
        <f aca="false">(G115+G116)/G118</f>
        <v>0.224155405405405</v>
      </c>
      <c r="H120" s="13" t="n">
        <f aca="false">(H115+H116)/H118</f>
        <v>0.346544715447155</v>
      </c>
      <c r="I120" s="13" t="n">
        <f aca="false">(I115+I116)/I118</f>
        <v>0.342708956712547</v>
      </c>
    </row>
    <row r="121" customFormat="false" ht="15" hidden="false" customHeight="false" outlineLevel="0" collapsed="false">
      <c r="A121" s="9" t="n">
        <v>115</v>
      </c>
      <c r="B121" s="9" t="s">
        <v>74</v>
      </c>
      <c r="C121" s="15" t="s">
        <v>65</v>
      </c>
      <c r="D121" s="16" t="n">
        <f aca="false">D109/D110</f>
        <v>1.37379179210902</v>
      </c>
      <c r="E121" s="16" t="n">
        <f aca="false">E109/E110</f>
        <v>1.15373280943026</v>
      </c>
      <c r="F121" s="16" t="n">
        <f aca="false">F109/F110</f>
        <v>1.16538270377734</v>
      </c>
      <c r="G121" s="16" t="n">
        <f aca="false">G109/G110</f>
        <v>1.08992175639379</v>
      </c>
      <c r="H121" s="16" t="n">
        <f aca="false">H109/H110</f>
        <v>1.06329113924051</v>
      </c>
      <c r="I121" s="16" t="n">
        <f aca="false">I109/I110</f>
        <v>1.20386266094421</v>
      </c>
    </row>
    <row r="122" customFormat="false" ht="15" hidden="false" customHeight="false" outlineLevel="0" collapsed="false">
      <c r="A122" s="9" t="n">
        <v>116</v>
      </c>
      <c r="B122" s="9" t="s">
        <v>74</v>
      </c>
      <c r="C122" s="15" t="s">
        <v>66</v>
      </c>
      <c r="D122" s="16" t="n">
        <f aca="false">D114/D118</f>
        <v>1.52233009708738</v>
      </c>
      <c r="E122" s="16" t="n">
        <f aca="false">E114/E118</f>
        <v>1.10377098816405</v>
      </c>
      <c r="F122" s="16" t="n">
        <f aca="false">F114/F118</f>
        <v>1.03583061889251</v>
      </c>
      <c r="G122" s="16" t="n">
        <f aca="false">G114/G118</f>
        <v>0.969594594594595</v>
      </c>
      <c r="H122" s="16" t="n">
        <f aca="false">H114/H118</f>
        <v>1.15386178861789</v>
      </c>
      <c r="I122" s="16" t="n">
        <f aca="false">I114/I118</f>
        <v>1.46439257929384</v>
      </c>
    </row>
    <row r="123" customFormat="false" ht="15" hidden="false" customHeight="false" outlineLevel="0" collapsed="false">
      <c r="A123" s="9" t="n">
        <v>117</v>
      </c>
      <c r="B123" s="9" t="s">
        <v>74</v>
      </c>
      <c r="C123" s="15" t="s">
        <v>67</v>
      </c>
      <c r="D123" s="16" t="n">
        <f aca="false">D109/D114</f>
        <v>0.138233418367347</v>
      </c>
      <c r="E123" s="16" t="n">
        <f aca="false">E109/E114</f>
        <v>0.17573566084788</v>
      </c>
      <c r="F123" s="16" t="n">
        <f aca="false">F109/F114</f>
        <v>0.155230056272757</v>
      </c>
      <c r="G123" s="16" t="n">
        <f aca="false">G109/G114</f>
        <v>0.162595818815331</v>
      </c>
      <c r="H123" s="16" t="n">
        <f aca="false">H109/H114</f>
        <v>0.162762022194821</v>
      </c>
      <c r="I123" s="16" t="n">
        <f aca="false">I109/I114</f>
        <v>0.152840212505108</v>
      </c>
    </row>
    <row r="124" customFormat="false" ht="15" hidden="false" customHeight="false" outlineLevel="0" collapsed="false">
      <c r="A124" s="9" t="n">
        <v>118</v>
      </c>
      <c r="B124" s="9" t="s">
        <v>74</v>
      </c>
      <c r="C124" s="15" t="s">
        <v>68</v>
      </c>
      <c r="D124" s="14" t="n">
        <f aca="false">D111+D112+D113-D114</f>
        <v>0</v>
      </c>
      <c r="E124" s="14" t="n">
        <f aca="false">E111+E112+E113-E114</f>
        <v>0</v>
      </c>
      <c r="F124" s="14" t="n">
        <f aca="false">F111+F112+F113-F114</f>
        <v>0</v>
      </c>
      <c r="G124" s="14" t="n">
        <f aca="false">G111+G112+G113-G114</f>
        <v>0</v>
      </c>
      <c r="H124" s="14" t="n">
        <f aca="false">H111+H112+H113-H114</f>
        <v>0</v>
      </c>
      <c r="I124" s="14" t="n">
        <f aca="false">I111+I112+I113-I114</f>
        <v>0</v>
      </c>
    </row>
    <row r="126" customFormat="false" ht="15" hidden="false" customHeight="false" outlineLevel="0" collapsed="false">
      <c r="A126" s="9" t="n">
        <v>120</v>
      </c>
      <c r="B126" s="9" t="s">
        <v>75</v>
      </c>
      <c r="C126" s="10" t="s">
        <v>53</v>
      </c>
      <c r="D126" s="11" t="n">
        <v>3540</v>
      </c>
      <c r="E126" s="11" t="n">
        <v>2527</v>
      </c>
      <c r="F126" s="11" t="n">
        <v>4008</v>
      </c>
      <c r="G126" s="12" t="n">
        <v>4009</v>
      </c>
      <c r="H126" s="12" t="n">
        <v>3668</v>
      </c>
      <c r="I126" s="12" t="n">
        <v>4206</v>
      </c>
      <c r="J126" s="13" t="n">
        <f aca="false">IF(E126=0,"n/a",F126/E126-1)</f>
        <v>0.586070439256035</v>
      </c>
      <c r="K126" s="13" t="n">
        <f aca="false">IF(D126=0,"n/a",F126/D126-1)</f>
        <v>0.132203389830508</v>
      </c>
      <c r="L126" s="13" t="n">
        <f aca="false">IF(F126=0,"n/a",G126/F126-1)</f>
        <v>0.000249500998003915</v>
      </c>
      <c r="M126" s="13" t="n">
        <f aca="false">IF(F126=0,"n/a",H126/F126-1)</f>
        <v>-0.0848303393213573</v>
      </c>
      <c r="N126" s="13" t="n">
        <f aca="false">IF(D126=0,"n/a",I126/D126-1)</f>
        <v>0.188135593220339</v>
      </c>
      <c r="O126" s="13" t="n">
        <f aca="false">IF(H126=0,"n/a",F126/H126)</f>
        <v>1.09269356597601</v>
      </c>
      <c r="P126" s="14" t="n">
        <f aca="false">I126-D126</f>
        <v>666</v>
      </c>
      <c r="Q126" s="13" t="n">
        <f aca="false">F126/F$7</f>
        <v>0.078093642226682</v>
      </c>
    </row>
    <row r="127" customFormat="false" ht="15" hidden="false" customHeight="false" outlineLevel="0" collapsed="false">
      <c r="A127" s="9" t="n">
        <v>121</v>
      </c>
      <c r="B127" s="9" t="s">
        <v>75</v>
      </c>
      <c r="C127" s="9" t="s">
        <v>54</v>
      </c>
      <c r="D127" s="11" t="n">
        <v>2547</v>
      </c>
      <c r="E127" s="11" t="n">
        <v>2429</v>
      </c>
      <c r="F127" s="11" t="n">
        <v>3578</v>
      </c>
      <c r="G127" s="12" t="n">
        <v>3985</v>
      </c>
      <c r="H127" s="12" t="n">
        <v>3534</v>
      </c>
      <c r="I127" s="12" t="n">
        <v>3734</v>
      </c>
      <c r="J127" s="13" t="n">
        <f aca="false">IF(E127=0,"n/a",F127/E127-1)</f>
        <v>0.473034170440511</v>
      </c>
      <c r="K127" s="13" t="n">
        <f aca="false">IF(D127=0,"n/a",F127/D127-1)</f>
        <v>0.40478994895956</v>
      </c>
      <c r="L127" s="13" t="n">
        <f aca="false">IF(F127=0,"n/a",G127/F127-1)</f>
        <v>0.113750698714366</v>
      </c>
      <c r="M127" s="13" t="n">
        <f aca="false">IF(F127=0,"n/a",H127/F127-1)</f>
        <v>-0.0122973728339855</v>
      </c>
      <c r="N127" s="13" t="n">
        <f aca="false">IF(D127=0,"n/a",I127/D127-1)</f>
        <v>0.466038476639183</v>
      </c>
      <c r="O127" s="13" t="n">
        <f aca="false">IF(H127=0,"n/a",F127/H127)</f>
        <v>1.01245048104131</v>
      </c>
      <c r="P127" s="14" t="n">
        <f aca="false">I127-D127</f>
        <v>1187</v>
      </c>
      <c r="Q127" s="13" t="n">
        <f aca="false">F127/F$8</f>
        <v>0.0782521214241974</v>
      </c>
    </row>
    <row r="128" customFormat="false" ht="15" hidden="false" customHeight="false" outlineLevel="0" collapsed="false">
      <c r="A128" s="9" t="n">
        <v>122</v>
      </c>
      <c r="B128" s="9" t="s">
        <v>75</v>
      </c>
      <c r="C128" s="9" t="s">
        <v>55</v>
      </c>
      <c r="D128" s="11" t="n">
        <v>951</v>
      </c>
      <c r="E128" s="11" t="n">
        <v>598</v>
      </c>
      <c r="F128" s="11" t="n">
        <v>867</v>
      </c>
      <c r="G128" s="12" t="n">
        <v>46</v>
      </c>
      <c r="H128" s="12" t="n">
        <v>550</v>
      </c>
      <c r="I128" s="12" t="n">
        <v>1185</v>
      </c>
      <c r="J128" s="13" t="n">
        <f aca="false">IF(E128=0,"n/a",F128/E128-1)</f>
        <v>0.449832775919733</v>
      </c>
      <c r="K128" s="13" t="n">
        <f aca="false">IF(D128=0,"n/a",F128/D128-1)</f>
        <v>-0.0883280757097792</v>
      </c>
      <c r="L128" s="13" t="n">
        <f aca="false">IF(F128=0,"n/a",G128/F128-1)</f>
        <v>-0.946943483275663</v>
      </c>
      <c r="M128" s="13" t="n">
        <f aca="false">IF(F128=0,"n/a",H128/F128-1)</f>
        <v>-0.36562860438293</v>
      </c>
      <c r="N128" s="13" t="n">
        <f aca="false">IF(D128=0,"n/a",I128/D128-1)</f>
        <v>0.246056782334385</v>
      </c>
      <c r="O128" s="13" t="n">
        <f aca="false">IF(H128=0,"n/a",F128/H128)</f>
        <v>1.57636363636364</v>
      </c>
      <c r="P128" s="14" t="n">
        <f aca="false">I128-D128</f>
        <v>234</v>
      </c>
      <c r="Q128" s="13" t="n">
        <f aca="false">F128/F$9</f>
        <v>0.0928166149234557</v>
      </c>
    </row>
    <row r="129" customFormat="false" ht="15" hidden="false" customHeight="false" outlineLevel="0" collapsed="false">
      <c r="A129" s="9" t="n">
        <v>123</v>
      </c>
      <c r="B129" s="9" t="s">
        <v>75</v>
      </c>
      <c r="C129" s="9" t="s">
        <v>56</v>
      </c>
      <c r="D129" s="11" t="n">
        <v>1</v>
      </c>
      <c r="E129" s="11" t="n">
        <v>1</v>
      </c>
      <c r="F129" s="11" t="n">
        <v>1</v>
      </c>
      <c r="G129" s="12" t="n">
        <v>1</v>
      </c>
      <c r="H129" s="12" t="n">
        <v>15</v>
      </c>
      <c r="I129" s="12" t="n">
        <v>15</v>
      </c>
      <c r="J129" s="13" t="n">
        <f aca="false">IF(E129=0,"n/a",F129/E129-1)</f>
        <v>0</v>
      </c>
      <c r="K129" s="13" t="n">
        <f aca="false">IF(D129=0,"n/a",F129/D129-1)</f>
        <v>0</v>
      </c>
      <c r="L129" s="13" t="n">
        <f aca="false">IF(F129=0,"n/a",G129/F129-1)</f>
        <v>0</v>
      </c>
      <c r="M129" s="13" t="n">
        <f aca="false">IF(F129=0,"n/a",H129/F129-1)</f>
        <v>14</v>
      </c>
      <c r="N129" s="13" t="n">
        <f aca="false">IF(D129=0,"n/a",I129/D129-1)</f>
        <v>14</v>
      </c>
      <c r="O129" s="13" t="n">
        <f aca="false">IF(H129=0,"n/a",F129/H129)</f>
        <v>0.0666666666666667</v>
      </c>
      <c r="P129" s="14" t="n">
        <f aca="false">I129-D129</f>
        <v>14</v>
      </c>
      <c r="Q129" s="13" t="n">
        <f aca="false">F129/F$10</f>
        <v>0.000564015792442188</v>
      </c>
    </row>
    <row r="130" customFormat="false" ht="15" hidden="false" customHeight="false" outlineLevel="0" collapsed="false">
      <c r="A130" s="9" t="n">
        <v>124</v>
      </c>
      <c r="B130" s="9" t="s">
        <v>75</v>
      </c>
      <c r="C130" s="9" t="s">
        <v>57</v>
      </c>
      <c r="D130" s="11" t="n">
        <v>664</v>
      </c>
      <c r="E130" s="11" t="n">
        <v>667</v>
      </c>
      <c r="F130" s="11" t="n">
        <v>437</v>
      </c>
      <c r="G130" s="12" t="n">
        <v>320</v>
      </c>
      <c r="H130" s="12" t="n">
        <v>650</v>
      </c>
      <c r="I130" s="12" t="n">
        <v>900</v>
      </c>
      <c r="J130" s="13" t="n">
        <f aca="false">IF(E130=0,"n/a",F130/E130-1)</f>
        <v>-0.344827586206897</v>
      </c>
      <c r="K130" s="13" t="n">
        <f aca="false">IF(D130=0,"n/a",F130/D130-1)</f>
        <v>-0.341867469879518</v>
      </c>
      <c r="L130" s="13" t="n">
        <f aca="false">IF(F130=0,"n/a",G130/F130-1)</f>
        <v>-0.267734553775744</v>
      </c>
      <c r="M130" s="13" t="n">
        <f aca="false">IF(F130=0,"n/a",H130/F130-1)</f>
        <v>0.487414187643021</v>
      </c>
      <c r="N130" s="13" t="n">
        <f aca="false">IF(D130=0,"n/a",I130/D130-1)</f>
        <v>0.355421686746988</v>
      </c>
      <c r="O130" s="13" t="n">
        <f aca="false">IF(H130=0,"n/a",F130/H130)</f>
        <v>0.672307692307692</v>
      </c>
      <c r="P130" s="14" t="n">
        <f aca="false">I130-D130</f>
        <v>236</v>
      </c>
      <c r="Q130" s="13" t="n">
        <f aca="false">F130/F$11</f>
        <v>0.0133950465914664</v>
      </c>
    </row>
    <row r="131" customFormat="false" ht="15" hidden="false" customHeight="false" outlineLevel="0" collapsed="false">
      <c r="A131" s="9" t="n">
        <v>125</v>
      </c>
      <c r="B131" s="9" t="s">
        <v>75</v>
      </c>
      <c r="C131" s="10" t="s">
        <v>58</v>
      </c>
      <c r="D131" s="11" t="n">
        <v>1615</v>
      </c>
      <c r="E131" s="11" t="n">
        <v>1266</v>
      </c>
      <c r="F131" s="11" t="n">
        <v>1305</v>
      </c>
      <c r="G131" s="12" t="n">
        <v>366</v>
      </c>
      <c r="H131" s="12" t="n">
        <v>1215</v>
      </c>
      <c r="I131" s="12" t="n">
        <v>2100</v>
      </c>
      <c r="J131" s="13" t="n">
        <f aca="false">IF(E131=0,"n/a",F131/E131-1)</f>
        <v>0.0308056872037914</v>
      </c>
      <c r="K131" s="13" t="n">
        <f aca="false">IF(D131=0,"n/a",F131/D131-1)</f>
        <v>-0.191950464396285</v>
      </c>
      <c r="L131" s="13" t="n">
        <f aca="false">IF(F131=0,"n/a",G131/F131-1)</f>
        <v>-0.719540229885058</v>
      </c>
      <c r="M131" s="13" t="n">
        <f aca="false">IF(F131=0,"n/a",H131/F131-1)</f>
        <v>-0.0689655172413793</v>
      </c>
      <c r="N131" s="13" t="n">
        <f aca="false">IF(D131=0,"n/a",I131/D131-1)</f>
        <v>0.30030959752322</v>
      </c>
      <c r="O131" s="13" t="n">
        <f aca="false">IF(H131=0,"n/a",F131/H131)</f>
        <v>1.07407407407407</v>
      </c>
      <c r="P131" s="14" t="n">
        <f aca="false">I131-D131</f>
        <v>485</v>
      </c>
      <c r="Q131" s="13" t="n">
        <f aca="false">F131/F$12</f>
        <v>0.0298367552242901</v>
      </c>
    </row>
    <row r="132" customFormat="false" ht="15" hidden="false" customHeight="false" outlineLevel="0" collapsed="false">
      <c r="A132" s="9" t="n">
        <v>126</v>
      </c>
      <c r="B132" s="9" t="s">
        <v>75</v>
      </c>
      <c r="C132" s="9" t="s">
        <v>59</v>
      </c>
      <c r="D132" s="11" t="n">
        <v>52.7</v>
      </c>
      <c r="E132" s="11" t="n">
        <v>49.9</v>
      </c>
      <c r="F132" s="11" t="n">
        <v>62.6</v>
      </c>
      <c r="G132" s="12" t="n">
        <v>57.8</v>
      </c>
      <c r="H132" s="12" t="n">
        <v>110</v>
      </c>
      <c r="I132" s="12" t="n">
        <v>110</v>
      </c>
      <c r="J132" s="13" t="n">
        <f aca="false">IF(E132=0,"n/a",F132/E132-1)</f>
        <v>0.254509018036072</v>
      </c>
      <c r="K132" s="13" t="n">
        <f aca="false">IF(D132=0,"n/a",F132/D132-1)</f>
        <v>0.187855787476281</v>
      </c>
      <c r="L132" s="13" t="n">
        <f aca="false">IF(F132=0,"n/a",G132/F132-1)</f>
        <v>-0.0766773162939298</v>
      </c>
      <c r="M132" s="13" t="n">
        <f aca="false">IF(F132=0,"n/a",H132/F132-1)</f>
        <v>0.757188498402556</v>
      </c>
      <c r="N132" s="13" t="n">
        <f aca="false">IF(D132=0,"n/a",I132/D132-1)</f>
        <v>1.08728652751423</v>
      </c>
      <c r="O132" s="13" t="n">
        <f aca="false">IF(H132=0,"n/a",F132/H132)</f>
        <v>0.569090909090909</v>
      </c>
      <c r="P132" s="14" t="n">
        <f aca="false">I132-D132</f>
        <v>57.3</v>
      </c>
      <c r="Q132" s="13" t="n">
        <f aca="false">F132/F$13</f>
        <v>0.00956601466992665</v>
      </c>
    </row>
    <row r="133" customFormat="false" ht="15" hidden="false" customHeight="false" outlineLevel="0" collapsed="false">
      <c r="A133" s="9" t="n">
        <v>127</v>
      </c>
      <c r="B133" s="9" t="s">
        <v>75</v>
      </c>
      <c r="C133" s="9" t="s">
        <v>60</v>
      </c>
      <c r="D133" s="11" t="n">
        <v>2</v>
      </c>
      <c r="E133" s="11" t="n">
        <v>4.7</v>
      </c>
      <c r="F133" s="11" t="n">
        <v>1</v>
      </c>
      <c r="G133" s="12" t="n">
        <v>0.5</v>
      </c>
      <c r="H133" s="12" t="n">
        <v>8</v>
      </c>
      <c r="I133" s="12" t="n">
        <v>9</v>
      </c>
      <c r="J133" s="13" t="n">
        <f aca="false">IF(E133=0,"n/a",F133/E133-1)</f>
        <v>-0.787234042553192</v>
      </c>
      <c r="K133" s="13" t="n">
        <f aca="false">IF(D133=0,"n/a",F133/D133-1)</f>
        <v>-0.5</v>
      </c>
      <c r="L133" s="13" t="n">
        <f aca="false">IF(F133=0,"n/a",G133/F133-1)</f>
        <v>-0.5</v>
      </c>
      <c r="M133" s="13" t="n">
        <f aca="false">IF(F133=0,"n/a",H133/F133-1)</f>
        <v>7</v>
      </c>
      <c r="N133" s="13" t="n">
        <f aca="false">IF(D133=0,"n/a",I133/D133-1)</f>
        <v>3.5</v>
      </c>
      <c r="O133" s="13" t="n">
        <f aca="false">IF(H133=0,"n/a",F133/H133)</f>
        <v>0.125</v>
      </c>
      <c r="P133" s="14" t="n">
        <f aca="false">I133-D133</f>
        <v>7</v>
      </c>
      <c r="Q133" s="13" t="n">
        <f aca="false">F133/F$14</f>
        <v>0.000632911392405063</v>
      </c>
    </row>
    <row r="134" customFormat="false" ht="15" hidden="false" customHeight="false" outlineLevel="0" collapsed="false">
      <c r="A134" s="9" t="n">
        <v>128</v>
      </c>
      <c r="B134" s="9" t="s">
        <v>75</v>
      </c>
      <c r="C134" s="9" t="s">
        <v>61</v>
      </c>
      <c r="D134" s="11" t="n">
        <v>460.3</v>
      </c>
      <c r="E134" s="11" t="n">
        <v>717</v>
      </c>
      <c r="F134" s="11" t="n">
        <v>538.3</v>
      </c>
      <c r="G134" s="12" t="n">
        <v>390.6</v>
      </c>
      <c r="H134" s="12" t="n">
        <v>687</v>
      </c>
      <c r="I134" s="12" t="n">
        <v>700</v>
      </c>
      <c r="J134" s="13" t="n">
        <f aca="false">IF(E134=0,"n/a",F134/E134-1)</f>
        <v>-0.249232914923292</v>
      </c>
      <c r="K134" s="13" t="n">
        <f aca="false">IF(D134=0,"n/a",F134/D134-1)</f>
        <v>0.169454703454269</v>
      </c>
      <c r="L134" s="13" t="n">
        <f aca="false">IF(F134=0,"n/a",G134/F134-1)</f>
        <v>-0.274382314694408</v>
      </c>
      <c r="M134" s="13" t="n">
        <f aca="false">IF(F134=0,"n/a",H134/F134-1)</f>
        <v>0.276240014861602</v>
      </c>
      <c r="N134" s="13" t="n">
        <f aca="false">IF(D134=0,"n/a",I134/D134-1)</f>
        <v>0.520747338692157</v>
      </c>
      <c r="O134" s="13" t="n">
        <f aca="false">IF(H134=0,"n/a",F134/H134)</f>
        <v>0.783551673944687</v>
      </c>
      <c r="P134" s="14" t="n">
        <f aca="false">I134-D134</f>
        <v>239.7</v>
      </c>
      <c r="Q134" s="13" t="n">
        <f aca="false">F134/F$15</f>
        <v>0.0147621006444536</v>
      </c>
    </row>
    <row r="135" customFormat="false" ht="15" hidden="false" customHeight="false" outlineLevel="0" collapsed="false">
      <c r="A135" s="9" t="n">
        <v>129</v>
      </c>
      <c r="B135" s="9" t="s">
        <v>75</v>
      </c>
      <c r="C135" s="9" t="s">
        <v>62</v>
      </c>
      <c r="D135" s="11" t="n">
        <v>515</v>
      </c>
      <c r="E135" s="11" t="n">
        <v>771.6</v>
      </c>
      <c r="F135" s="11" t="n">
        <v>601.9</v>
      </c>
      <c r="G135" s="12" t="n">
        <v>448.9</v>
      </c>
      <c r="H135" s="12" t="n">
        <v>805</v>
      </c>
      <c r="I135" s="12" t="n">
        <v>819</v>
      </c>
      <c r="J135" s="13" t="n">
        <f aca="false">IF(E135=0,"n/a",F135/E135-1)</f>
        <v>-0.219932607568689</v>
      </c>
      <c r="K135" s="13" t="n">
        <f aca="false">IF(D135=0,"n/a",F135/D135-1)</f>
        <v>0.16873786407767</v>
      </c>
      <c r="L135" s="13" t="n">
        <f aca="false">IF(F135=0,"n/a",G135/F135-1)</f>
        <v>-0.254195049011464</v>
      </c>
      <c r="M135" s="13" t="n">
        <f aca="false">IF(F135=0,"n/a",H135/F135-1)</f>
        <v>0.3374314670211</v>
      </c>
      <c r="N135" s="13" t="n">
        <f aca="false">IF(D135=0,"n/a",I135/D135-1)</f>
        <v>0.590291262135922</v>
      </c>
      <c r="O135" s="13" t="n">
        <f aca="false">IF(H135=0,"n/a",F135/H135)</f>
        <v>0.747701863354037</v>
      </c>
      <c r="P135" s="14" t="n">
        <f aca="false">I135-D135</f>
        <v>304</v>
      </c>
      <c r="Q135" s="13" t="n">
        <f aca="false">F135/F$16</f>
        <v>0.013498845006616</v>
      </c>
    </row>
    <row r="136" customFormat="false" ht="15" hidden="false" customHeight="false" outlineLevel="0" collapsed="false">
      <c r="A136" s="9" t="n">
        <v>130</v>
      </c>
      <c r="B136" s="9" t="s">
        <v>75</v>
      </c>
      <c r="C136" s="15" t="s">
        <v>63</v>
      </c>
      <c r="D136" s="13" t="n">
        <f aca="false">(D128+D129)/D131</f>
        <v>0.589473684210526</v>
      </c>
      <c r="E136" s="13" t="n">
        <f aca="false">(E128+E129)/E131</f>
        <v>0.473143759873618</v>
      </c>
      <c r="F136" s="13" t="n">
        <f aca="false">(F128+F129)/F131</f>
        <v>0.665134099616858</v>
      </c>
      <c r="G136" s="13" t="n">
        <f aca="false">(G128+G129)/G131</f>
        <v>0.128415300546448</v>
      </c>
      <c r="H136" s="13" t="n">
        <f aca="false">(H128+H129)/H131</f>
        <v>0.465020576131687</v>
      </c>
      <c r="I136" s="13" t="n">
        <f aca="false">(I128+I129)/I131</f>
        <v>0.571428571428571</v>
      </c>
    </row>
    <row r="137" customFormat="false" ht="15" hidden="false" customHeight="false" outlineLevel="0" collapsed="false">
      <c r="A137" s="9" t="n">
        <v>131</v>
      </c>
      <c r="B137" s="9" t="s">
        <v>75</v>
      </c>
      <c r="C137" s="15" t="s">
        <v>64</v>
      </c>
      <c r="D137" s="13" t="n">
        <f aca="false">(D132+D133)/D135</f>
        <v>0.10621359223301</v>
      </c>
      <c r="E137" s="13" t="n">
        <f aca="false">(E132+E133)/E135</f>
        <v>0.0707620528771384</v>
      </c>
      <c r="F137" s="13" t="n">
        <f aca="false">(F132+F133)/F135</f>
        <v>0.105665392922412</v>
      </c>
      <c r="G137" s="13" t="n">
        <f aca="false">(G132+G133)/G135</f>
        <v>0.129873022944977</v>
      </c>
      <c r="H137" s="13" t="n">
        <f aca="false">(H132+H133)/H135</f>
        <v>0.146583850931677</v>
      </c>
      <c r="I137" s="13" t="n">
        <f aca="false">(I132+I133)/I135</f>
        <v>0.145299145299145</v>
      </c>
    </row>
    <row r="138" customFormat="false" ht="15" hidden="false" customHeight="false" outlineLevel="0" collapsed="false">
      <c r="A138" s="9" t="n">
        <v>132</v>
      </c>
      <c r="B138" s="9" t="s">
        <v>75</v>
      </c>
      <c r="C138" s="15" t="s">
        <v>65</v>
      </c>
      <c r="D138" s="16" t="n">
        <f aca="false">D126/D127</f>
        <v>1.38987043580683</v>
      </c>
      <c r="E138" s="16" t="n">
        <f aca="false">E126/E127</f>
        <v>1.04034582132565</v>
      </c>
      <c r="F138" s="16" t="n">
        <f aca="false">F126/F127</f>
        <v>1.12017887087759</v>
      </c>
      <c r="G138" s="16" t="n">
        <f aca="false">G126/G127</f>
        <v>1.0060225846926</v>
      </c>
      <c r="H138" s="16" t="n">
        <f aca="false">H126/H127</f>
        <v>1.03791737408036</v>
      </c>
      <c r="I138" s="16" t="n">
        <f aca="false">I126/I127</f>
        <v>1.12640599892876</v>
      </c>
    </row>
    <row r="139" customFormat="false" ht="15" hidden="false" customHeight="false" outlineLevel="0" collapsed="false">
      <c r="A139" s="9" t="n">
        <v>133</v>
      </c>
      <c r="B139" s="9" t="s">
        <v>75</v>
      </c>
      <c r="C139" s="15" t="s">
        <v>66</v>
      </c>
      <c r="D139" s="16" t="n">
        <f aca="false">D131/D135</f>
        <v>3.13592233009709</v>
      </c>
      <c r="E139" s="16" t="n">
        <f aca="false">E131/E135</f>
        <v>1.64074650077761</v>
      </c>
      <c r="F139" s="16" t="n">
        <f aca="false">F131/F135</f>
        <v>2.16813424156837</v>
      </c>
      <c r="G139" s="16" t="n">
        <f aca="false">G131/G135</f>
        <v>0.815326353308086</v>
      </c>
      <c r="H139" s="16" t="n">
        <f aca="false">H131/H135</f>
        <v>1.50931677018634</v>
      </c>
      <c r="I139" s="16" t="n">
        <f aca="false">I131/I135</f>
        <v>2.56410256410256</v>
      </c>
    </row>
    <row r="140" customFormat="false" ht="15" hidden="false" customHeight="false" outlineLevel="0" collapsed="false">
      <c r="A140" s="9" t="n">
        <v>134</v>
      </c>
      <c r="B140" s="9" t="s">
        <v>75</v>
      </c>
      <c r="C140" s="15" t="s">
        <v>67</v>
      </c>
      <c r="D140" s="16" t="n">
        <f aca="false">D126/D131</f>
        <v>2.19195046439629</v>
      </c>
      <c r="E140" s="16" t="n">
        <f aca="false">E126/E131</f>
        <v>1.99605055292259</v>
      </c>
      <c r="F140" s="16" t="n">
        <f aca="false">F126/F131</f>
        <v>3.07126436781609</v>
      </c>
      <c r="G140" s="16" t="n">
        <f aca="false">G126/G131</f>
        <v>10.9535519125683</v>
      </c>
      <c r="H140" s="16" t="n">
        <f aca="false">H126/H131</f>
        <v>3.01893004115226</v>
      </c>
      <c r="I140" s="16" t="n">
        <f aca="false">I126/I131</f>
        <v>2.00285714285714</v>
      </c>
    </row>
    <row r="141" customFormat="false" ht="15" hidden="false" customHeight="false" outlineLevel="0" collapsed="false">
      <c r="A141" s="9" t="n">
        <v>135</v>
      </c>
      <c r="B141" s="9" t="s">
        <v>75</v>
      </c>
      <c r="C141" s="15" t="s">
        <v>68</v>
      </c>
      <c r="D141" s="14" t="n">
        <f aca="false">D128+D129+D130-D131</f>
        <v>1</v>
      </c>
      <c r="E141" s="14" t="n">
        <f aca="false">E128+E129+E130-E131</f>
        <v>0</v>
      </c>
      <c r="F141" s="14" t="n">
        <f aca="false">F128+F129+F130-F131</f>
        <v>0</v>
      </c>
      <c r="G141" s="14" t="n">
        <f aca="false">G128+G129+G130-G131</f>
        <v>1</v>
      </c>
      <c r="H141" s="14" t="n">
        <f aca="false">H128+H129+H130-H131</f>
        <v>0</v>
      </c>
      <c r="I141" s="14" t="n">
        <f aca="false">I128+I129+I130-I131</f>
        <v>0</v>
      </c>
    </row>
    <row r="143" customFormat="false" ht="15" hidden="false" customHeight="false" outlineLevel="0" collapsed="false">
      <c r="A143" s="9" t="n">
        <v>137</v>
      </c>
      <c r="B143" s="9" t="s">
        <v>76</v>
      </c>
      <c r="C143" s="10" t="s">
        <v>53</v>
      </c>
      <c r="D143" s="11" t="n">
        <v>6.6</v>
      </c>
      <c r="E143" s="11" t="n">
        <v>19.9</v>
      </c>
      <c r="F143" s="11" t="n">
        <v>0.3</v>
      </c>
      <c r="G143" s="12" t="n">
        <v>372</v>
      </c>
      <c r="H143" s="12" t="n">
        <v>220</v>
      </c>
      <c r="I143" s="12" t="n">
        <v>467</v>
      </c>
      <c r="J143" s="13" t="n">
        <f aca="false">IF(E143=0,"n/a",F143/E143-1)</f>
        <v>-0.984924623115578</v>
      </c>
      <c r="K143" s="13" t="n">
        <f aca="false">IF(D143=0,"n/a",F143/D143-1)</f>
        <v>-0.954545454545455</v>
      </c>
      <c r="L143" s="13" t="n">
        <f aca="false">IF(F143=0,"n/a",G143/F143-1)</f>
        <v>1239</v>
      </c>
      <c r="M143" s="13" t="n">
        <f aca="false">IF(F143=0,"n/a",H143/F143-1)</f>
        <v>732.333333333333</v>
      </c>
      <c r="N143" s="13" t="n">
        <f aca="false">IF(D143=0,"n/a",I143/D143-1)</f>
        <v>69.7575757575758</v>
      </c>
      <c r="O143" s="13" t="n">
        <f aca="false">IF(H143=0,"n/a",F143/H143)</f>
        <v>0.00136363636363636</v>
      </c>
      <c r="P143" s="14" t="n">
        <f aca="false">I143-D143</f>
        <v>460.4</v>
      </c>
      <c r="Q143" s="13" t="n">
        <f aca="false">F143/F$7</f>
        <v>5.84533250199716E-006</v>
      </c>
    </row>
    <row r="144" customFormat="false" ht="15" hidden="false" customHeight="false" outlineLevel="0" collapsed="false">
      <c r="A144" s="9" t="n">
        <v>138</v>
      </c>
      <c r="B144" s="9" t="s">
        <v>76</v>
      </c>
      <c r="C144" s="9" t="s">
        <v>54</v>
      </c>
      <c r="D144" s="11" t="n">
        <v>11</v>
      </c>
      <c r="E144" s="11" t="n">
        <v>25.9</v>
      </c>
      <c r="F144" s="11" t="n">
        <v>20.4</v>
      </c>
      <c r="G144" s="12" t="n">
        <v>37.6</v>
      </c>
      <c r="H144" s="12" t="n">
        <v>204</v>
      </c>
      <c r="I144" s="12" t="n">
        <v>243</v>
      </c>
      <c r="J144" s="13" t="n">
        <f aca="false">IF(E144=0,"n/a",F144/E144-1)</f>
        <v>-0.212355212355212</v>
      </c>
      <c r="K144" s="13" t="n">
        <f aca="false">IF(D144=0,"n/a",F144/D144-1)</f>
        <v>0.854545454545455</v>
      </c>
      <c r="L144" s="13" t="n">
        <f aca="false">IF(F144=0,"n/a",G144/F144-1)</f>
        <v>0.843137254901961</v>
      </c>
      <c r="M144" s="13" t="n">
        <f aca="false">IF(F144=0,"n/a",H144/F144-1)</f>
        <v>9</v>
      </c>
      <c r="N144" s="13" t="n">
        <f aca="false">IF(D144=0,"n/a",I144/D144-1)</f>
        <v>21.0909090909091</v>
      </c>
      <c r="O144" s="13" t="n">
        <f aca="false">IF(H144=0,"n/a",F144/H144)</f>
        <v>0.1</v>
      </c>
      <c r="P144" s="14" t="n">
        <f aca="false">I144-D144</f>
        <v>232</v>
      </c>
      <c r="Q144" s="13" t="n">
        <f aca="false">F144/F$8</f>
        <v>0.000446155192021695</v>
      </c>
    </row>
    <row r="145" customFormat="false" ht="15" hidden="false" customHeight="false" outlineLevel="0" collapsed="false">
      <c r="A145" s="9" t="n">
        <v>139</v>
      </c>
      <c r="B145" s="9" t="s">
        <v>76</v>
      </c>
      <c r="C145" s="9" t="s">
        <v>55</v>
      </c>
      <c r="D145" s="11" t="n">
        <v>836</v>
      </c>
      <c r="E145" s="11" t="n">
        <v>246</v>
      </c>
      <c r="F145" s="11" t="n">
        <v>422</v>
      </c>
      <c r="G145" s="12" t="n">
        <v>637</v>
      </c>
      <c r="H145" s="12" t="n">
        <v>1000</v>
      </c>
      <c r="I145" s="12" t="n">
        <v>1269</v>
      </c>
      <c r="J145" s="13" t="n">
        <f aca="false">IF(E145=0,"n/a",F145/E145-1)</f>
        <v>0.715447154471545</v>
      </c>
      <c r="K145" s="13" t="n">
        <f aca="false">IF(D145=0,"n/a",F145/D145-1)</f>
        <v>-0.495215311004785</v>
      </c>
      <c r="L145" s="13" t="n">
        <f aca="false">IF(F145=0,"n/a",G145/F145-1)</f>
        <v>0.509478672985782</v>
      </c>
      <c r="M145" s="13" t="n">
        <f aca="false">IF(F145=0,"n/a",H145/F145-1)</f>
        <v>1.3696682464455</v>
      </c>
      <c r="N145" s="13" t="n">
        <f aca="false">IF(D145=0,"n/a",I145/D145-1)</f>
        <v>0.517942583732058</v>
      </c>
      <c r="O145" s="13" t="n">
        <f aca="false">IF(H145=0,"n/a",F145/H145)</f>
        <v>0.422</v>
      </c>
      <c r="P145" s="14" t="n">
        <f aca="false">I145-D145</f>
        <v>433</v>
      </c>
      <c r="Q145" s="13" t="n">
        <f aca="false">F145/F$9</f>
        <v>0.0451771758912322</v>
      </c>
    </row>
    <row r="146" customFormat="false" ht="15" hidden="false" customHeight="false" outlineLevel="0" collapsed="false">
      <c r="A146" s="9" t="n">
        <v>140</v>
      </c>
      <c r="B146" s="9" t="s">
        <v>76</v>
      </c>
      <c r="C146" s="9" t="s">
        <v>56</v>
      </c>
      <c r="D146" s="11" t="n">
        <v>831</v>
      </c>
      <c r="E146" s="11" t="n">
        <v>381</v>
      </c>
      <c r="F146" s="11" t="n">
        <v>407</v>
      </c>
      <c r="G146" s="12" t="n">
        <v>401</v>
      </c>
      <c r="H146" s="12" t="n">
        <v>732</v>
      </c>
      <c r="I146" s="12" t="n">
        <v>996</v>
      </c>
      <c r="J146" s="13" t="n">
        <f aca="false">IF(E146=0,"n/a",F146/E146-1)</f>
        <v>0.068241469816273</v>
      </c>
      <c r="K146" s="13" t="n">
        <f aca="false">IF(D146=0,"n/a",F146/D146-1)</f>
        <v>-0.510228640192539</v>
      </c>
      <c r="L146" s="13" t="n">
        <f aca="false">IF(F146=0,"n/a",G146/F146-1)</f>
        <v>-0.0147420147420148</v>
      </c>
      <c r="M146" s="13" t="n">
        <f aca="false">IF(F146=0,"n/a",H146/F146-1)</f>
        <v>0.798525798525799</v>
      </c>
      <c r="N146" s="13" t="n">
        <f aca="false">IF(D146=0,"n/a",I146/D146-1)</f>
        <v>0.1985559566787</v>
      </c>
      <c r="O146" s="13" t="n">
        <f aca="false">IF(H146=0,"n/a",F146/H146)</f>
        <v>0.556010928961749</v>
      </c>
      <c r="P146" s="14" t="n">
        <f aca="false">I146-D146</f>
        <v>165</v>
      </c>
      <c r="Q146" s="13" t="n">
        <f aca="false">F146/F$10</f>
        <v>0.229554427523971</v>
      </c>
    </row>
    <row r="147" customFormat="false" ht="15" hidden="false" customHeight="false" outlineLevel="0" collapsed="false">
      <c r="A147" s="9" t="n">
        <v>141</v>
      </c>
      <c r="B147" s="9" t="s">
        <v>76</v>
      </c>
      <c r="C147" s="9" t="s">
        <v>57</v>
      </c>
      <c r="D147" s="11" t="n">
        <v>9118</v>
      </c>
      <c r="E147" s="11" t="n">
        <v>8233</v>
      </c>
      <c r="F147" s="11" t="n">
        <v>8383</v>
      </c>
      <c r="G147" s="12" t="n">
        <v>7609</v>
      </c>
      <c r="H147" s="12" t="n">
        <v>10390</v>
      </c>
      <c r="I147" s="12" t="n">
        <v>12022</v>
      </c>
      <c r="J147" s="13" t="n">
        <f aca="false">IF(E147=0,"n/a",F147/E147-1)</f>
        <v>0.0182193611077373</v>
      </c>
      <c r="K147" s="13" t="n">
        <f aca="false">IF(D147=0,"n/a",F147/D147-1)</f>
        <v>-0.0806097828471156</v>
      </c>
      <c r="L147" s="13" t="n">
        <f aca="false">IF(F147=0,"n/a",G147/F147-1)</f>
        <v>-0.0923297148992007</v>
      </c>
      <c r="M147" s="13" t="n">
        <f aca="false">IF(F147=0,"n/a",H147/F147-1)</f>
        <v>0.2394130979363</v>
      </c>
      <c r="N147" s="13" t="n">
        <f aca="false">IF(D147=0,"n/a",I147/D147-1)</f>
        <v>0.318490897126563</v>
      </c>
      <c r="O147" s="13" t="n">
        <f aca="false">IF(H147=0,"n/a",F147/H147)</f>
        <v>0.806833493743985</v>
      </c>
      <c r="P147" s="14" t="n">
        <f aca="false">I147-D147</f>
        <v>2904</v>
      </c>
      <c r="Q147" s="13" t="n">
        <f aca="false">F147/F$11</f>
        <v>0.256958067680235</v>
      </c>
    </row>
    <row r="148" customFormat="false" ht="15" hidden="false" customHeight="false" outlineLevel="0" collapsed="false">
      <c r="A148" s="9" t="n">
        <v>142</v>
      </c>
      <c r="B148" s="9" t="s">
        <v>76</v>
      </c>
      <c r="C148" s="10" t="s">
        <v>58</v>
      </c>
      <c r="D148" s="11" t="n">
        <v>10786</v>
      </c>
      <c r="E148" s="11" t="n">
        <v>8860</v>
      </c>
      <c r="F148" s="11" t="n">
        <v>9212</v>
      </c>
      <c r="G148" s="12" t="n">
        <v>8647</v>
      </c>
      <c r="H148" s="12" t="n">
        <v>12122</v>
      </c>
      <c r="I148" s="12" t="n">
        <v>14287</v>
      </c>
      <c r="J148" s="13" t="n">
        <f aca="false">IF(E148=0,"n/a",F148/E148-1)</f>
        <v>0.0397291196388261</v>
      </c>
      <c r="K148" s="13" t="n">
        <f aca="false">IF(D148=0,"n/a",F148/D148-1)</f>
        <v>-0.14592990914148</v>
      </c>
      <c r="L148" s="13" t="n">
        <f aca="false">IF(F148=0,"n/a",G148/F148-1)</f>
        <v>-0.0613330438558403</v>
      </c>
      <c r="M148" s="13" t="n">
        <f aca="false">IF(F148=0,"n/a",H148/F148-1)</f>
        <v>0.315892314372558</v>
      </c>
      <c r="N148" s="13" t="n">
        <f aca="false">IF(D148=0,"n/a",I148/D148-1)</f>
        <v>0.324587428147599</v>
      </c>
      <c r="O148" s="13" t="n">
        <f aca="false">IF(H148=0,"n/a",F148/H148)</f>
        <v>0.759940603860749</v>
      </c>
      <c r="P148" s="14" t="n">
        <f aca="false">I148-D148</f>
        <v>3501</v>
      </c>
      <c r="Q148" s="13" t="n">
        <f aca="false">F148/F$12</f>
        <v>0.210617769445334</v>
      </c>
    </row>
    <row r="149" customFormat="false" ht="15" hidden="false" customHeight="false" outlineLevel="0" collapsed="false">
      <c r="A149" s="9" t="n">
        <v>143</v>
      </c>
      <c r="B149" s="9" t="s">
        <v>76</v>
      </c>
      <c r="C149" s="9" t="s">
        <v>59</v>
      </c>
      <c r="D149" s="11" t="n">
        <v>1613</v>
      </c>
      <c r="E149" s="11" t="n">
        <v>303</v>
      </c>
      <c r="F149" s="11" t="n">
        <v>593</v>
      </c>
      <c r="G149" s="12" t="n">
        <v>426</v>
      </c>
      <c r="H149" s="12" t="n">
        <v>2008</v>
      </c>
      <c r="I149" s="12" t="n">
        <v>1931</v>
      </c>
      <c r="J149" s="13" t="n">
        <f aca="false">IF(E149=0,"n/a",F149/E149-1)</f>
        <v>0.957095709570957</v>
      </c>
      <c r="K149" s="13" t="n">
        <f aca="false">IF(D149=0,"n/a",F149/D149-1)</f>
        <v>-0.632362058276504</v>
      </c>
      <c r="L149" s="13" t="n">
        <f aca="false">IF(F149=0,"n/a",G149/F149-1)</f>
        <v>-0.281618887015177</v>
      </c>
      <c r="M149" s="13" t="n">
        <f aca="false">IF(F149=0,"n/a",H149/F149-1)</f>
        <v>2.38617200674536</v>
      </c>
      <c r="N149" s="13" t="n">
        <f aca="false">IF(D149=0,"n/a",I149/D149-1)</f>
        <v>0.197148171109733</v>
      </c>
      <c r="O149" s="13" t="n">
        <f aca="false">IF(H149=0,"n/a",F149/H149)</f>
        <v>0.295318725099602</v>
      </c>
      <c r="P149" s="14" t="n">
        <f aca="false">I149-D149</f>
        <v>318</v>
      </c>
      <c r="Q149" s="13" t="n">
        <f aca="false">F149/F$13</f>
        <v>0.0906173594132029</v>
      </c>
    </row>
    <row r="150" customFormat="false" ht="15" hidden="false" customHeight="false" outlineLevel="0" collapsed="false">
      <c r="A150" s="9" t="n">
        <v>144</v>
      </c>
      <c r="B150" s="9" t="s">
        <v>76</v>
      </c>
      <c r="C150" s="9" t="s">
        <v>60</v>
      </c>
      <c r="D150" s="11" t="n">
        <v>504</v>
      </c>
      <c r="E150" s="11" t="n">
        <v>429</v>
      </c>
      <c r="F150" s="11" t="n">
        <v>840</v>
      </c>
      <c r="G150" s="12" t="n">
        <v>376</v>
      </c>
      <c r="H150" s="12" t="n">
        <v>569</v>
      </c>
      <c r="I150" s="12" t="n">
        <v>595</v>
      </c>
      <c r="J150" s="13" t="n">
        <f aca="false">IF(E150=0,"n/a",F150/E150-1)</f>
        <v>0.958041958041958</v>
      </c>
      <c r="K150" s="13" t="n">
        <f aca="false">IF(D150=0,"n/a",F150/D150-1)</f>
        <v>0.666666666666667</v>
      </c>
      <c r="L150" s="13" t="n">
        <f aca="false">IF(F150=0,"n/a",G150/F150-1)</f>
        <v>-0.552380952380952</v>
      </c>
      <c r="M150" s="13" t="n">
        <f aca="false">IF(F150=0,"n/a",H150/F150-1)</f>
        <v>-0.322619047619048</v>
      </c>
      <c r="N150" s="13" t="n">
        <f aca="false">IF(D150=0,"n/a",I150/D150-1)</f>
        <v>0.180555555555556</v>
      </c>
      <c r="O150" s="13" t="n">
        <f aca="false">IF(H150=0,"n/a",F150/H150)</f>
        <v>1.47627416520211</v>
      </c>
      <c r="P150" s="14" t="n">
        <f aca="false">I150-D150</f>
        <v>91</v>
      </c>
      <c r="Q150" s="13" t="n">
        <f aca="false">F150/F$14</f>
        <v>0.531645569620253</v>
      </c>
    </row>
    <row r="151" customFormat="false" ht="15" hidden="false" customHeight="false" outlineLevel="0" collapsed="false">
      <c r="A151" s="9" t="n">
        <v>145</v>
      </c>
      <c r="B151" s="9" t="s">
        <v>76</v>
      </c>
      <c r="C151" s="9" t="s">
        <v>61</v>
      </c>
      <c r="D151" s="11" t="n">
        <v>7711</v>
      </c>
      <c r="E151" s="11" t="n">
        <v>6338</v>
      </c>
      <c r="F151" s="11" t="n">
        <v>9340</v>
      </c>
      <c r="G151" s="12" t="n">
        <v>7812</v>
      </c>
      <c r="H151" s="12" t="n">
        <v>9669</v>
      </c>
      <c r="I151" s="12" t="n">
        <v>10032</v>
      </c>
      <c r="J151" s="13" t="n">
        <f aca="false">IF(E151=0,"n/a",F151/E151-1)</f>
        <v>0.473650994004418</v>
      </c>
      <c r="K151" s="13" t="n">
        <f aca="false">IF(D151=0,"n/a",F151/D151-1)</f>
        <v>0.211256646349371</v>
      </c>
      <c r="L151" s="13" t="n">
        <f aca="false">IF(F151=0,"n/a",G151/F151-1)</f>
        <v>-0.163597430406852</v>
      </c>
      <c r="M151" s="13" t="n">
        <f aca="false">IF(F151=0,"n/a",H151/F151-1)</f>
        <v>0.0352248394004282</v>
      </c>
      <c r="N151" s="13" t="n">
        <f aca="false">IF(D151=0,"n/a",I151/D151-1)</f>
        <v>0.300998573466476</v>
      </c>
      <c r="O151" s="13" t="n">
        <f aca="false">IF(H151=0,"n/a",F151/H151)</f>
        <v>0.96597373047885</v>
      </c>
      <c r="P151" s="14" t="n">
        <f aca="false">I151-D151</f>
        <v>2321</v>
      </c>
      <c r="Q151" s="13" t="n">
        <f aca="false">F151/F$15</f>
        <v>0.256136020841903</v>
      </c>
    </row>
    <row r="152" customFormat="false" ht="15" hidden="false" customHeight="false" outlineLevel="0" collapsed="false">
      <c r="A152" s="9" t="n">
        <v>146</v>
      </c>
      <c r="B152" s="9" t="s">
        <v>76</v>
      </c>
      <c r="C152" s="9" t="s">
        <v>62</v>
      </c>
      <c r="D152" s="11" t="n">
        <v>9828</v>
      </c>
      <c r="E152" s="11" t="n">
        <v>7070</v>
      </c>
      <c r="F152" s="11" t="n">
        <v>10773</v>
      </c>
      <c r="G152" s="12" t="n">
        <v>8614</v>
      </c>
      <c r="H152" s="12" t="n">
        <v>12246</v>
      </c>
      <c r="I152" s="12" t="n">
        <v>12558</v>
      </c>
      <c r="J152" s="13" t="n">
        <f aca="false">IF(E152=0,"n/a",F152/E152-1)</f>
        <v>0.523762376237624</v>
      </c>
      <c r="K152" s="13" t="n">
        <f aca="false">IF(D152=0,"n/a",F152/D152-1)</f>
        <v>0.0961538461538463</v>
      </c>
      <c r="L152" s="13" t="n">
        <f aca="false">IF(F152=0,"n/a",G152/F152-1)</f>
        <v>-0.200408428478604</v>
      </c>
      <c r="M152" s="13" t="n">
        <f aca="false">IF(F152=0,"n/a",H152/F152-1)</f>
        <v>0.136730715678084</v>
      </c>
      <c r="N152" s="13" t="n">
        <f aca="false">IF(D152=0,"n/a",I152/D152-1)</f>
        <v>0.277777777777778</v>
      </c>
      <c r="O152" s="13" t="n">
        <f aca="false">IF(H152=0,"n/a",F152/H152)</f>
        <v>0.879715825575698</v>
      </c>
      <c r="P152" s="14" t="n">
        <f aca="false">I152-D152</f>
        <v>2730</v>
      </c>
      <c r="Q152" s="13" t="n">
        <f aca="false">F152/F$16</f>
        <v>0.241606674291866</v>
      </c>
    </row>
    <row r="153" customFormat="false" ht="15" hidden="false" customHeight="false" outlineLevel="0" collapsed="false">
      <c r="A153" s="9" t="n">
        <v>147</v>
      </c>
      <c r="B153" s="9" t="s">
        <v>76</v>
      </c>
      <c r="C153" s="15" t="s">
        <v>63</v>
      </c>
      <c r="D153" s="13" t="n">
        <f aca="false">(D145+D146)/D148</f>
        <v>0.154552197292787</v>
      </c>
      <c r="E153" s="13" t="n">
        <f aca="false">(E145+E146)/E148</f>
        <v>0.0707674943566592</v>
      </c>
      <c r="F153" s="13" t="n">
        <f aca="false">(F145+F146)/F148</f>
        <v>0.0899913156752063</v>
      </c>
      <c r="G153" s="13" t="n">
        <f aca="false">(G145+G146)/G148</f>
        <v>0.120041632936278</v>
      </c>
      <c r="H153" s="13" t="n">
        <f aca="false">(H145+H146)/H148</f>
        <v>0.142880712753671</v>
      </c>
      <c r="I153" s="13" t="n">
        <f aca="false">(I145+I146)/I148</f>
        <v>0.158535731784139</v>
      </c>
    </row>
    <row r="154" customFormat="false" ht="15" hidden="false" customHeight="false" outlineLevel="0" collapsed="false">
      <c r="A154" s="9" t="n">
        <v>148</v>
      </c>
      <c r="B154" s="9" t="s">
        <v>76</v>
      </c>
      <c r="C154" s="15" t="s">
        <v>64</v>
      </c>
      <c r="D154" s="13" t="n">
        <f aca="false">(D149+D150)/D152</f>
        <v>0.215404965404965</v>
      </c>
      <c r="E154" s="13" t="n">
        <f aca="false">(E149+E150)/E152</f>
        <v>0.103536067892504</v>
      </c>
      <c r="F154" s="13" t="n">
        <f aca="false">(F149+F150)/F152</f>
        <v>0.133017729508958</v>
      </c>
      <c r="G154" s="13" t="n">
        <f aca="false">(G149+G150)/G152</f>
        <v>0.0931042488971442</v>
      </c>
      <c r="H154" s="13" t="n">
        <f aca="false">(H149+H150)/H152</f>
        <v>0.210436060754532</v>
      </c>
      <c r="I154" s="13" t="n">
        <f aca="false">(I149+I150)/I152</f>
        <v>0.201146679407549</v>
      </c>
    </row>
    <row r="155" customFormat="false" ht="15" hidden="false" customHeight="false" outlineLevel="0" collapsed="false">
      <c r="A155" s="9" t="n">
        <v>149</v>
      </c>
      <c r="B155" s="9" t="s">
        <v>76</v>
      </c>
      <c r="C155" s="15" t="s">
        <v>65</v>
      </c>
      <c r="D155" s="16" t="n">
        <f aca="false">D143/D144</f>
        <v>0.6</v>
      </c>
      <c r="E155" s="16" t="n">
        <f aca="false">E143/E144</f>
        <v>0.768339768339768</v>
      </c>
      <c r="F155" s="16" t="n">
        <f aca="false">F143/F144</f>
        <v>0.0147058823529412</v>
      </c>
      <c r="G155" s="16" t="n">
        <f aca="false">G143/G144</f>
        <v>9.8936170212766</v>
      </c>
      <c r="H155" s="16" t="n">
        <f aca="false">H143/H144</f>
        <v>1.07843137254902</v>
      </c>
      <c r="I155" s="16" t="n">
        <f aca="false">I143/I144</f>
        <v>1.92181069958848</v>
      </c>
    </row>
    <row r="156" customFormat="false" ht="15" hidden="false" customHeight="false" outlineLevel="0" collapsed="false">
      <c r="A156" s="9" t="n">
        <v>150</v>
      </c>
      <c r="B156" s="9" t="s">
        <v>76</v>
      </c>
      <c r="C156" s="15" t="s">
        <v>66</v>
      </c>
      <c r="D156" s="16" t="n">
        <f aca="false">D148/D152</f>
        <v>1.0974765974766</v>
      </c>
      <c r="E156" s="16" t="n">
        <f aca="false">E148/E152</f>
        <v>1.25318246110325</v>
      </c>
      <c r="F156" s="16" t="n">
        <f aca="false">F148/F152</f>
        <v>0.855100714749838</v>
      </c>
      <c r="G156" s="16" t="n">
        <f aca="false">G148/G152</f>
        <v>1.00383097283492</v>
      </c>
      <c r="H156" s="16" t="n">
        <f aca="false">H148/H152</f>
        <v>0.989874244651315</v>
      </c>
      <c r="I156" s="16" t="n">
        <f aca="false">I148/I152</f>
        <v>1.13768115942029</v>
      </c>
    </row>
    <row r="157" customFormat="false" ht="15" hidden="false" customHeight="false" outlineLevel="0" collapsed="false">
      <c r="A157" s="9" t="n">
        <v>151</v>
      </c>
      <c r="B157" s="9" t="s">
        <v>76</v>
      </c>
      <c r="C157" s="15" t="s">
        <v>67</v>
      </c>
      <c r="D157" s="16" t="n">
        <f aca="false">D143/D148</f>
        <v>0.000611904320415353</v>
      </c>
      <c r="E157" s="16" t="n">
        <f aca="false">E143/E148</f>
        <v>0.00224604966139955</v>
      </c>
      <c r="F157" s="16" t="n">
        <f aca="false">F143/F148</f>
        <v>3.25662179765523E-005</v>
      </c>
      <c r="G157" s="16" t="n">
        <f aca="false">G143/G148</f>
        <v>0.043020700821094</v>
      </c>
      <c r="H157" s="16" t="n">
        <f aca="false">H143/H148</f>
        <v>0.0181488203266788</v>
      </c>
      <c r="I157" s="16" t="n">
        <f aca="false">I143/I148</f>
        <v>0.0326870581647652</v>
      </c>
    </row>
    <row r="158" customFormat="false" ht="15" hidden="false" customHeight="false" outlineLevel="0" collapsed="false">
      <c r="A158" s="9" t="n">
        <v>152</v>
      </c>
      <c r="B158" s="9" t="s">
        <v>76</v>
      </c>
      <c r="C158" s="15" t="s">
        <v>68</v>
      </c>
      <c r="D158" s="14" t="n">
        <f aca="false">D145+D146+D147-D148</f>
        <v>-1</v>
      </c>
      <c r="E158" s="14" t="n">
        <f aca="false">E145+E146+E147-E148</f>
        <v>0</v>
      </c>
      <c r="F158" s="14" t="n">
        <f aca="false">F145+F146+F147-F148</f>
        <v>0</v>
      </c>
      <c r="G158" s="14" t="n">
        <f aca="false">G145+G146+G147-G148</f>
        <v>0</v>
      </c>
      <c r="H158" s="14" t="n">
        <f aca="false">H145+H146+H147-H148</f>
        <v>0</v>
      </c>
      <c r="I158" s="14" t="n">
        <f aca="false">I145+I146+I147-I148</f>
        <v>0</v>
      </c>
    </row>
    <row r="160" customFormat="false" ht="15" hidden="false" customHeight="false" outlineLevel="0" collapsed="false">
      <c r="A160" s="9" t="n">
        <v>154</v>
      </c>
      <c r="B160" s="9" t="s">
        <v>77</v>
      </c>
      <c r="C160" s="10" t="s">
        <v>53</v>
      </c>
      <c r="D160" s="11" t="n">
        <v>851.7</v>
      </c>
      <c r="E160" s="11" t="n">
        <v>490.8</v>
      </c>
      <c r="F160" s="11" t="n">
        <v>979</v>
      </c>
      <c r="G160" s="12" t="n">
        <v>905</v>
      </c>
      <c r="H160" s="12" t="n">
        <v>837</v>
      </c>
      <c r="I160" s="12" t="n">
        <v>935</v>
      </c>
      <c r="J160" s="13" t="n">
        <f aca="false">IF(E160=0,"n/a",F160/E160-1)</f>
        <v>0.994702526487368</v>
      </c>
      <c r="K160" s="13" t="n">
        <f aca="false">IF(D160=0,"n/a",F160/D160-1)</f>
        <v>0.149465774333686</v>
      </c>
      <c r="L160" s="13" t="n">
        <f aca="false">IF(F160=0,"n/a",G160/F160-1)</f>
        <v>-0.0755873340143003</v>
      </c>
      <c r="M160" s="13" t="n">
        <f aca="false">IF(F160=0,"n/a",H160/F160-1)</f>
        <v>-0.145045965270684</v>
      </c>
      <c r="N160" s="13" t="n">
        <f aca="false">IF(D160=0,"n/a",I160/D160-1)</f>
        <v>0.0978043912175648</v>
      </c>
      <c r="O160" s="13" t="n">
        <f aca="false">IF(H160=0,"n/a",F160/H160)</f>
        <v>1.16965352449223</v>
      </c>
      <c r="P160" s="14" t="n">
        <f aca="false">I160-D160</f>
        <v>83.3</v>
      </c>
      <c r="Q160" s="13" t="n">
        <f aca="false">F160/F$7</f>
        <v>0.0190752683981841</v>
      </c>
    </row>
    <row r="161" customFormat="false" ht="15" hidden="false" customHeight="false" outlineLevel="0" collapsed="false">
      <c r="A161" s="9" t="n">
        <v>155</v>
      </c>
      <c r="B161" s="9" t="s">
        <v>77</v>
      </c>
      <c r="C161" s="9" t="s">
        <v>54</v>
      </c>
      <c r="D161" s="11" t="n">
        <v>479.4</v>
      </c>
      <c r="E161" s="11" t="n">
        <v>387.6</v>
      </c>
      <c r="F161" s="11" t="n">
        <v>858.9</v>
      </c>
      <c r="G161" s="12" t="n">
        <v>915.5</v>
      </c>
      <c r="H161" s="12" t="n">
        <v>728</v>
      </c>
      <c r="I161" s="12" t="n">
        <v>776</v>
      </c>
      <c r="J161" s="13" t="n">
        <f aca="false">IF(E161=0,"n/a",F161/E161-1)</f>
        <v>1.21594427244582</v>
      </c>
      <c r="K161" s="13" t="n">
        <f aca="false">IF(D161=0,"n/a",F161/D161-1)</f>
        <v>0.791614518147685</v>
      </c>
      <c r="L161" s="13" t="n">
        <f aca="false">IF(F161=0,"n/a",G161/F161-1)</f>
        <v>0.0658982419373617</v>
      </c>
      <c r="M161" s="13" t="n">
        <f aca="false">IF(F161=0,"n/a",H161/F161-1)</f>
        <v>-0.15240423797881</v>
      </c>
      <c r="N161" s="13" t="n">
        <f aca="false">IF(D161=0,"n/a",I161/D161-1)</f>
        <v>0.618690029203171</v>
      </c>
      <c r="O161" s="13" t="n">
        <f aca="false">IF(H161=0,"n/a",F161/H161)</f>
        <v>1.17980769230769</v>
      </c>
      <c r="P161" s="14" t="n">
        <f aca="false">I161-D161</f>
        <v>296.6</v>
      </c>
      <c r="Q161" s="13" t="n">
        <f aca="false">F161/F$8</f>
        <v>0.0187844458052664</v>
      </c>
    </row>
    <row r="162" customFormat="false" ht="15" hidden="false" customHeight="false" outlineLevel="0" collapsed="false">
      <c r="A162" s="9" t="n">
        <v>156</v>
      </c>
      <c r="B162" s="9" t="s">
        <v>77</v>
      </c>
      <c r="C162" s="9" t="s">
        <v>55</v>
      </c>
      <c r="D162" s="11" t="n">
        <v>79</v>
      </c>
      <c r="E162" s="11" t="n">
        <v>96</v>
      </c>
      <c r="F162" s="11" t="n">
        <v>132.7</v>
      </c>
      <c r="G162" s="12" t="n">
        <v>40.1</v>
      </c>
      <c r="H162" s="12" t="n">
        <v>109</v>
      </c>
      <c r="I162" s="12" t="n">
        <v>109</v>
      </c>
      <c r="J162" s="13" t="n">
        <f aca="false">IF(E162=0,"n/a",F162/E162-1)</f>
        <v>0.382291666666667</v>
      </c>
      <c r="K162" s="13" t="n">
        <f aca="false">IF(D162=0,"n/a",F162/D162-1)</f>
        <v>0.679746835443038</v>
      </c>
      <c r="L162" s="13" t="n">
        <f aca="false">IF(F162=0,"n/a",G162/F162-1)</f>
        <v>-0.697814619442351</v>
      </c>
      <c r="M162" s="13" t="n">
        <f aca="false">IF(F162=0,"n/a",H162/F162-1)</f>
        <v>-0.178598342125094</v>
      </c>
      <c r="N162" s="13" t="n">
        <f aca="false">IF(D162=0,"n/a",I162/D162-1)</f>
        <v>0.379746835443038</v>
      </c>
      <c r="O162" s="13" t="n">
        <f aca="false">IF(H162=0,"n/a",F162/H162)</f>
        <v>1.21743119266055</v>
      </c>
      <c r="P162" s="14" t="n">
        <f aca="false">I162-D162</f>
        <v>30</v>
      </c>
      <c r="Q162" s="13" t="n">
        <f aca="false">F162/F$9</f>
        <v>0.0142061877743282</v>
      </c>
    </row>
    <row r="163" customFormat="false" ht="15" hidden="false" customHeight="false" outlineLevel="0" collapsed="false">
      <c r="A163" s="9" t="n">
        <v>157</v>
      </c>
      <c r="B163" s="9" t="s">
        <v>77</v>
      </c>
      <c r="C163" s="9" t="s">
        <v>56</v>
      </c>
      <c r="D163" s="11" t="n">
        <v>4.2</v>
      </c>
      <c r="E163" s="11" t="n">
        <v>12.3</v>
      </c>
      <c r="F163" s="11" t="n">
        <v>5.1</v>
      </c>
      <c r="G163" s="12" t="n">
        <v>4</v>
      </c>
      <c r="H163" s="12" t="n">
        <v>7</v>
      </c>
      <c r="I163" s="12" t="n">
        <v>7</v>
      </c>
      <c r="J163" s="13" t="n">
        <f aca="false">IF(E163=0,"n/a",F163/E163-1)</f>
        <v>-0.585365853658537</v>
      </c>
      <c r="K163" s="13" t="n">
        <f aca="false">IF(D163=0,"n/a",F163/D163-1)</f>
        <v>0.214285714285714</v>
      </c>
      <c r="L163" s="13" t="n">
        <f aca="false">IF(F163=0,"n/a",G163/F163-1)</f>
        <v>-0.215686274509804</v>
      </c>
      <c r="M163" s="13" t="n">
        <f aca="false">IF(F163=0,"n/a",H163/F163-1)</f>
        <v>0.372549019607843</v>
      </c>
      <c r="N163" s="13" t="n">
        <f aca="false">IF(D163=0,"n/a",I163/D163-1)</f>
        <v>0.666666666666667</v>
      </c>
      <c r="O163" s="13" t="n">
        <f aca="false">IF(H163=0,"n/a",F163/H163)</f>
        <v>0.728571428571429</v>
      </c>
      <c r="P163" s="14" t="n">
        <f aca="false">I163-D163</f>
        <v>2.8</v>
      </c>
      <c r="Q163" s="13" t="n">
        <f aca="false">F163/F$10</f>
        <v>0.00287648054145516</v>
      </c>
    </row>
    <row r="164" customFormat="false" ht="15" hidden="false" customHeight="false" outlineLevel="0" collapsed="false">
      <c r="A164" s="9" t="n">
        <v>158</v>
      </c>
      <c r="B164" s="9" t="s">
        <v>77</v>
      </c>
      <c r="C164" s="9" t="s">
        <v>57</v>
      </c>
      <c r="D164" s="11" t="n">
        <v>70.8</v>
      </c>
      <c r="E164" s="11" t="n">
        <v>154.3</v>
      </c>
      <c r="F164" s="11" t="n">
        <v>157</v>
      </c>
      <c r="G164" s="12" t="n">
        <v>123.3</v>
      </c>
      <c r="H164" s="12" t="n">
        <v>119</v>
      </c>
      <c r="I164" s="12" t="n">
        <v>119</v>
      </c>
      <c r="J164" s="13" t="n">
        <f aca="false">IF(E164=0,"n/a",F164/E164-1)</f>
        <v>0.01749837977965</v>
      </c>
      <c r="K164" s="13" t="n">
        <f aca="false">IF(D164=0,"n/a",F164/D164-1)</f>
        <v>1.21751412429379</v>
      </c>
      <c r="L164" s="13" t="n">
        <f aca="false">IF(F164=0,"n/a",G164/F164-1)</f>
        <v>-0.214649681528662</v>
      </c>
      <c r="M164" s="13" t="n">
        <f aca="false">IF(F164=0,"n/a",H164/F164-1)</f>
        <v>-0.24203821656051</v>
      </c>
      <c r="N164" s="13" t="n">
        <f aca="false">IF(D164=0,"n/a",I164/D164-1)</f>
        <v>0.680790960451978</v>
      </c>
      <c r="O164" s="13" t="n">
        <f aca="false">IF(H164=0,"n/a",F164/H164)</f>
        <v>1.31932773109244</v>
      </c>
      <c r="P164" s="14" t="n">
        <f aca="false">I164-D164</f>
        <v>48.2</v>
      </c>
      <c r="Q164" s="13" t="n">
        <f aca="false">F164/F$11</f>
        <v>0.00481240804315841</v>
      </c>
    </row>
    <row r="165" customFormat="false" ht="15" hidden="false" customHeight="false" outlineLevel="0" collapsed="false">
      <c r="A165" s="9" t="n">
        <v>159</v>
      </c>
      <c r="B165" s="9" t="s">
        <v>77</v>
      </c>
      <c r="C165" s="10" t="s">
        <v>58</v>
      </c>
      <c r="D165" s="11" t="n">
        <v>154</v>
      </c>
      <c r="E165" s="11" t="n">
        <v>262.6</v>
      </c>
      <c r="F165" s="11" t="n">
        <v>294.8</v>
      </c>
      <c r="G165" s="12" t="n">
        <v>167.4</v>
      </c>
      <c r="H165" s="12" t="n">
        <v>235</v>
      </c>
      <c r="I165" s="12" t="n">
        <v>235</v>
      </c>
      <c r="J165" s="13" t="n">
        <f aca="false">IF(E165=0,"n/a",F165/E165-1)</f>
        <v>0.122619954303123</v>
      </c>
      <c r="K165" s="13" t="n">
        <f aca="false">IF(D165=0,"n/a",F165/D165-1)</f>
        <v>0.914285714285714</v>
      </c>
      <c r="L165" s="13" t="n">
        <f aca="false">IF(F165=0,"n/a",G165/F165-1)</f>
        <v>-0.432157394843962</v>
      </c>
      <c r="M165" s="13" t="n">
        <f aca="false">IF(F165=0,"n/a",H165/F165-1)</f>
        <v>-0.202849389416554</v>
      </c>
      <c r="N165" s="13" t="n">
        <f aca="false">IF(D165=0,"n/a",I165/D165-1)</f>
        <v>0.525974025974026</v>
      </c>
      <c r="O165" s="13" t="n">
        <f aca="false">IF(H165=0,"n/a",F165/H165)</f>
        <v>1.25446808510638</v>
      </c>
      <c r="P165" s="14" t="n">
        <f aca="false">I165-D165</f>
        <v>81</v>
      </c>
      <c r="Q165" s="13" t="n">
        <f aca="false">F165/F$12</f>
        <v>0.00674013443687411</v>
      </c>
    </row>
    <row r="166" customFormat="false" ht="15" hidden="false" customHeight="false" outlineLevel="0" collapsed="false">
      <c r="A166" s="9" t="n">
        <v>160</v>
      </c>
      <c r="B166" s="9" t="s">
        <v>77</v>
      </c>
      <c r="C166" s="9" t="s">
        <v>59</v>
      </c>
      <c r="D166" s="11" t="n">
        <v>66.8</v>
      </c>
      <c r="E166" s="11" t="n">
        <v>63.3</v>
      </c>
      <c r="F166" s="11" t="n">
        <v>56.9</v>
      </c>
      <c r="G166" s="12" t="n">
        <v>55.3</v>
      </c>
      <c r="H166" s="12" t="n">
        <v>84</v>
      </c>
      <c r="I166" s="12" t="n">
        <v>90</v>
      </c>
      <c r="J166" s="13" t="n">
        <f aca="false">IF(E166=0,"n/a",F166/E166-1)</f>
        <v>-0.101105845181675</v>
      </c>
      <c r="K166" s="13" t="n">
        <f aca="false">IF(D166=0,"n/a",F166/D166-1)</f>
        <v>-0.148203592814371</v>
      </c>
      <c r="L166" s="13" t="n">
        <f aca="false">IF(F166=0,"n/a",G166/F166-1)</f>
        <v>-0.0281195079086116</v>
      </c>
      <c r="M166" s="13" t="n">
        <f aca="false">IF(F166=0,"n/a",H166/F166-1)</f>
        <v>0.476274165202109</v>
      </c>
      <c r="N166" s="13" t="n">
        <f aca="false">IF(D166=0,"n/a",I166/D166-1)</f>
        <v>0.347305389221557</v>
      </c>
      <c r="O166" s="13" t="n">
        <f aca="false">IF(H166=0,"n/a",F166/H166)</f>
        <v>0.677380952380952</v>
      </c>
      <c r="P166" s="14" t="n">
        <f aca="false">I166-D166</f>
        <v>23.2</v>
      </c>
      <c r="Q166" s="13" t="n">
        <f aca="false">F166/F$13</f>
        <v>0.00869498777506112</v>
      </c>
    </row>
    <row r="167" customFormat="false" ht="15" hidden="false" customHeight="false" outlineLevel="0" collapsed="false">
      <c r="A167" s="9" t="n">
        <v>161</v>
      </c>
      <c r="B167" s="9" t="s">
        <v>77</v>
      </c>
      <c r="C167" s="9" t="s">
        <v>60</v>
      </c>
      <c r="D167" s="11" t="n">
        <v>8.3</v>
      </c>
      <c r="E167" s="11" t="n">
        <v>6.5</v>
      </c>
      <c r="F167" s="11" t="n">
        <v>10.6</v>
      </c>
      <c r="G167" s="12" t="n">
        <v>4.7</v>
      </c>
      <c r="H167" s="12" t="n">
        <v>8</v>
      </c>
      <c r="I167" s="12" t="n">
        <v>8</v>
      </c>
      <c r="J167" s="13" t="n">
        <f aca="false">IF(E167=0,"n/a",F167/E167-1)</f>
        <v>0.630769230769231</v>
      </c>
      <c r="K167" s="13" t="n">
        <f aca="false">IF(D167=0,"n/a",F167/D167-1)</f>
        <v>0.27710843373494</v>
      </c>
      <c r="L167" s="13" t="n">
        <f aca="false">IF(F167=0,"n/a",G167/F167-1)</f>
        <v>-0.556603773584906</v>
      </c>
      <c r="M167" s="13" t="n">
        <f aca="false">IF(F167=0,"n/a",H167/F167-1)</f>
        <v>-0.245283018867924</v>
      </c>
      <c r="N167" s="13" t="n">
        <f aca="false">IF(D167=0,"n/a",I167/D167-1)</f>
        <v>-0.0361445783132531</v>
      </c>
      <c r="O167" s="13" t="n">
        <f aca="false">IF(H167=0,"n/a",F167/H167)</f>
        <v>1.325</v>
      </c>
      <c r="P167" s="14" t="n">
        <f aca="false">I167-D167</f>
        <v>-0.300000000000001</v>
      </c>
      <c r="Q167" s="13" t="n">
        <f aca="false">F167/F$14</f>
        <v>0.00670886075949367</v>
      </c>
    </row>
    <row r="168" customFormat="false" ht="15" hidden="false" customHeight="false" outlineLevel="0" collapsed="false">
      <c r="A168" s="9" t="n">
        <v>162</v>
      </c>
      <c r="B168" s="9" t="s">
        <v>77</v>
      </c>
      <c r="C168" s="9" t="s">
        <v>61</v>
      </c>
      <c r="D168" s="11" t="n">
        <v>95.2</v>
      </c>
      <c r="E168" s="11" t="n">
        <v>136.5</v>
      </c>
      <c r="F168" s="11" t="n">
        <v>121.9</v>
      </c>
      <c r="G168" s="12" t="n">
        <v>150.3</v>
      </c>
      <c r="H168" s="12" t="n">
        <v>133</v>
      </c>
      <c r="I168" s="12" t="n">
        <v>147</v>
      </c>
      <c r="J168" s="13" t="n">
        <f aca="false">IF(E168=0,"n/a",F168/E168-1)</f>
        <v>-0.106959706959707</v>
      </c>
      <c r="K168" s="13" t="n">
        <f aca="false">IF(D168=0,"n/a",F168/D168-1)</f>
        <v>0.28046218487395</v>
      </c>
      <c r="L168" s="13" t="n">
        <f aca="false">IF(F168=0,"n/a",G168/F168-1)</f>
        <v>0.232977850697293</v>
      </c>
      <c r="M168" s="13" t="n">
        <f aca="false">IF(F168=0,"n/a",H168/F168-1)</f>
        <v>0.0910582444626742</v>
      </c>
      <c r="N168" s="13" t="n">
        <f aca="false">IF(D168=0,"n/a",I168/D168-1)</f>
        <v>0.544117647058823</v>
      </c>
      <c r="O168" s="13" t="n">
        <f aca="false">IF(H168=0,"n/a",F168/H168)</f>
        <v>0.916541353383459</v>
      </c>
      <c r="P168" s="14" t="n">
        <f aca="false">I168-D168</f>
        <v>51.8</v>
      </c>
      <c r="Q168" s="13" t="n">
        <f aca="false">F168/F$15</f>
        <v>0.0033429315782257</v>
      </c>
    </row>
    <row r="169" customFormat="false" ht="15" hidden="false" customHeight="false" outlineLevel="0" collapsed="false">
      <c r="A169" s="9" t="n">
        <v>163</v>
      </c>
      <c r="B169" s="9" t="s">
        <v>77</v>
      </c>
      <c r="C169" s="9" t="s">
        <v>62</v>
      </c>
      <c r="D169" s="11" t="n">
        <v>170.3</v>
      </c>
      <c r="E169" s="11" t="n">
        <v>206.3</v>
      </c>
      <c r="F169" s="11" t="n">
        <v>189.3</v>
      </c>
      <c r="G169" s="12" t="n">
        <v>210.3</v>
      </c>
      <c r="H169" s="12" t="n">
        <v>225</v>
      </c>
      <c r="I169" s="12" t="n">
        <v>245</v>
      </c>
      <c r="J169" s="13" t="n">
        <f aca="false">IF(E169=0,"n/a",F169/E169-1)</f>
        <v>-0.082404265632574</v>
      </c>
      <c r="K169" s="13" t="n">
        <f aca="false">IF(D169=0,"n/a",F169/D169-1)</f>
        <v>0.111567821491486</v>
      </c>
      <c r="L169" s="13" t="n">
        <f aca="false">IF(F169=0,"n/a",G169/F169-1)</f>
        <v>0.110935023771791</v>
      </c>
      <c r="M169" s="13" t="n">
        <f aca="false">IF(F169=0,"n/a",H169/F169-1)</f>
        <v>0.188589540412044</v>
      </c>
      <c r="N169" s="13" t="n">
        <f aca="false">IF(D169=0,"n/a",I169/D169-1)</f>
        <v>0.438637698179683</v>
      </c>
      <c r="O169" s="13" t="n">
        <f aca="false">IF(H169=0,"n/a",F169/H169)</f>
        <v>0.841333333333333</v>
      </c>
      <c r="P169" s="14" t="n">
        <f aca="false">I169-D169</f>
        <v>74.7</v>
      </c>
      <c r="Q169" s="13" t="n">
        <f aca="false">F169/F$16</f>
        <v>0.00424544170086793</v>
      </c>
    </row>
    <row r="170" customFormat="false" ht="15" hidden="false" customHeight="false" outlineLevel="0" collapsed="false">
      <c r="A170" s="9" t="n">
        <v>164</v>
      </c>
      <c r="B170" s="9" t="s">
        <v>77</v>
      </c>
      <c r="C170" s="15" t="s">
        <v>63</v>
      </c>
      <c r="D170" s="13" t="n">
        <f aca="false">(D162+D163)/D165</f>
        <v>0.54025974025974</v>
      </c>
      <c r="E170" s="13" t="n">
        <f aca="false">(E162+E163)/E165</f>
        <v>0.412414318354912</v>
      </c>
      <c r="F170" s="13" t="n">
        <f aca="false">(F162+F163)/F165</f>
        <v>0.467435549525102</v>
      </c>
      <c r="G170" s="13" t="n">
        <f aca="false">(G162+G163)/G165</f>
        <v>0.263440860215054</v>
      </c>
      <c r="H170" s="13" t="n">
        <f aca="false">(H162+H163)/H165</f>
        <v>0.493617021276596</v>
      </c>
      <c r="I170" s="13" t="n">
        <f aca="false">(I162+I163)/I165</f>
        <v>0.493617021276596</v>
      </c>
    </row>
    <row r="171" customFormat="false" ht="15" hidden="false" customHeight="false" outlineLevel="0" collapsed="false">
      <c r="A171" s="9" t="n">
        <v>165</v>
      </c>
      <c r="B171" s="9" t="s">
        <v>77</v>
      </c>
      <c r="C171" s="15" t="s">
        <v>64</v>
      </c>
      <c r="D171" s="13" t="n">
        <f aca="false">(D166+D167)/D169</f>
        <v>0.440986494421609</v>
      </c>
      <c r="E171" s="13" t="n">
        <f aca="false">(E166+E167)/E169</f>
        <v>0.338342220067862</v>
      </c>
      <c r="F171" s="13" t="n">
        <f aca="false">(F166+F167)/F169</f>
        <v>0.356576862123613</v>
      </c>
      <c r="G171" s="13" t="n">
        <f aca="false">(G166+G167)/G169</f>
        <v>0.285306704707561</v>
      </c>
      <c r="H171" s="13" t="n">
        <f aca="false">(H166+H167)/H169</f>
        <v>0.408888888888889</v>
      </c>
      <c r="I171" s="13" t="n">
        <f aca="false">(I166+I167)/I169</f>
        <v>0.4</v>
      </c>
    </row>
    <row r="172" customFormat="false" ht="15" hidden="false" customHeight="false" outlineLevel="0" collapsed="false">
      <c r="A172" s="9" t="n">
        <v>166</v>
      </c>
      <c r="B172" s="9" t="s">
        <v>77</v>
      </c>
      <c r="C172" s="15" t="s">
        <v>65</v>
      </c>
      <c r="D172" s="16" t="n">
        <f aca="false">D160/D161</f>
        <v>1.77659574468085</v>
      </c>
      <c r="E172" s="16" t="n">
        <f aca="false">E160/E161</f>
        <v>1.26625386996904</v>
      </c>
      <c r="F172" s="16" t="n">
        <f aca="false">F160/F161</f>
        <v>1.13983001513564</v>
      </c>
      <c r="G172" s="16" t="n">
        <f aca="false">G160/G161</f>
        <v>0.988530857454943</v>
      </c>
      <c r="H172" s="16" t="n">
        <f aca="false">H160/H161</f>
        <v>1.14972527472527</v>
      </c>
      <c r="I172" s="16" t="n">
        <f aca="false">I160/I161</f>
        <v>1.20489690721649</v>
      </c>
    </row>
    <row r="173" customFormat="false" ht="15" hidden="false" customHeight="false" outlineLevel="0" collapsed="false">
      <c r="A173" s="9" t="n">
        <v>167</v>
      </c>
      <c r="B173" s="9" t="s">
        <v>77</v>
      </c>
      <c r="C173" s="15" t="s">
        <v>66</v>
      </c>
      <c r="D173" s="16" t="n">
        <f aca="false">D165/D169</f>
        <v>0.904286553141515</v>
      </c>
      <c r="E173" s="16" t="n">
        <f aca="false">E165/E169</f>
        <v>1.27290353853611</v>
      </c>
      <c r="F173" s="16" t="n">
        <f aca="false">F165/F169</f>
        <v>1.55731642894876</v>
      </c>
      <c r="G173" s="16" t="n">
        <f aca="false">G165/G169</f>
        <v>0.796005706134094</v>
      </c>
      <c r="H173" s="16" t="n">
        <f aca="false">H165/H169</f>
        <v>1.04444444444444</v>
      </c>
      <c r="I173" s="16" t="n">
        <f aca="false">I165/I169</f>
        <v>0.959183673469388</v>
      </c>
    </row>
    <row r="174" customFormat="false" ht="15" hidden="false" customHeight="false" outlineLevel="0" collapsed="false">
      <c r="A174" s="9" t="n">
        <v>168</v>
      </c>
      <c r="B174" s="9" t="s">
        <v>77</v>
      </c>
      <c r="C174" s="15" t="s">
        <v>67</v>
      </c>
      <c r="D174" s="16" t="n">
        <f aca="false">D160/D165</f>
        <v>5.53051948051948</v>
      </c>
      <c r="E174" s="16" t="n">
        <f aca="false">E160/E165</f>
        <v>1.86900228484387</v>
      </c>
      <c r="F174" s="16" t="n">
        <f aca="false">F160/F165</f>
        <v>3.32089552238806</v>
      </c>
      <c r="G174" s="16" t="n">
        <f aca="false">G160/G165</f>
        <v>5.40621266427718</v>
      </c>
      <c r="H174" s="16" t="n">
        <f aca="false">H160/H165</f>
        <v>3.56170212765957</v>
      </c>
      <c r="I174" s="16" t="n">
        <f aca="false">I160/I165</f>
        <v>3.97872340425532</v>
      </c>
    </row>
    <row r="175" customFormat="false" ht="15" hidden="false" customHeight="false" outlineLevel="0" collapsed="false">
      <c r="A175" s="9" t="n">
        <v>169</v>
      </c>
      <c r="B175" s="9" t="s">
        <v>77</v>
      </c>
      <c r="C175" s="15" t="s">
        <v>68</v>
      </c>
      <c r="D175" s="14" t="n">
        <f aca="false">D162+D163+D164-D165</f>
        <v>0</v>
      </c>
      <c r="E175" s="14" t="n">
        <f aca="false">E162+E163+E164-E165</f>
        <v>0</v>
      </c>
      <c r="F175" s="14" t="n">
        <f aca="false">F162+F163+F164-F165</f>
        <v>0</v>
      </c>
      <c r="G175" s="14" t="n">
        <f aca="false">G162+G163+G164-G165</f>
        <v>0</v>
      </c>
      <c r="H175" s="14" t="n">
        <f aca="false">H162+H163+H164-H165</f>
        <v>0</v>
      </c>
      <c r="I175" s="14" t="n">
        <f aca="false">I162+I163+I164-I165</f>
        <v>0</v>
      </c>
    </row>
    <row r="177" customFormat="false" ht="15" hidden="false" customHeight="false" outlineLevel="0" collapsed="false">
      <c r="A177" s="4" t="s">
        <v>78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customFormat="false" ht="15" hidden="false" customHeight="false" outlineLevel="0" collapsed="false">
      <c r="A178" s="8" t="s">
        <v>35</v>
      </c>
      <c r="B178" s="8" t="s">
        <v>79</v>
      </c>
      <c r="C178" s="8"/>
      <c r="D178" s="8" t="s">
        <v>38</v>
      </c>
      <c r="E178" s="8" t="s">
        <v>39</v>
      </c>
      <c r="F178" s="8" t="s">
        <v>40</v>
      </c>
      <c r="G178" s="8" t="s">
        <v>41</v>
      </c>
      <c r="H178" s="8" t="s">
        <v>42</v>
      </c>
      <c r="I178" s="8" t="s">
        <v>43</v>
      </c>
    </row>
    <row r="179" customFormat="false" ht="15" hidden="false" customHeight="false" outlineLevel="0" collapsed="false">
      <c r="A179" s="9" t="n">
        <v>2</v>
      </c>
      <c r="B179" s="17" t="s">
        <v>80</v>
      </c>
      <c r="D179" s="14" t="n">
        <f aca="false">D24+D41+D58+D75+D92+D109+D126+D143+D160-D7</f>
        <v>0.399999999994179</v>
      </c>
      <c r="E179" s="14" t="n">
        <f aca="false">E24+E41+E58+E75+E92+E109+E126+E143+E160-E7</f>
        <v>-19.4000000000015</v>
      </c>
      <c r="F179" s="14" t="n">
        <f aca="false">F24+F41+F58+F75+F92+F109+F126+F143+F160-F7</f>
        <v>0.200000000004366</v>
      </c>
      <c r="G179" s="14" t="n">
        <f aca="false">G24+G41+G58+G75+G92+G109+G126+G143+G160-G7</f>
        <v>0.599999999998545</v>
      </c>
      <c r="H179" s="14" t="n">
        <f aca="false">H24+H41+H58+H75+H92+H109+H126+H143+H160-H7</f>
        <v>-442</v>
      </c>
      <c r="I179" s="14" t="n">
        <f aca="false">I24+I41+I58+I75+I92+I109+I126+I143+I160-I7</f>
        <v>185</v>
      </c>
    </row>
    <row r="180" customFormat="false" ht="15" hidden="false" customHeight="false" outlineLevel="0" collapsed="false">
      <c r="A180" s="9" t="n">
        <v>3</v>
      </c>
      <c r="B180" s="17" t="s">
        <v>81</v>
      </c>
      <c r="D180" s="14" t="n">
        <f aca="false">D25+D42+D59+D76+D93+D110+D127+D144+D161-D8</f>
        <v>-2.69999999999709</v>
      </c>
      <c r="E180" s="14" t="n">
        <f aca="false">E25+E42+E59+E76+E93+E110+E127+E144+E161-E8</f>
        <v>-4.40000000000146</v>
      </c>
      <c r="F180" s="14" t="n">
        <f aca="false">F25+F42+F59+F76+F93+F110+F127+F144+F161-F8</f>
        <v>0.100000000005821</v>
      </c>
      <c r="G180" s="14" t="n">
        <f aca="false">G25+G42+G59+G76+G93+G110+G127+G144+G161-G8</f>
        <v>-0.599999999998545</v>
      </c>
      <c r="H180" s="14" t="n">
        <f aca="false">H25+H42+H59+H76+H93+H110+H127+H144+H161-H8</f>
        <v>925</v>
      </c>
      <c r="I180" s="14" t="n">
        <f aca="false">I25+I42+I59+I76+I93+I110+I127+I144+I161-I8</f>
        <v>78</v>
      </c>
    </row>
    <row r="181" customFormat="false" ht="23.85" hidden="false" customHeight="false" outlineLevel="0" collapsed="false">
      <c r="A181" s="9" t="n">
        <v>4</v>
      </c>
      <c r="B181" s="17" t="s">
        <v>82</v>
      </c>
      <c r="D181" s="14" t="n">
        <f aca="false">D29+D46+D63+D80+D97+D114+D131+D148+D165-D12</f>
        <v>17030.7</v>
      </c>
      <c r="E181" s="14" t="n">
        <f aca="false">E29+E46+E63+E80+E97+E114+E131+E148+E165-E12</f>
        <v>14258.3</v>
      </c>
      <c r="F181" s="14" t="n">
        <f aca="false">F29+F46+F63+F80+F97+F114+F131+F148+F165-F12</f>
        <v>15141.4</v>
      </c>
      <c r="G181" s="14" t="n">
        <f aca="false">G29+G46+G63+G80+G97+G114+G131+G148+G165-G12</f>
        <v>13311.2</v>
      </c>
      <c r="H181" s="14" t="n">
        <f aca="false">H29+H46+H63+H80+H97+H114+H131+H148+H165-H12</f>
        <v>17484</v>
      </c>
      <c r="I181" s="14" t="n">
        <f aca="false">I29+I46+I63+I80+I97+I114+I131+I148+I165-I12</f>
        <v>23532</v>
      </c>
    </row>
    <row r="182" customFormat="false" ht="23.85" hidden="false" customHeight="false" outlineLevel="0" collapsed="false">
      <c r="A182" s="9" t="n">
        <v>5</v>
      </c>
      <c r="B182" s="17" t="s">
        <v>83</v>
      </c>
      <c r="D182" s="14" t="n">
        <f aca="false">D29+D80+D97+D114+D131+D148+D165-D12</f>
        <v>-9583.3</v>
      </c>
      <c r="E182" s="14" t="n">
        <f aca="false">E29+E80+E97+E114+E131+E148+E165-E12</f>
        <v>-8369.7</v>
      </c>
      <c r="F182" s="14" t="n">
        <f aca="false">F29+F80+F97+F114+F131+F148+F165-F12</f>
        <v>-8920.6</v>
      </c>
      <c r="G182" s="14" t="n">
        <f aca="false">G29+G80+G97+G114+G131+G148+G165-G12</f>
        <v>-8308.8</v>
      </c>
      <c r="H182" s="14" t="n">
        <f aca="false">H29+H80+H97+H114+H131+H148+H165-H12</f>
        <v>-9116</v>
      </c>
      <c r="I182" s="14" t="n">
        <f aca="false">I29+I80+I97+I114+I131+I148+I165-I12</f>
        <v>-9760</v>
      </c>
    </row>
    <row r="183" customFormat="false" ht="23.85" hidden="false" customHeight="false" outlineLevel="0" collapsed="false">
      <c r="A183" s="9" t="n">
        <v>6</v>
      </c>
      <c r="B183" s="17" t="s">
        <v>84</v>
      </c>
      <c r="D183" s="14" t="n">
        <f aca="false">D33+D84+D101+D118+D135+D152+D169-D16</f>
        <v>-8152.9</v>
      </c>
      <c r="E183" s="14" t="n">
        <f aca="false">E33+E84+E101+E118+E135+E152+E169-E16</f>
        <v>-8033.2</v>
      </c>
      <c r="F183" s="14" t="n">
        <f aca="false">F33+F84+F101+F118+F135+F152+F169-F16</f>
        <v>-9053.2</v>
      </c>
      <c r="G183" s="14" t="n">
        <f aca="false">G33+G84+G101+G118+G135+G152+G169-G16</f>
        <v>-8299.3</v>
      </c>
      <c r="H183" s="14" t="n">
        <f aca="false">H33+H84+H101+H118+H135+H152+H169-H16</f>
        <v>-8864</v>
      </c>
      <c r="I183" s="14" t="n">
        <f aca="false">I33+I84+I101+I118+I135+I152+I169-I16</f>
        <v>-9692</v>
      </c>
    </row>
    <row r="184" customFormat="false" ht="23.85" hidden="false" customHeight="false" outlineLevel="0" collapsed="false">
      <c r="A184" s="9" t="n">
        <v>7</v>
      </c>
      <c r="B184" s="17" t="s">
        <v>85</v>
      </c>
      <c r="D184" s="14" t="n">
        <f aca="false">D26+D77+D94+D111+D128+D145+D162-D9</f>
        <v>-2600.2</v>
      </c>
      <c r="E184" s="14" t="n">
        <f aca="false">E26+E77+E94+E111+E128+E145+E162-E9</f>
        <v>-1930</v>
      </c>
      <c r="F184" s="14" t="n">
        <f aca="false">F26+F77+F94+F111+F128+F145+F162-F9</f>
        <v>-2104.9</v>
      </c>
      <c r="G184" s="14" t="n">
        <f aca="false">G26+G77+G94+G111+G128+G145+G162-G9</f>
        <v>-1754.3</v>
      </c>
      <c r="H184" s="14" t="n">
        <f aca="false">H26+H77+H94+H111+H128+H145+H162-H9</f>
        <v>-928</v>
      </c>
      <c r="I184" s="14" t="n">
        <f aca="false">I26+I77+I94+I111+I128+I145+I162-I9</f>
        <v>-998</v>
      </c>
    </row>
    <row r="186" customFormat="false" ht="15" hidden="false" customHeight="false" outlineLevel="0" collapsed="false">
      <c r="A186" s="4" t="s">
        <v>86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customFormat="false" ht="23.85" hidden="false" customHeight="false" outlineLevel="0" collapsed="false">
      <c r="A187" s="8" t="s">
        <v>35</v>
      </c>
      <c r="B187" s="8" t="s">
        <v>87</v>
      </c>
      <c r="C187" s="8" t="s">
        <v>88</v>
      </c>
      <c r="D187" s="8" t="s">
        <v>89</v>
      </c>
      <c r="E187" s="8" t="s">
        <v>90</v>
      </c>
    </row>
    <row r="188" customFormat="false" ht="113.4" hidden="false" customHeight="false" outlineLevel="0" collapsed="false">
      <c r="A188" s="9" t="n">
        <v>1</v>
      </c>
      <c r="B188" s="18" t="s">
        <v>91</v>
      </c>
      <c r="C188" s="14" t="n">
        <f aca="false">F181</f>
        <v>15141.4</v>
      </c>
      <c r="D188" s="9" t="s">
        <v>92</v>
      </c>
      <c r="E188" s="17" t="s">
        <v>93</v>
      </c>
    </row>
    <row r="189" customFormat="false" ht="68.65" hidden="false" customHeight="false" outlineLevel="0" collapsed="false">
      <c r="A189" s="9" t="n">
        <v>2</v>
      </c>
      <c r="B189" s="18" t="s">
        <v>94</v>
      </c>
      <c r="C189" s="14" t="n">
        <f aca="false">F179</f>
        <v>0.200000000004366</v>
      </c>
      <c r="D189" s="9" t="s">
        <v>92</v>
      </c>
      <c r="E189" s="17" t="s">
        <v>95</v>
      </c>
    </row>
    <row r="190" customFormat="false" ht="46.25" hidden="false" customHeight="false" outlineLevel="0" collapsed="false">
      <c r="A190" s="9" t="n">
        <v>3</v>
      </c>
      <c r="B190" s="18" t="s">
        <v>96</v>
      </c>
      <c r="C190" s="14" t="n">
        <f aca="false">F126</f>
        <v>4008</v>
      </c>
      <c r="D190" s="9" t="s">
        <v>92</v>
      </c>
      <c r="E190" s="17" t="s">
        <v>97</v>
      </c>
    </row>
    <row r="191" customFormat="false" ht="102.2" hidden="false" customHeight="false" outlineLevel="0" collapsed="false">
      <c r="A191" s="9" t="n">
        <v>4</v>
      </c>
      <c r="B191" s="18" t="s">
        <v>98</v>
      </c>
      <c r="C191" s="13" t="n">
        <f aca="false">F9/D9-1</f>
        <v>-0.477747959297775</v>
      </c>
      <c r="D191" s="9" t="s">
        <v>99</v>
      </c>
      <c r="E191" s="17" t="s">
        <v>100</v>
      </c>
    </row>
    <row r="192" customFormat="false" ht="57.45" hidden="false" customHeight="false" outlineLevel="0" collapsed="false">
      <c r="A192" s="9" t="n">
        <v>5</v>
      </c>
      <c r="B192" s="18" t="s">
        <v>101</v>
      </c>
      <c r="C192" s="13" t="n">
        <f aca="false">K97</f>
        <v>-0.492190305206463</v>
      </c>
      <c r="D192" s="9" t="s">
        <v>99</v>
      </c>
      <c r="E192" s="17" t="s">
        <v>102</v>
      </c>
    </row>
    <row r="193" customFormat="false" ht="35.05" hidden="false" customHeight="false" outlineLevel="0" collapsed="false">
      <c r="A193" s="9" t="n">
        <v>6</v>
      </c>
      <c r="B193" s="18" t="s">
        <v>103</v>
      </c>
      <c r="C193" s="14" t="n">
        <f aca="false">G7-51950</f>
        <v>339</v>
      </c>
      <c r="D193" s="9" t="s">
        <v>92</v>
      </c>
      <c r="E193" s="17" t="s">
        <v>104</v>
      </c>
    </row>
    <row r="195" customFormat="false" ht="15" hidden="false" customHeight="false" outlineLevel="0" collapsed="false">
      <c r="A195" s="4" t="s">
        <v>105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7" customFormat="false" ht="15" hidden="false" customHeight="false" outlineLevel="0" collapsed="false">
      <c r="A197" s="4" t="s">
        <v>106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customFormat="false" ht="23.85" hidden="false" customHeight="false" outlineLevel="0" collapsed="false">
      <c r="A198" s="8" t="s">
        <v>35</v>
      </c>
      <c r="B198" s="8" t="s">
        <v>107</v>
      </c>
      <c r="C198" s="8" t="s">
        <v>108</v>
      </c>
      <c r="D198" s="8" t="s">
        <v>109</v>
      </c>
      <c r="E198" s="8" t="s">
        <v>110</v>
      </c>
      <c r="F198" s="8" t="s">
        <v>89</v>
      </c>
      <c r="G198" s="8" t="s">
        <v>111</v>
      </c>
    </row>
    <row r="199" customFormat="false" ht="23.85" hidden="false" customHeight="false" outlineLevel="0" collapsed="false">
      <c r="A199" s="9" t="n">
        <v>1</v>
      </c>
      <c r="B199" s="10" t="s">
        <v>112</v>
      </c>
      <c r="C199" s="17" t="s">
        <v>113</v>
      </c>
      <c r="D199" s="17" t="s">
        <v>114</v>
      </c>
      <c r="E199" s="14" t="n">
        <f aca="false">F7</f>
        <v>51323</v>
      </c>
      <c r="F199" s="9" t="s">
        <v>92</v>
      </c>
      <c r="G199" s="17"/>
    </row>
    <row r="200" customFormat="false" ht="35.05" hidden="false" customHeight="false" outlineLevel="0" collapsed="false">
      <c r="A200" s="9" t="n">
        <v>2</v>
      </c>
      <c r="B200" s="10" t="s">
        <v>112</v>
      </c>
      <c r="C200" s="17" t="s">
        <v>115</v>
      </c>
      <c r="D200" s="17" t="s">
        <v>116</v>
      </c>
      <c r="E200" s="14" t="n">
        <f aca="false">I24</f>
        <v>24158</v>
      </c>
      <c r="F200" s="9" t="s">
        <v>92</v>
      </c>
      <c r="G200" s="17"/>
    </row>
    <row r="201" customFormat="false" ht="23.85" hidden="false" customHeight="false" outlineLevel="0" collapsed="false">
      <c r="A201" s="9" t="n">
        <v>3</v>
      </c>
      <c r="B201" s="10" t="s">
        <v>112</v>
      </c>
      <c r="C201" s="17" t="s">
        <v>117</v>
      </c>
      <c r="D201" s="17" t="s">
        <v>114</v>
      </c>
      <c r="E201" s="14" t="n">
        <f aca="false">E97</f>
        <v>7995</v>
      </c>
      <c r="F201" s="9" t="s">
        <v>92</v>
      </c>
      <c r="G201" s="17"/>
    </row>
    <row r="202" customFormat="false" ht="35.05" hidden="false" customHeight="false" outlineLevel="0" collapsed="false">
      <c r="A202" s="9" t="n">
        <v>4</v>
      </c>
      <c r="B202" s="10" t="s">
        <v>118</v>
      </c>
      <c r="C202" s="17" t="s">
        <v>119</v>
      </c>
      <c r="D202" s="17" t="s">
        <v>120</v>
      </c>
      <c r="E202" s="13" t="n">
        <f aca="false">J7</f>
        <v>0.341567335842744</v>
      </c>
      <c r="F202" s="9" t="s">
        <v>99</v>
      </c>
      <c r="G202" s="17"/>
    </row>
    <row r="203" customFormat="false" ht="23.85" hidden="false" customHeight="false" outlineLevel="0" collapsed="false">
      <c r="A203" s="9" t="n">
        <v>5</v>
      </c>
      <c r="B203" s="10" t="s">
        <v>118</v>
      </c>
      <c r="C203" s="17" t="s">
        <v>121</v>
      </c>
      <c r="D203" s="17" t="s">
        <v>122</v>
      </c>
      <c r="E203" s="13" t="n">
        <f aca="false">F17</f>
        <v>0.254103982806713</v>
      </c>
      <c r="F203" s="9" t="s">
        <v>99</v>
      </c>
      <c r="G203" s="17"/>
    </row>
    <row r="204" customFormat="false" ht="35.05" hidden="false" customHeight="false" outlineLevel="0" collapsed="false">
      <c r="A204" s="9" t="n">
        <v>6</v>
      </c>
      <c r="B204" s="10" t="s">
        <v>118</v>
      </c>
      <c r="C204" s="17" t="s">
        <v>123</v>
      </c>
      <c r="D204" s="17" t="s">
        <v>124</v>
      </c>
      <c r="E204" s="13" t="n">
        <f aca="false">O7</f>
        <v>0.966571245621304</v>
      </c>
      <c r="F204" s="9" t="s">
        <v>99</v>
      </c>
      <c r="G204" s="17"/>
    </row>
    <row r="205" customFormat="false" ht="35.05" hidden="false" customHeight="false" outlineLevel="0" collapsed="false">
      <c r="A205" s="9" t="n">
        <v>7</v>
      </c>
      <c r="B205" s="10" t="s">
        <v>118</v>
      </c>
      <c r="C205" s="17" t="s">
        <v>125</v>
      </c>
      <c r="D205" s="17" t="s">
        <v>126</v>
      </c>
      <c r="E205" s="13" t="n">
        <f aca="false">N7</f>
        <v>0.264146567717996</v>
      </c>
      <c r="F205" s="9" t="s">
        <v>99</v>
      </c>
      <c r="G205" s="17"/>
    </row>
    <row r="206" customFormat="false" ht="124.6" hidden="false" customHeight="false" outlineLevel="0" collapsed="false">
      <c r="A206" s="9" t="n">
        <v>8</v>
      </c>
      <c r="B206" s="10" t="s">
        <v>127</v>
      </c>
      <c r="C206" s="17" t="s">
        <v>128</v>
      </c>
      <c r="D206" s="17" t="s">
        <v>129</v>
      </c>
      <c r="E206" s="14" t="n">
        <f aca="false">G8-H8</f>
        <v>1767</v>
      </c>
      <c r="F206" s="9" t="s">
        <v>92</v>
      </c>
      <c r="G206" s="17" t="s">
        <v>130</v>
      </c>
    </row>
    <row r="207" customFormat="false" ht="57.45" hidden="false" customHeight="false" outlineLevel="0" collapsed="false">
      <c r="A207" s="9" t="n">
        <v>9</v>
      </c>
      <c r="B207" s="10" t="s">
        <v>127</v>
      </c>
      <c r="C207" s="17" t="s">
        <v>131</v>
      </c>
      <c r="D207" s="17" t="s">
        <v>132</v>
      </c>
      <c r="E207" s="13" t="n">
        <f aca="false">(F97-D97)/(F12-D12)</f>
        <v>0.587548221174454</v>
      </c>
      <c r="F207" s="9" t="s">
        <v>99</v>
      </c>
      <c r="G207" s="17" t="s">
        <v>133</v>
      </c>
    </row>
    <row r="208" customFormat="false" ht="79.85" hidden="false" customHeight="false" outlineLevel="0" collapsed="false">
      <c r="A208" s="9" t="n">
        <v>10</v>
      </c>
      <c r="B208" s="10" t="s">
        <v>127</v>
      </c>
      <c r="C208" s="17" t="s">
        <v>134</v>
      </c>
      <c r="D208" s="17" t="s">
        <v>135</v>
      </c>
      <c r="E208" s="14" t="n">
        <f aca="false">F182</f>
        <v>-8920.6</v>
      </c>
      <c r="F208" s="9" t="s">
        <v>92</v>
      </c>
      <c r="G208" s="17" t="s">
        <v>136</v>
      </c>
    </row>
    <row r="210" customFormat="false" ht="15" hidden="false" customHeight="false" outlineLevel="0" collapsed="false">
      <c r="A210" s="4" t="s">
        <v>137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customFormat="false" ht="69.75" hidden="false" customHeight="true" outlineLevel="0" collapsed="false">
      <c r="A211" s="19" t="s">
        <v>138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3" customFormat="false" ht="15" hidden="false" customHeight="false" outlineLevel="0" collapsed="false">
      <c r="A213" s="3" t="s">
        <v>2</v>
      </c>
    </row>
  </sheetData>
  <mergeCells count="1">
    <mergeCell ref="A211:T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141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0" t="s">
        <v>142</v>
      </c>
      <c r="C6" s="20" t="s">
        <v>143</v>
      </c>
      <c r="D6" s="20"/>
      <c r="E6" s="20"/>
      <c r="F6" s="20"/>
    </row>
    <row r="7" customFormat="false" ht="15" hidden="false" customHeight="true" outlineLevel="0" collapsed="false">
      <c r="B7" s="10" t="s">
        <v>144</v>
      </c>
      <c r="C7" s="17" t="s">
        <v>145</v>
      </c>
      <c r="D7" s="17"/>
      <c r="E7" s="17"/>
      <c r="F7" s="17"/>
    </row>
    <row r="8" customFormat="false" ht="15" hidden="false" customHeight="true" outlineLevel="0" collapsed="false">
      <c r="B8" s="10" t="s">
        <v>146</v>
      </c>
      <c r="C8" s="17" t="s">
        <v>147</v>
      </c>
      <c r="D8" s="17"/>
      <c r="E8" s="17"/>
      <c r="F8" s="17"/>
    </row>
    <row r="9" customFormat="false" ht="15" hidden="false" customHeight="true" outlineLevel="0" collapsed="false">
      <c r="B9" s="10" t="s">
        <v>148</v>
      </c>
      <c r="C9" s="17" t="s">
        <v>149</v>
      </c>
      <c r="D9" s="17"/>
      <c r="E9" s="17"/>
      <c r="F9" s="17"/>
    </row>
    <row r="10" customFormat="false" ht="15" hidden="false" customHeight="true" outlineLevel="0" collapsed="false">
      <c r="B10" s="10" t="s">
        <v>150</v>
      </c>
      <c r="C10" s="17" t="s">
        <v>151</v>
      </c>
      <c r="D10" s="17"/>
      <c r="E10" s="17"/>
      <c r="F10" s="17"/>
    </row>
    <row r="11" customFormat="false" ht="15" hidden="false" customHeight="true" outlineLevel="0" collapsed="false">
      <c r="B11" s="10" t="s">
        <v>152</v>
      </c>
      <c r="C11" s="17" t="s">
        <v>153</v>
      </c>
      <c r="D11" s="17"/>
      <c r="E11" s="17"/>
      <c r="F11" s="17"/>
    </row>
    <row r="12" customFormat="false" ht="15" hidden="false" customHeight="true" outlineLevel="0" collapsed="false">
      <c r="B12" s="10" t="s">
        <v>154</v>
      </c>
      <c r="C12" s="17" t="s">
        <v>155</v>
      </c>
      <c r="D12" s="17"/>
      <c r="E12" s="17"/>
      <c r="F12" s="17"/>
    </row>
    <row r="13" customFormat="false" ht="15" hidden="false" customHeight="true" outlineLevel="0" collapsed="false">
      <c r="B13" s="10" t="s">
        <v>156</v>
      </c>
      <c r="C13" s="17" t="s">
        <v>122</v>
      </c>
      <c r="D13" s="17"/>
      <c r="E13" s="17"/>
      <c r="F13" s="17"/>
    </row>
    <row r="14" customFormat="false" ht="15" hidden="false" customHeight="true" outlineLevel="0" collapsed="false">
      <c r="B14" s="10" t="s">
        <v>157</v>
      </c>
      <c r="C14" s="17" t="s">
        <v>158</v>
      </c>
      <c r="D14" s="17"/>
      <c r="E14" s="17"/>
      <c r="F14" s="17"/>
    </row>
    <row r="15" customFormat="false" ht="15" hidden="false" customHeight="true" outlineLevel="0" collapsed="false">
      <c r="B15" s="10" t="s">
        <v>159</v>
      </c>
      <c r="C15" s="17" t="s">
        <v>160</v>
      </c>
      <c r="D15" s="17"/>
      <c r="E15" s="17"/>
      <c r="F15" s="17"/>
    </row>
    <row r="16" customFormat="false" ht="15" hidden="false" customHeight="true" outlineLevel="0" collapsed="false">
      <c r="B16" s="10" t="s">
        <v>161</v>
      </c>
      <c r="C16" s="17" t="s">
        <v>162</v>
      </c>
      <c r="D16" s="17"/>
      <c r="E16" s="17"/>
      <c r="F16" s="17"/>
    </row>
    <row r="17" customFormat="false" ht="15" hidden="false" customHeight="true" outlineLevel="0" collapsed="false">
      <c r="B17" s="10" t="s">
        <v>163</v>
      </c>
      <c r="C17" s="17" t="s">
        <v>164</v>
      </c>
      <c r="D17" s="17"/>
      <c r="E17" s="17"/>
      <c r="F17" s="17"/>
    </row>
    <row r="18" customFormat="false" ht="15" hidden="false" customHeight="false" outlineLevel="0" collapsed="false">
      <c r="B18" s="21" t="s">
        <v>165</v>
      </c>
    </row>
    <row r="20" customFormat="false" ht="15" hidden="false" customHeight="false" outlineLevel="0" collapsed="false">
      <c r="A20" s="4" t="s">
        <v>166</v>
      </c>
      <c r="B20" s="5"/>
      <c r="C20" s="5"/>
      <c r="D20" s="5"/>
      <c r="E20" s="5"/>
      <c r="F20" s="5"/>
    </row>
    <row r="21" customFormat="false" ht="15" hidden="false" customHeight="false" outlineLevel="0" collapsed="false">
      <c r="A21" s="8" t="s">
        <v>35</v>
      </c>
      <c r="B21" s="8" t="s">
        <v>167</v>
      </c>
      <c r="C21" s="8" t="s">
        <v>168</v>
      </c>
      <c r="D21" s="8" t="s">
        <v>169</v>
      </c>
      <c r="E21" s="8" t="s">
        <v>170</v>
      </c>
      <c r="F21" s="8" t="s">
        <v>171</v>
      </c>
    </row>
    <row r="22" customFormat="false" ht="23.85" hidden="false" customHeight="false" outlineLevel="0" collapsed="false">
      <c r="A22" s="9" t="n">
        <v>1</v>
      </c>
      <c r="B22" s="17" t="s">
        <v>172</v>
      </c>
      <c r="C22" s="17" t="s">
        <v>173</v>
      </c>
      <c r="D22" s="17" t="s">
        <v>144</v>
      </c>
      <c r="E22" s="17" t="s">
        <v>174</v>
      </c>
      <c r="F22" s="22" t="str">
        <f aca="false">"W ADV EOP "&amp;TEXT(B1_WB_Balance_Sheet!D7,"#,##0;-#,##0;0")&amp;" / "&amp;TEXT(B1_WB_Balance_Sheet!E7,"#,##0;-#,##0;0")&amp;" / "&amp;TEXT(B1_WB_Balance_Sheet!F7,"#,##0;-#,##0;0")&amp;" / "&amp;TEXT(B1_WB_Balance_Sheet!G7,"#,##0;-#,##0;0")&amp;" / "&amp;TEXT(B1_WB_Balance_Sheet!H7,"#,##0;-#,##0;0")&amp;" / "&amp;TEXT(B1_WB_Balance_Sheet!I7,"#,##0;-#,##0;0")</f>
        <v>W ADV EOP 47,432 / 38,256 / 51,323 / 52,289 / 53,098 / 59,961</v>
      </c>
    </row>
    <row r="23" customFormat="false" ht="15" hidden="false" customHeight="false" outlineLevel="0" collapsed="false">
      <c r="A23" s="9" t="n">
        <v>2</v>
      </c>
      <c r="B23" s="17" t="s">
        <v>172</v>
      </c>
      <c r="C23" s="17" t="s">
        <v>175</v>
      </c>
      <c r="D23" s="17" t="s">
        <v>176</v>
      </c>
      <c r="E23" s="17" t="s">
        <v>177</v>
      </c>
      <c r="F23" s="22" t="str">
        <f aca="false">TEXT(B1_WB_Balance_Sheet!D12,"#,##0;-#,##0;0")&amp;" / "&amp;TEXT(B1_WB_Balance_Sheet!E12,"#,##0;-#,##0;0")&amp;" / "&amp;TEXT(B1_WB_Balance_Sheet!F12,"#,##0;-#,##0;0")&amp;" / "&amp;TEXT(B1_WB_Balance_Sheet!G12,"#,##0;-#,##0;0")&amp;" / "&amp;TEXT(B1_WB_Balance_Sheet!H12,"#,##0;-#,##0;0")&amp;" / "&amp;TEXT(B1_WB_Balance_Sheet!I12,"#,##0;-#,##0;0")</f>
        <v>53,070 / 42,162 / 43,738 / 37,968 / 46,828 / 57,328</v>
      </c>
    </row>
    <row r="24" customFormat="false" ht="15" hidden="false" customHeight="false" outlineLevel="0" collapsed="false">
      <c r="A24" s="9" t="n">
        <v>3</v>
      </c>
      <c r="B24" s="17" t="s">
        <v>178</v>
      </c>
      <c r="C24" s="17" t="s">
        <v>179</v>
      </c>
      <c r="D24" s="17" t="s">
        <v>180</v>
      </c>
      <c r="E24" s="17" t="s">
        <v>177</v>
      </c>
      <c r="F24" s="22" t="str">
        <f aca="false">TEXT(B1_WB_Balance_Sheet!D179,"#,##0;-#,##0;0")&amp;" / "&amp;TEXT(B1_WB_Balance_Sheet!E179,"#,##0;-#,##0;0")&amp;" / "&amp;TEXT(B1_WB_Balance_Sheet!F179,"#,##0;-#,##0;0")&amp;" / "&amp;TEXT(B1_WB_Balance_Sheet!G179,"#,##0;-#,##0;0")&amp;" / "&amp;TEXT(B1_WB_Balance_Sheet!H179,"#,##0;-#,##0;0")&amp;" / "&amp;TEXT(B1_WB_Balance_Sheet!I179,"#,##0;-#,##0;0")</f>
        <v>0 / -19 / 0 / 1 / -442 / 185</v>
      </c>
    </row>
    <row r="25" customFormat="false" ht="15" hidden="false" customHeight="false" outlineLevel="0" collapsed="false">
      <c r="A25" s="9" t="n">
        <v>4</v>
      </c>
      <c r="B25" s="17" t="s">
        <v>178</v>
      </c>
      <c r="C25" s="17" t="s">
        <v>181</v>
      </c>
      <c r="D25" s="17" t="s">
        <v>182</v>
      </c>
      <c r="E25" s="17" t="s">
        <v>177</v>
      </c>
      <c r="F25" s="22" t="str">
        <f aca="false">TEXT(B1_WB_Balance_Sheet!D181,"#,##0;-#,##0;0")&amp;" / "&amp;TEXT(B1_WB_Balance_Sheet!E181,"#,##0;-#,##0;0")&amp;" / "&amp;TEXT(B1_WB_Balance_Sheet!F181,"#,##0;-#,##0;0")&amp;" / "&amp;TEXT(B1_WB_Balance_Sheet!G181,"#,##0;-#,##0;0")&amp;" / "&amp;TEXT(B1_WB_Balance_Sheet!H181,"#,##0;-#,##0;0")&amp;" / "&amp;TEXT(B1_WB_Balance_Sheet!I181,"#,##0;-#,##0;0")</f>
        <v>17,031 / 14,258 / 15,141 / 13,311 / 17,484 / 23,532</v>
      </c>
    </row>
    <row r="26" customFormat="false" ht="15" hidden="false" customHeight="false" outlineLevel="0" collapsed="false">
      <c r="A26" s="9" t="n">
        <v>5</v>
      </c>
      <c r="B26" s="17" t="s">
        <v>178</v>
      </c>
      <c r="C26" s="17" t="s">
        <v>183</v>
      </c>
      <c r="D26" s="17" t="s">
        <v>184</v>
      </c>
      <c r="E26" s="17" t="s">
        <v>177</v>
      </c>
      <c r="F26" s="22" t="str">
        <f aca="false">TEXT(B1_WB_Balance_Sheet!D182,"#,##0;-#,##0;0")&amp;" / "&amp;TEXT(B1_WB_Balance_Sheet!E182,"#,##0;-#,##0;0")&amp;" / "&amp;TEXT(B1_WB_Balance_Sheet!F182,"#,##0;-#,##0;0")&amp;" / "&amp;TEXT(B1_WB_Balance_Sheet!G182,"#,##0;-#,##0;0")&amp;" / "&amp;TEXT(B1_WB_Balance_Sheet!H182,"#,##0;-#,##0;0")&amp;" / "&amp;TEXT(B1_WB_Balance_Sheet!I182,"#,##0;-#,##0;0")</f>
        <v>-9,583 / -8,370 / -8,921 / -8,309 / -9,116 / -9,760</v>
      </c>
    </row>
    <row r="27" customFormat="false" ht="15" hidden="false" customHeight="false" outlineLevel="0" collapsed="false">
      <c r="A27" s="9" t="n">
        <v>6</v>
      </c>
      <c r="B27" s="17" t="s">
        <v>178</v>
      </c>
      <c r="C27" s="17" t="s">
        <v>185</v>
      </c>
      <c r="D27" s="17" t="s">
        <v>186</v>
      </c>
      <c r="E27" s="17" t="s">
        <v>187</v>
      </c>
      <c r="F27" s="22" t="str">
        <f aca="false">"W "&amp;TEXT(B1_WB_Balance_Sheet!D22,"#,##0;-#,##0;0")&amp;" / "&amp;TEXT(B1_WB_Balance_Sheet!E22,"#,##0;-#,##0;0")&amp;" / "&amp;TEXT(B1_WB_Balance_Sheet!F22,"#,##0;-#,##0;0")&amp;" / "&amp;TEXT(B1_WB_Balance_Sheet!G22,"#,##0;-#,##0;0")&amp;" / "&amp;TEXT(B1_WB_Balance_Sheet!H22,"#,##0;-#,##0;0")&amp;" / "&amp;TEXT(B1_WB_Balance_Sheet!I22,"#,##0;-#,##0;0")</f>
        <v>W 1 / 0 / 0 / 0 / 0 / 0</v>
      </c>
    </row>
    <row r="28" customFormat="false" ht="15" hidden="false" customHeight="false" outlineLevel="0" collapsed="false">
      <c r="A28" s="9" t="n">
        <v>7</v>
      </c>
      <c r="B28" s="17" t="s">
        <v>188</v>
      </c>
      <c r="C28" s="17" t="s">
        <v>189</v>
      </c>
      <c r="D28" s="17" t="s">
        <v>190</v>
      </c>
      <c r="E28" s="17" t="s">
        <v>191</v>
      </c>
      <c r="F28" s="22" t="str">
        <f aca="false">"W ADV EOP "&amp;TEXT(B1_WB_Balance_Sheet!J7,"+0.0%;-0.0%;0.0%")&amp;"; ADV AVG "&amp;TEXT(B1_WB_Balance_Sheet!J8,"+0.0%;-0.0%;0.0%")&amp;"; Dep EOP "&amp;TEXT(B1_WB_Balance_Sheet!J12,"+0.0%;-0.0%;0.0%")&amp;"; Dep AVG "&amp;TEXT(B1_WB_Balance_Sheet!J16,"+0.0%;-0.0%;0.0%")</f>
        <v>W ADV EOP +34.2%; ADV AVG +31.4%; Dep EOP +3.7%; Dep AVG +34.2%</v>
      </c>
    </row>
    <row r="29" customFormat="false" ht="15" hidden="false" customHeight="false" outlineLevel="0" collapsed="false">
      <c r="A29" s="9" t="n">
        <v>8</v>
      </c>
      <c r="B29" s="17" t="s">
        <v>188</v>
      </c>
      <c r="C29" s="17" t="s">
        <v>192</v>
      </c>
      <c r="D29" s="17" t="s">
        <v>193</v>
      </c>
      <c r="E29" s="17" t="s">
        <v>194</v>
      </c>
      <c r="F29" s="22" t="str">
        <f aca="false">TEXT(B1_WB_Balance_Sheet!J24,"+0.0%;-0.0%;0.0%")&amp;" / "&amp;TEXT(B1_WB_Balance_Sheet!J41,"+0.0%;-0.0%;0.0%")&amp;" / "&amp;TEXT(B1_WB_Balance_Sheet!J58,"+0.0%;-0.0%;0.0%")&amp;" / "&amp;TEXT(B1_WB_Balance_Sheet!J75,"+0.0%;-0.0%;0.0%")&amp;" / "&amp;TEXT(B1_WB_Balance_Sheet!J92,"+0.0%;-0.0%;0.0%")&amp;" / "&amp;TEXT(B1_WB_Balance_Sheet!J109,"+0.0%;-0.0%;0.0%")&amp;" / "&amp;TEXT(B1_WB_Balance_Sheet!J126,"+0.0%;-0.0%;0.0%")&amp;" / "&amp;TEXT(B1_WB_Balance_Sheet!J143,"+0.0%;-0.0%;0.0%")&amp;" / "&amp;TEXT(B1_WB_Balance_Sheet!J160,"+0.0%;-0.0%;0.0%")</f>
        <v>+27.8% / -58.8% / +36.6% / +21.0% / +41.5% / +33.1% / +58.6% / -98.5% / +99.5%</v>
      </c>
    </row>
    <row r="30" customFormat="false" ht="15" hidden="false" customHeight="false" outlineLevel="0" collapsed="false">
      <c r="A30" s="9" t="n">
        <v>9</v>
      </c>
      <c r="B30" s="17" t="s">
        <v>188</v>
      </c>
      <c r="C30" s="17" t="s">
        <v>195</v>
      </c>
      <c r="D30" s="17" t="s">
        <v>196</v>
      </c>
      <c r="E30" s="17" t="s">
        <v>197</v>
      </c>
      <c r="F30" s="22" t="str">
        <f aca="false">"W ADV "&amp;TEXT(B1_WB_Balance_Sheet!K7,"+0.0%;-0.0%;0.0%")&amp;"; W Dep "&amp;TEXT(B1_WB_Balance_Sheet!K12,"+0.0%;-0.0%;0.0%")&amp;"; W CA "&amp;TEXT(B1_WB_Balance_Sheet!K9,"+0.0%;-0.0%;0.0%")&amp;"; FIG Dep "&amp;TEXT(B1_WB_Balance_Sheet!K97,"+0.0%;-0.0%;0.0%")</f>
        <v>W ADV +8.2%; W Dep -17.6%; W CA -47.8%; FIG Dep -49.2%</v>
      </c>
    </row>
    <row r="31" customFormat="false" ht="15" hidden="false" customHeight="false" outlineLevel="0" collapsed="false">
      <c r="A31" s="9" t="n">
        <v>10</v>
      </c>
      <c r="B31" s="17" t="s">
        <v>188</v>
      </c>
      <c r="C31" s="17" t="s">
        <v>198</v>
      </c>
      <c r="D31" s="17" t="s">
        <v>199</v>
      </c>
      <c r="E31" s="17" t="s">
        <v>200</v>
      </c>
      <c r="F31" s="22" t="str">
        <f aca="false">"W ADV EOP "&amp;TEXT(B1_WB_Balance_Sheet!L7,"+0.0%;-0.0%;0.0%")&amp;"; W Dep EOP "&amp;TEXT(B1_WB_Balance_Sheet!L12,"+0.0%;-0.0%;0.0%")&amp;"; FIG Dep "&amp;TEXT(B1_WB_Balance_Sheet!L97,"+0.0%;-0.0%;0.0%")</f>
        <v>W ADV EOP +1.9%; W Dep EOP -13.2%; FIG Dep -35.5%</v>
      </c>
    </row>
    <row r="32" customFormat="false" ht="15" hidden="false" customHeight="false" outlineLevel="0" collapsed="false">
      <c r="A32" s="9" t="n">
        <v>11</v>
      </c>
      <c r="B32" s="17" t="s">
        <v>201</v>
      </c>
      <c r="C32" s="17" t="s">
        <v>202</v>
      </c>
      <c r="D32" s="17" t="s">
        <v>203</v>
      </c>
      <c r="E32" s="17" t="s">
        <v>200</v>
      </c>
      <c r="F32" s="22" t="str">
        <f aca="false">"W ADV EOP "&amp;TEXT(B1_WB_Balance_Sheet!N7,"+0.0%;-0.0%;0.0%")&amp;"; W Dep EOP "&amp;TEXT(B1_WB_Balance_Sheet!N12,"+0.0%;-0.0%;0.0%")&amp;"; W CA EOP "&amp;TEXT(B1_WB_Balance_Sheet!N9,"+0.0%;-0.0%;0.0%")&amp;"; CB ADV "&amp;TEXT(B1_WB_Balance_Sheet!N24,"+0.0%;-0.0%;0.0%")</f>
        <v>W ADV EOP +26.4%; W Dep EOP +8.0%; W CA EOP -19.3%; CB ADV +25.9%</v>
      </c>
    </row>
    <row r="33" customFormat="false" ht="15" hidden="false" customHeight="false" outlineLevel="0" collapsed="false">
      <c r="A33" s="9" t="n">
        <v>12</v>
      </c>
      <c r="B33" s="17" t="s">
        <v>201</v>
      </c>
      <c r="C33" s="17" t="s">
        <v>204</v>
      </c>
      <c r="D33" s="17" t="s">
        <v>205</v>
      </c>
      <c r="E33" s="17" t="s">
        <v>200</v>
      </c>
      <c r="F33" s="22" t="str">
        <f aca="false">"W ADV EOP "&amp;TEXT(B1_WB_Balance_Sheet!P7,"#,##0;-#,##0;0")&amp;"; W Dep EOP "&amp;TEXT(B1_WB_Balance_Sheet!P12,"#,##0;-#,##0;0")</f>
        <v>W ADV EOP 12,529; W Dep EOP 4,258</v>
      </c>
    </row>
    <row r="34" customFormat="false" ht="23.85" hidden="false" customHeight="false" outlineLevel="0" collapsed="false">
      <c r="A34" s="9" t="n">
        <v>13</v>
      </c>
      <c r="B34" s="17" t="s">
        <v>201</v>
      </c>
      <c r="C34" s="17" t="s">
        <v>206</v>
      </c>
      <c r="D34" s="17" t="s">
        <v>207</v>
      </c>
      <c r="E34" s="17" t="s">
        <v>194</v>
      </c>
      <c r="F34" s="22" t="str">
        <f aca="false">TEXT(B1_WB_Balance_Sheet!P24/B1_WB_Balance_Sheet!P7,"0.0%")&amp;" / "&amp;TEXT(B1_WB_Balance_Sheet!P41/B1_WB_Balance_Sheet!P7,"0.0%")&amp;" / "&amp;TEXT(B1_WB_Balance_Sheet!P58/B1_WB_Balance_Sheet!P7,"0.0%")&amp;" / "&amp;TEXT(B1_WB_Balance_Sheet!P75/B1_WB_Balance_Sheet!P7,"0.0%")&amp;" / "&amp;TEXT(B1_WB_Balance_Sheet!P92/B1_WB_Balance_Sheet!P7,"0.0%")&amp;" / "&amp;TEXT(B1_WB_Balance_Sheet!P109/B1_WB_Balance_Sheet!P7,"0.0%")&amp;" / "&amp;TEXT(B1_WB_Balance_Sheet!P126/B1_WB_Balance_Sheet!P7,"0.0%")&amp;" / "&amp;TEXT(B1_WB_Balance_Sheet!P143/B1_WB_Balance_Sheet!P7,"0.0%")&amp;" / "&amp;TEXT(B1_WB_Balance_Sheet!P160/B1_WB_Balance_Sheet!P7,"0.0%")</f>
        <v>39.7% / 1.2% / 30.4% / 4.2% / 14.4% / 2.0% / 5.3% / 3.7% / 0.7%</v>
      </c>
    </row>
    <row r="35" customFormat="false" ht="15" hidden="false" customHeight="false" outlineLevel="0" collapsed="false">
      <c r="A35" s="9" t="n">
        <v>14</v>
      </c>
      <c r="B35" s="17" t="s">
        <v>201</v>
      </c>
      <c r="C35" s="17" t="s">
        <v>208</v>
      </c>
      <c r="D35" s="17" t="s">
        <v>209</v>
      </c>
      <c r="E35" s="17" t="s">
        <v>200</v>
      </c>
      <c r="F35" s="22" t="str">
        <f aca="false">"W ADV EOP "&amp;TEXT(B1_WB_Balance_Sheet!O7,"0.0%")&amp;"; W Dep EOP "&amp;TEXT(B1_WB_Balance_Sheet!O12,"0.0%")&amp;"; W CA EOP "&amp;TEXT(B1_WB_Balance_Sheet!O9,"0.0%")</f>
        <v>W ADV EOP 96.7%; W Dep EOP 93.4%; W CA EOP 97.2%</v>
      </c>
    </row>
    <row r="36" customFormat="false" ht="15" hidden="false" customHeight="false" outlineLevel="0" collapsed="false">
      <c r="A36" s="9" t="n">
        <v>15</v>
      </c>
      <c r="B36" s="17" t="s">
        <v>201</v>
      </c>
      <c r="C36" s="17" t="s">
        <v>210</v>
      </c>
      <c r="D36" s="17" t="s">
        <v>211</v>
      </c>
      <c r="E36" s="17" t="s">
        <v>200</v>
      </c>
      <c r="F36" s="22" t="str">
        <f aca="false">"W ADV EOP "&amp;TEXT(B1_WB_Balance_Sheet!M7,"+0.0%;-0.0%;0.0%")&amp;"; W Dep EOP "&amp;TEXT(B1_WB_Balance_Sheet!M12,"+0.0%;-0.0%;0.0%")&amp;"; W ADV AVG "&amp;TEXT(B1_WB_Balance_Sheet!M8,"+0.0%;-0.0%;0.0%")</f>
        <v>W ADV EOP +3.5%; W Dep EOP +7.1%; W ADV AVG +4.5%</v>
      </c>
    </row>
    <row r="37" customFormat="false" ht="15" hidden="false" customHeight="false" outlineLevel="0" collapsed="false">
      <c r="A37" s="9" t="n">
        <v>16</v>
      </c>
      <c r="B37" s="17" t="s">
        <v>201</v>
      </c>
      <c r="C37" s="17" t="s">
        <v>212</v>
      </c>
      <c r="D37" s="17" t="s">
        <v>213</v>
      </c>
      <c r="E37" s="17" t="s">
        <v>200</v>
      </c>
      <c r="F37" s="22" t="str">
        <f aca="false">"W ADV AVG "&amp;TEXT(B1_WB_Balance_Sheet!G8-B1_WB_Balance_Sheet!H8,"#,##0;-#,##0;0")&amp;"; W Dep EOP "&amp;TEXT(B1_WB_Balance_Sheet!G12-B1_WB_Balance_Sheet!H12,"#,##0;-#,##0;0")</f>
        <v>W ADV AVG 1,767; W Dep EOP -8,860</v>
      </c>
    </row>
    <row r="38" customFormat="false" ht="15" hidden="false" customHeight="false" outlineLevel="0" collapsed="false">
      <c r="A38" s="9" t="n">
        <v>17</v>
      </c>
      <c r="B38" s="17" t="s">
        <v>201</v>
      </c>
      <c r="C38" s="17" t="s">
        <v>214</v>
      </c>
      <c r="D38" s="17" t="s">
        <v>215</v>
      </c>
      <c r="E38" s="17" t="s">
        <v>216</v>
      </c>
      <c r="F38" s="22" t="str">
        <f aca="false">"W ADV EOP "&amp;TEXT(B1_WB_Balance_Sheet!I7-B1_WB_Balance_Sheet!F7,"#,##0;-#,##0;0")&amp;" to add in 3 quarters"</f>
        <v>W ADV EOP 8,638 to add in 3 quarters</v>
      </c>
    </row>
    <row r="39" customFormat="false" ht="15" hidden="false" customHeight="false" outlineLevel="0" collapsed="false">
      <c r="A39" s="9" t="n">
        <v>18</v>
      </c>
      <c r="B39" s="17" t="s">
        <v>217</v>
      </c>
      <c r="C39" s="17" t="s">
        <v>218</v>
      </c>
      <c r="D39" s="17" t="s">
        <v>219</v>
      </c>
      <c r="E39" s="17" t="s">
        <v>220</v>
      </c>
      <c r="F39" s="22" t="str">
        <f aca="false">"ADV EOP "&amp;TEXT(B1_WB_Balance_Sheet!Q24,"0.0%")&amp;" / "&amp;TEXT(B1_WB_Balance_Sheet!Q41,"0.0%")&amp;" / "&amp;TEXT(B1_WB_Balance_Sheet!Q58,"0.0%")&amp;" / "&amp;TEXT(B1_WB_Balance_Sheet!Q75,"0.0%")&amp;" / "&amp;TEXT(B1_WB_Balance_Sheet!Q92,"0.0%")&amp;" / "&amp;TEXT(B1_WB_Balance_Sheet!Q109,"0.0%")&amp;" / "&amp;TEXT(B1_WB_Balance_Sheet!Q126,"0.0%")&amp;" / "&amp;TEXT(B1_WB_Balance_Sheet!Q143,"0.0%")&amp;" / "&amp;TEXT(B1_WB_Balance_Sheet!Q160,"0.0%")</f>
        <v>ADV EOP 41.1% / 0.3% / 27.9% / 3.2% / 16.0% / 1.8% / 7.8% / 0.0% / 1.9%</v>
      </c>
    </row>
    <row r="40" customFormat="false" ht="15" hidden="false" customHeight="false" outlineLevel="0" collapsed="false">
      <c r="A40" s="9" t="n">
        <v>19</v>
      </c>
      <c r="B40" s="17" t="s">
        <v>217</v>
      </c>
      <c r="C40" s="17" t="s">
        <v>63</v>
      </c>
      <c r="D40" s="17" t="s">
        <v>221</v>
      </c>
      <c r="E40" s="17" t="s">
        <v>187</v>
      </c>
      <c r="F40" s="22" t="str">
        <f aca="false">"W "&amp;TEXT(B1_WB_Balance_Sheet!D17,"0.0%")&amp;" / "&amp;TEXT(B1_WB_Balance_Sheet!E17,"0.0%")&amp;" / "&amp;TEXT(B1_WB_Balance_Sheet!F17,"0.0%")&amp;" / "&amp;TEXT(B1_WB_Balance_Sheet!G17,"0.0%")&amp;" / "&amp;TEXT(B1_WB_Balance_Sheet!H17,"0.0%")&amp;" / "&amp;TEXT(B1_WB_Balance_Sheet!I17,"0.0%")</f>
        <v>W 37.1% / 29.8% / 25.4% / 19.1% / 23.7% / 30.2%</v>
      </c>
    </row>
    <row r="41" customFormat="false" ht="15" hidden="false" customHeight="false" outlineLevel="0" collapsed="false">
      <c r="A41" s="9" t="n">
        <v>20</v>
      </c>
      <c r="B41" s="17" t="s">
        <v>217</v>
      </c>
      <c r="C41" s="17" t="s">
        <v>64</v>
      </c>
      <c r="D41" s="17" t="s">
        <v>222</v>
      </c>
      <c r="E41" s="17" t="s">
        <v>187</v>
      </c>
      <c r="F41" s="22" t="str">
        <f aca="false">"W "&amp;TEXT(B1_WB_Balance_Sheet!D18,"0.0%")&amp;" / "&amp;TEXT(B1_WB_Balance_Sheet!E18,"0.0%")&amp;" / "&amp;TEXT(B1_WB_Balance_Sheet!F18,"0.0%")&amp;" / "&amp;TEXT(B1_WB_Balance_Sheet!G18,"0.0%")&amp;" / "&amp;TEXT(B1_WB_Balance_Sheet!H18,"0.0%")&amp;" / "&amp;TEXT(B1_WB_Balance_Sheet!I18,"0.0%")</f>
        <v>W 21.5% / 19.9% / 18.2% / 18.3% / 20.7% / 21.2%</v>
      </c>
    </row>
    <row r="42" customFormat="false" ht="15" hidden="false" customHeight="false" outlineLevel="0" collapsed="false">
      <c r="A42" s="9" t="n">
        <v>21</v>
      </c>
      <c r="B42" s="17" t="s">
        <v>217</v>
      </c>
      <c r="C42" s="17" t="s">
        <v>223</v>
      </c>
      <c r="D42" s="17" t="s">
        <v>224</v>
      </c>
      <c r="E42" s="17" t="s">
        <v>194</v>
      </c>
      <c r="F42" s="22" t="str">
        <f aca="false">TEXT(B1_WB_Balance_Sheet!F34,"0.0%")&amp;" / "&amp;TEXT(B1_WB_Balance_Sheet!F51,"0.0%")&amp;" / "&amp;TEXT(B1_WB_Balance_Sheet!F68,"0.0%")&amp;" / "&amp;TEXT(B1_WB_Balance_Sheet!F85,"0.0%")&amp;" / "&amp;TEXT(B1_WB_Balance_Sheet!F102,"0.0%")&amp;" / "&amp;TEXT(B1_WB_Balance_Sheet!F119,"0.0%")&amp;" / "&amp;TEXT(B1_WB_Balance_Sheet!F136,"0.0%")&amp;" / "&amp;TEXT(B1_WB_Balance_Sheet!F153,"0.0%")&amp;" / "&amp;TEXT(B1_WB_Balance_Sheet!F170,"0.0%")</f>
        <v>16.5% / 16.5% / 16.5% / 8.7% / 49.1% / 38.5% / 66.5% / 9.0% / 46.7%</v>
      </c>
    </row>
    <row r="43" customFormat="false" ht="15" hidden="false" customHeight="false" outlineLevel="0" collapsed="false">
      <c r="A43" s="9" t="n">
        <v>22</v>
      </c>
      <c r="B43" s="17" t="s">
        <v>217</v>
      </c>
      <c r="C43" s="17" t="s">
        <v>225</v>
      </c>
      <c r="D43" s="17" t="s">
        <v>226</v>
      </c>
      <c r="E43" s="17" t="s">
        <v>227</v>
      </c>
      <c r="F43" s="22" t="str">
        <f aca="false">"Q1 FY27 CA "&amp;TEXT(B1_WB_Balance_Sheet!F9/B1_WB_Balance_Sheet!F12,"0.0%")&amp;"; SA "&amp;TEXT(B1_WB_Balance_Sheet!F10/B1_WB_Balance_Sheet!F12,"0.0%")&amp;"; TD "&amp;TEXT(B1_WB_Balance_Sheet!F11/B1_WB_Balance_Sheet!F12,"0.0%")</f>
        <v>Q1 FY27 CA 21.4%; SA 4.1%; TD 74.6%</v>
      </c>
    </row>
    <row r="44" customFormat="false" ht="15" hidden="false" customHeight="false" outlineLevel="0" collapsed="false">
      <c r="A44" s="9" t="n">
        <v>23</v>
      </c>
      <c r="B44" s="17" t="s">
        <v>228</v>
      </c>
      <c r="C44" s="17" t="s">
        <v>229</v>
      </c>
      <c r="D44" s="17" t="s">
        <v>65</v>
      </c>
      <c r="E44" s="17" t="s">
        <v>187</v>
      </c>
      <c r="F44" s="22" t="str">
        <f aca="false">"W "&amp;TEXT(B1_WB_Balance_Sheet!D19,"0.00""x""")&amp;" / "&amp;TEXT(B1_WB_Balance_Sheet!E19,"0.00""x""")&amp;" / "&amp;TEXT(B1_WB_Balance_Sheet!F19,"0.00""x""")&amp;" / "&amp;TEXT(B1_WB_Balance_Sheet!G19,"0.00""x""")&amp;" / "&amp;TEXT(B1_WB_Balance_Sheet!H19,"0.00""x""")&amp;" / "&amp;TEXT(B1_WB_Balance_Sheet!I19,"0.00""x""")</f>
        <v>W 1.24x / 1.10x / 1.12x / 1.06x / 1.11x / 1.20x</v>
      </c>
    </row>
    <row r="45" customFormat="false" ht="15" hidden="false" customHeight="false" outlineLevel="0" collapsed="false">
      <c r="A45" s="9" t="n">
        <v>24</v>
      </c>
      <c r="B45" s="17" t="s">
        <v>228</v>
      </c>
      <c r="C45" s="17" t="s">
        <v>230</v>
      </c>
      <c r="D45" s="17" t="s">
        <v>231</v>
      </c>
      <c r="E45" s="17" t="s">
        <v>187</v>
      </c>
      <c r="F45" s="22" t="str">
        <f aca="false">"W "&amp;TEXT(B1_WB_Balance_Sheet!D20,"0.00""x""")&amp;" / "&amp;TEXT(B1_WB_Balance_Sheet!E20,"0.00""x""")&amp;" / "&amp;TEXT(B1_WB_Balance_Sheet!F20,"0.00""x""")&amp;" / "&amp;TEXT(B1_WB_Balance_Sheet!G20,"0.00""x""")&amp;" / "&amp;TEXT(B1_WB_Balance_Sheet!H20,"0.00""x""")&amp;" / "&amp;TEXT(B1_WB_Balance_Sheet!I20,"0.00""x""")</f>
        <v>W 1.38x / 1.27x / 0.98x / 0.97x / 1.03x / 1.22x</v>
      </c>
    </row>
    <row r="46" customFormat="false" ht="23.85" hidden="false" customHeight="false" outlineLevel="0" collapsed="false">
      <c r="A46" s="9" t="n">
        <v>25</v>
      </c>
      <c r="B46" s="17" t="s">
        <v>228</v>
      </c>
      <c r="C46" s="17" t="s">
        <v>232</v>
      </c>
      <c r="D46" s="17" t="s">
        <v>233</v>
      </c>
      <c r="E46" s="17" t="s">
        <v>227</v>
      </c>
      <c r="F46" s="22" t="str">
        <f aca="false">TEXT(B1_WB_Balance_Sheet!D9/B1_WB_Balance_Sheet!D13,"0.00""x""")&amp;" / "&amp;TEXT(B1_WB_Balance_Sheet!E9/B1_WB_Balance_Sheet!E13,"0.00""x""")&amp;" / "&amp;TEXT(B1_WB_Balance_Sheet!F9/B1_WB_Balance_Sheet!F13,"0.00""x""")&amp;" / "&amp;TEXT(B1_WB_Balance_Sheet!G9/B1_WB_Balance_Sheet!G13,"0.00""x""")&amp;" / "&amp;TEXT(B1_WB_Balance_Sheet!H9/B1_WB_Balance_Sheet!H13,"0.00""x""")&amp;" / "&amp;TEXT(B1_WB_Balance_Sheet!I9/B1_WB_Balance_Sheet!I13,"0.00""x""")&amp;" (Mar-26 EOP CA 2.5x average → period-end loading)"</f>
        <v>2.46x / 2.05x / 1.43x / 0.93x / 1.18x / 1.67x (Mar-26 EOP CA 2.5x average → period-end loading)</v>
      </c>
    </row>
    <row r="47" customFormat="false" ht="15" hidden="false" customHeight="false" outlineLevel="0" collapsed="false">
      <c r="A47" s="9" t="n">
        <v>26</v>
      </c>
      <c r="B47" s="17" t="s">
        <v>228</v>
      </c>
      <c r="C47" s="17" t="s">
        <v>67</v>
      </c>
      <c r="D47" s="17" t="s">
        <v>234</v>
      </c>
      <c r="E47" s="17" t="s">
        <v>187</v>
      </c>
      <c r="F47" s="22" t="str">
        <f aca="false">"W "&amp;TEXT(B1_WB_Balance_Sheet!D21,"0.00""x""")&amp;" / "&amp;TEXT(B1_WB_Balance_Sheet!E21,"0.00""x""")&amp;" / "&amp;TEXT(B1_WB_Balance_Sheet!F21,"0.00""x""")&amp;" / "&amp;TEXT(B1_WB_Balance_Sheet!G21,"0.00""x""")&amp;" / "&amp;TEXT(B1_WB_Balance_Sheet!H21,"0.00""x""")&amp;" / "&amp;TEXT(B1_WB_Balance_Sheet!I21,"0.00""x""")</f>
        <v>W 0.89x / 0.91x / 1.17x / 1.38x / 1.13x / 1.05x</v>
      </c>
    </row>
    <row r="48" customFormat="false" ht="15" hidden="false" customHeight="false" outlineLevel="0" collapsed="false">
      <c r="A48" s="9" t="n">
        <v>27</v>
      </c>
      <c r="B48" s="17" t="s">
        <v>228</v>
      </c>
      <c r="C48" s="17" t="s">
        <v>235</v>
      </c>
      <c r="D48" s="17" t="s">
        <v>236</v>
      </c>
      <c r="E48" s="17" t="s">
        <v>237</v>
      </c>
      <c r="F48" s="22" t="str">
        <f aca="false">"FIG "&amp;TEXT(B1_WB_Balance_Sheet!F106,"0.00""x""")&amp;"; Govt "&amp;TEXT(B1_WB_Balance_Sheet!F157,"0.00""x""")&amp;"; L&amp;NE(1) "&amp;TEXT(B1_WB_Balance_Sheet!F123,"0.00""x""")</f>
        <v>FIG 1.45x; Govt 0.00x; L&amp;NE(1) 0.16x</v>
      </c>
    </row>
    <row r="49" customFormat="false" ht="23.85" hidden="false" customHeight="false" outlineLevel="0" collapsed="false">
      <c r="A49" s="9" t="n">
        <v>28</v>
      </c>
      <c r="B49" s="17" t="s">
        <v>238</v>
      </c>
      <c r="C49" s="17" t="s">
        <v>239</v>
      </c>
      <c r="D49" s="17" t="s">
        <v>240</v>
      </c>
      <c r="E49" s="17" t="s">
        <v>194</v>
      </c>
      <c r="F49" s="22" t="str">
        <f aca="false">TEXT((B1_WB_Balance_Sheet!F24-B1_WB_Balance_Sheet!E24)/(B1_WB_Balance_Sheet!F7-B1_WB_Balance_Sheet!E7),"0.0%")&amp;" / "&amp;TEXT((B1_WB_Balance_Sheet!F41-B1_WB_Balance_Sheet!E41)/(B1_WB_Balance_Sheet!F7-B1_WB_Balance_Sheet!E7),"0.0%")&amp;" / "&amp;TEXT((B1_WB_Balance_Sheet!F58-B1_WB_Balance_Sheet!E58)/(B1_WB_Balance_Sheet!F7-B1_WB_Balance_Sheet!E7),"0.0%")&amp;" / "&amp;TEXT((B1_WB_Balance_Sheet!F75-B1_WB_Balance_Sheet!E75)/(B1_WB_Balance_Sheet!F7-B1_WB_Balance_Sheet!E7),"0.0%")&amp;" / "&amp;TEXT((B1_WB_Balance_Sheet!F92-B1_WB_Balance_Sheet!E92)/(B1_WB_Balance_Sheet!F7-B1_WB_Balance_Sheet!E7),"0.0%")&amp;" / "&amp;TEXT((B1_WB_Balance_Sheet!F109-B1_WB_Balance_Sheet!E109)/(B1_WB_Balance_Sheet!F7-B1_WB_Balance_Sheet!E7),"0.0%")&amp;" / "&amp;TEXT((B1_WB_Balance_Sheet!F126-B1_WB_Balance_Sheet!E126)/(B1_WB_Balance_Sheet!F7-B1_WB_Balance_Sheet!E7),"0.0%")&amp;" / "&amp;TEXT((B1_WB_Balance_Sheet!F143-B1_WB_Balance_Sheet!E143)/(B1_WB_Balance_Sheet!F7-B1_WB_Balance_Sheet!E7),"0.0%")&amp;" / "&amp;TEXT((B1_WB_Balance_Sheet!F160-B1_WB_Balance_Sheet!E160)/(B1_WB_Balance_Sheet!F7-B1_WB_Balance_Sheet!E7),"0.0%")</f>
        <v>35.1% / -1.6% / 29.3% / 2.2% / 18.4% / 1.8% / 11.3% / -0.1% / 3.7%</v>
      </c>
    </row>
    <row r="50" customFormat="false" ht="23.85" hidden="false" customHeight="false" outlineLevel="0" collapsed="false">
      <c r="A50" s="9" t="n">
        <v>29</v>
      </c>
      <c r="B50" s="17" t="s">
        <v>238</v>
      </c>
      <c r="C50" s="17" t="s">
        <v>241</v>
      </c>
      <c r="D50" s="17" t="s">
        <v>242</v>
      </c>
      <c r="E50" s="17" t="s">
        <v>243</v>
      </c>
      <c r="F50" s="22" t="str">
        <f aca="false">"FIG "&amp;TEXT((B1_WB_Balance_Sheet!F97-B1_WB_Balance_Sheet!D97)/(B1_WB_Balance_Sheet!F12-B1_WB_Balance_Sheet!D12),"0.0%")&amp;"; Govt "&amp;TEXT((B1_WB_Balance_Sheet!F148-B1_WB_Balance_Sheet!D148)/(B1_WB_Balance_Sheet!F12-B1_WB_Balance_Sheet!D12),"0.0%")</f>
        <v>FIG 58.8%; Govt 16.9%</v>
      </c>
    </row>
    <row r="51" customFormat="false" ht="15" hidden="false" customHeight="false" outlineLevel="0" collapsed="false">
      <c r="A51" s="9" t="n">
        <v>30</v>
      </c>
      <c r="B51" s="17" t="s">
        <v>244</v>
      </c>
      <c r="C51" s="17" t="s">
        <v>245</v>
      </c>
      <c r="D51" s="17" t="s">
        <v>246</v>
      </c>
      <c r="E51" s="17" t="s">
        <v>194</v>
      </c>
      <c r="F51" s="22" t="str">
        <f aca="false">TEXT(MAX(B1_WB_Balance_Sheet!Q24,B1_WB_Balance_Sheet!Q58,B1_WB_Balance_Sheet!Q92),"0.0%")&amp;" Corporate Banking"</f>
        <v>41.1% Corporate Banking</v>
      </c>
    </row>
    <row r="52" customFormat="false" ht="15" hidden="false" customHeight="false" outlineLevel="0" collapsed="false">
      <c r="A52" s="9" t="n">
        <v>31</v>
      </c>
      <c r="B52" s="17" t="s">
        <v>247</v>
      </c>
      <c r="C52" s="17" t="s">
        <v>248</v>
      </c>
      <c r="D52" s="17" t="s">
        <v>249</v>
      </c>
      <c r="E52" s="17" t="s">
        <v>250</v>
      </c>
      <c r="F52" s="22" t="str">
        <f aca="false">TEXT(B1_WB_Balance_Sheet!F46-B1_WB_Balance_Sheet!F29,"#,##0;-#,##0;0")&amp;" and "&amp;TEXT(B1_WB_Balance_Sheet!F63-B1_WB_Balance_Sheet!F29,"#,##0;-#,##0;0")&amp;" → identical"</f>
        <v>0 and 0 → identical</v>
      </c>
    </row>
    <row r="53" customFormat="false" ht="15" hidden="false" customHeight="false" outlineLevel="0" collapsed="false">
      <c r="A53" s="9" t="n">
        <v>32</v>
      </c>
      <c r="B53" s="17" t="s">
        <v>247</v>
      </c>
      <c r="C53" s="17" t="s">
        <v>251</v>
      </c>
      <c r="D53" s="17" t="s">
        <v>252</v>
      </c>
      <c r="E53" s="17" t="s">
        <v>253</v>
      </c>
      <c r="F53" s="22" t="str">
        <f aca="false">TEXT(B1_WB_Balance_Sheet!D126,"#,##0;-#,##0;0")&amp;" / "&amp;TEXT(B1_WB_Balance_Sheet!F126,"#,##0;-#,##0;0")&amp;" vs IFI 3,540 / 4,008"</f>
        <v>3,540 / 4,008 vs IFI 3,540 / 4,008</v>
      </c>
    </row>
    <row r="54" customFormat="false" ht="15" hidden="false" customHeight="false" outlineLevel="0" collapsed="false">
      <c r="A54" s="9" t="n">
        <v>33</v>
      </c>
      <c r="B54" s="17" t="s">
        <v>247</v>
      </c>
      <c r="C54" s="17" t="s">
        <v>254</v>
      </c>
      <c r="D54" s="17" t="s">
        <v>255</v>
      </c>
      <c r="E54" s="17" t="s">
        <v>253</v>
      </c>
      <c r="F54" s="22" t="str">
        <f aca="false">TEXT(B1_WB_Balance_Sheet!F143,"#,##0;-#,##0;0")&amp;" → "&amp;TEXT(B1_WB_Balance_Sheet!G143,"#,##0;-#,##0;0")&amp;" — step change to confirm"</f>
        <v>0 → 372 — step change to confirm</v>
      </c>
    </row>
    <row r="55" customFormat="false" ht="23.85" hidden="false" customHeight="false" outlineLevel="0" collapsed="false">
      <c r="A55" s="9" t="n">
        <v>34</v>
      </c>
      <c r="B55" s="17" t="s">
        <v>247</v>
      </c>
      <c r="C55" s="17" t="s">
        <v>256</v>
      </c>
      <c r="D55" s="17" t="s">
        <v>257</v>
      </c>
      <c r="E55" s="17" t="s">
        <v>258</v>
      </c>
      <c r="F55" s="22" t="str">
        <f aca="false">TEXT(B1_WB_Balance_Sheet!F7-51044,"#,##0;-#,##0;0")&amp;" gross-vs-net difference"</f>
        <v>279 gross-vs-net difference</v>
      </c>
    </row>
    <row r="57" customFormat="false" ht="15" hidden="false" customHeight="false" outlineLevel="0" collapsed="false">
      <c r="A57" s="3" t="s">
        <v>2</v>
      </c>
    </row>
  </sheetData>
  <mergeCells count="12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2026-10-09T21:17:22Z</dcterms:created>
  <dc:creator>openpyxl</dc:creator>
  <dc:description/>
  <dc:language>en-US</dc:language>
  <cp:lastModifiedBy/>
  <dcterms:modified xsi:type="dcterms:W3CDTF">2026-10-09T21:17:22Z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