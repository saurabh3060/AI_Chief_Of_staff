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Liability_Summary" sheetId="2" state="visible" r:id="rId4"/>
    <sheet name="B1_Metr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<sst xmlns="http://schemas.openxmlformats.org/spreadsheetml/2006/main" count="326" uniqueCount="248">
  <si>
    <t xml:space="preserve">RBL Bank — Liability Summary (Oneview): page-wise metric extraction</t>
  </si>
  <si>
    <t xml:space="preserve">Source: 12_Liability_Summary.pdf (1 page; segment table as at 15-May-26, month-end trend Dec-25 … Apr-26, donut) | ₹ Cr and account counts</t>
  </si>
  <si>
    <t xml:space="preserve">⚠ DRAFT ONLY — Requires review and approval by a qualified Alvarez and Marsal professional before use.</t>
  </si>
  <si>
    <t xml:space="preserve">Sheet map</t>
  </si>
  <si>
    <t xml:space="preserve">B1_Liability_Summary</t>
  </si>
  <si>
    <t xml:space="preserve">Block A — business-segment accounts and current balance by product (CA / Deposits / SA) at 15-May-26; Block B — month-end trend (accounts and balance) Apr-26 → Jan-26 with Dec-25 accounts; donut inputs</t>
  </si>
  <si>
    <t xml:space="preserve">B1_Metrics</t>
  </si>
  <si>
    <t xml:space="preserve">Notation + exhaustive metrics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</si>
  <si>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</si>
  <si>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</si>
  <si>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</si>
  <si>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</si>
  <si>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</si>
  <si>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</si>
  <si>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</si>
  <si>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</si>
  <si>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</si>
  <si>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</si>
  <si>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</si>
  <si>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</si>
  <si>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</si>
  <si>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The trend table is exported clipped: December-2025 Current Balance is cut off (accounts are visible) and earlier months are not shown. Months are re-ordered chronologically.</t>
  </si>
  <si>
    <t xml:space="preserve">2</t>
  </si>
  <si>
    <t xml:space="preserve">Current balances are as at 15-May-26 (intra-month); trend values are month-ends, so the 15-May vs Apr-26 comparison is a half-month move.</t>
  </si>
  <si>
    <t xml:space="preserve">3</t>
  </si>
  <si>
    <t xml:space="preserve">The 'No of Accounts By View' donut prints SA 89.91%, Deposits 7.87%, CA 2.2?% (last digit illegible). These do not match the segment table (SA 73.8%, Deposits 20.5%, CA 5.8%) — the donut is evidently on a different base; flagged, not used.</t>
  </si>
  <si>
    <t xml:space="preserve">4</t>
  </si>
  <si>
    <t xml:space="preserve">Segments here (AFFLUENT, PREMIUM, MASSMKT …) are the Oneview liability segments and differ from the BBRL customer segments (INSIGNIA / SIGNATURE / ASPIRE / MASS) on the Book Growth and MAB pages; INSIGNIA and SIGNATURE appear on both.</t>
  </si>
  <si>
    <t xml:space="preserve">5</t>
  </si>
  <si>
    <t xml:space="preserve">CASA = CA + SA. ATS / balance per account = balance × 100 ÷ accounts (₹ lakh).</t>
  </si>
  <si>
    <t xml:space="preserve">Confidentiality</t>
  </si>
  <si>
    <t xml:space="preserve">Client-confidential RBL Bank data.</t>
  </si>
  <si>
    <t xml:space="preserve">Block 1 — Liability book by business segment and product; month-end trend</t>
  </si>
  <si>
    <t xml:space="preserve">Source: Liability Summary.pdf | ₹ Cr, accounts | current = 15-May-26; trend = month-ends</t>
  </si>
  <si>
    <t xml:space="preserve">A. Business-segment accounts and current balance at 15-May-26 (blue) with live calculations</t>
  </si>
  <si>
    <t xml:space="preserve">#</t>
  </si>
  <si>
    <t xml:space="preserve">Segment</t>
  </si>
  <si>
    <t xml:space="preserve">CA accounts</t>
  </si>
  <si>
    <t xml:space="preserve">CA ₹ Cr</t>
  </si>
  <si>
    <t xml:space="preserve">Deposits accounts</t>
  </si>
  <si>
    <t xml:space="preserve">Deposits ₹ Cr</t>
  </si>
  <si>
    <t xml:space="preserve">SA accounts</t>
  </si>
  <si>
    <t xml:space="preserve">SA ₹ Cr</t>
  </si>
  <si>
    <t xml:space="preserve">GT accounts (printed)</t>
  </si>
  <si>
    <t xml:space="preserve">GT ₹ Cr (printed)</t>
  </si>
  <si>
    <t xml:space="preserve">Σ products − GT (accounts)</t>
  </si>
  <si>
    <t xml:space="preserve">Σ products − GT (₹)</t>
  </si>
  <si>
    <t xml:space="preserve">CASA ₹ Cr</t>
  </si>
  <si>
    <t xml:space="preserve">CASA ratio</t>
  </si>
  <si>
    <t xml:space="preserve">TD share of balance</t>
  </si>
  <si>
    <t xml:space="preserve">Share of bank balance</t>
  </si>
  <si>
    <t xml:space="preserve">Share of bank accounts</t>
  </si>
  <si>
    <t xml:space="preserve">Balance per account (₹ lakh)</t>
  </si>
  <si>
    <t xml:space="preserve">CA bal/acct (₹ lakh)</t>
  </si>
  <si>
    <t xml:space="preserve">Dep bal/acct (₹ lakh)</t>
  </si>
  <si>
    <t xml:space="preserve">SA bal/acct (₹ lakh)</t>
  </si>
  <si>
    <t xml:space="preserve">Balance share ÷ account share</t>
  </si>
  <si>
    <t xml:space="preserve">AFFLUENT</t>
  </si>
  <si>
    <t xml:space="preserve">ASPIRE</t>
  </si>
  <si>
    <t xml:space="preserve">INSIGNIA</t>
  </si>
  <si>
    <t xml:space="preserve">MASSMKT</t>
  </si>
  <si>
    <t xml:space="preserve">PREMIUM</t>
  </si>
  <si>
    <t xml:space="preserve">RBS</t>
  </si>
  <si>
    <t xml:space="preserve">SIGNATURE</t>
  </si>
  <si>
    <t xml:space="preserve">WEALTH</t>
  </si>
  <si>
    <t xml:space="preserve">Grand Total</t>
  </si>
  <si>
    <t xml:space="preserve">Σ segments − Grand Total (accounts / ₹ by product)</t>
  </si>
  <si>
    <t xml:space="preserve">Product share of bank balance (CA / Dep / SA)</t>
  </si>
  <si>
    <t xml:space="preserve">Product share of bank accounts (CA / Dep / SA) — compare donut</t>
  </si>
  <si>
    <t xml:space="preserve">Donut as printed (CA / Deposits / SA) — CA last digit illegible</t>
  </si>
  <si>
    <t xml:space="preserve">Donut − table (pp)</t>
  </si>
  <si>
    <t xml:space="preserve">B. Month-end trend (blue), re-ordered chronologically; Dec-25 balance clipped</t>
  </si>
  <si>
    <t xml:space="preserve">Dec-25 accounts</t>
  </si>
  <si>
    <t xml:space="preserve">Jan-26 accounts</t>
  </si>
  <si>
    <t xml:space="preserve">Jan-26 ₹ Cr</t>
  </si>
  <si>
    <t xml:space="preserve">Feb-26 accounts</t>
  </si>
  <si>
    <t xml:space="preserve">Feb-26 ₹ Cr</t>
  </si>
  <si>
    <t xml:space="preserve">Mar-26 accounts</t>
  </si>
  <si>
    <t xml:space="preserve">Mar-26 ₹ Cr</t>
  </si>
  <si>
    <t xml:space="preserve">Apr-26 accounts</t>
  </si>
  <si>
    <t xml:space="preserve">Apr-26 ₹ Cr</t>
  </si>
  <si>
    <t xml:space="preserve">15-May-26 accounts (Block A)</t>
  </si>
  <si>
    <t xml:space="preserve">15-May-26 ₹ Cr (Block A)</t>
  </si>
  <si>
    <t xml:space="preserve">Bal MoM Feb/Jan</t>
  </si>
  <si>
    <t xml:space="preserve">Bal MoM Mar/Feb</t>
  </si>
  <si>
    <t xml:space="preserve">Bal MoM Apr/Mar</t>
  </si>
  <si>
    <t xml:space="preserve">Bal Apr vs Jan</t>
  </si>
  <si>
    <t xml:space="preserve">Bal 15-May vs Apr</t>
  </si>
  <si>
    <t xml:space="preserve">Accounts Apr vs Dec</t>
  </si>
  <si>
    <t xml:space="preserve">Accounts Dec → 15-May</t>
  </si>
  <si>
    <t xml:space="preserve">Bal/acct Jan (₹ lakh)</t>
  </si>
  <si>
    <t xml:space="preserve">Bal/acct Apr (₹ lakh)</t>
  </si>
  <si>
    <t xml:space="preserve">Share of bank bal Apr</t>
  </si>
  <si>
    <t xml:space="preserve">Share shift Jan → Apr (pp)</t>
  </si>
  <si>
    <t xml:space="preserve">Σ segments − Grand Total (max |gap| across accounts / balances)</t>
  </si>
  <si>
    <t xml:space="preserve">Data points to flag before metrics (live checks)</t>
  </si>
  <si>
    <t xml:space="preserve">Flag</t>
  </si>
  <si>
    <t xml:space="preserve">Check value (live)</t>
  </si>
  <si>
    <t xml:space="preserve">Unit</t>
  </si>
  <si>
    <t xml:space="preserve">Implication / action</t>
  </si>
  <si>
    <t xml:space="preserve">The donut ('No of Accounts By View': SA 89.91%, Deposits 7.87%) does not match the segment table (SA share of accounts is 73.8%).</t>
  </si>
  <si>
    <t xml:space="preserve">pp</t>
  </si>
  <si>
    <t xml:space="preserve">Donut is on a different base — do not use it; the table is internally consistent.</t>
  </si>
  <si>
    <t xml:space="preserve">Segments add to the Grand Total in every column (max |gap|):</t>
  </si>
  <si>
    <t xml:space="preserve">₹ Cr</t>
  </si>
  <si>
    <t xml:space="preserve">Both tables roll up.</t>
  </si>
  <si>
    <t xml:space="preserve">MASSMKT holds 65% of accounts but 18% of balance; PREMIUM holds 0.7% of accounts and 28% of balance (₹156 lakh per account).</t>
  </si>
  <si>
    <t xml:space="preserve">₹ lakh</t>
  </si>
  <si>
    <t xml:space="preserve">Balance is concentrated in ~22k PREMIUM and ~210k INSIGNIA accounts.</t>
  </si>
  <si>
    <t xml:space="preserve">Total balance fell ₹3.5k Cr (−2.7%) in April after +₹8.3k Cr in March and a further −₹0.9k Cr by 15-May; MASSMKT balance is down ₹3.0k Cr since Feb.</t>
  </si>
  <si>
    <t xml:space="preserve">%</t>
  </si>
  <si>
    <t xml:space="preserve">Quarter-end (March) balances are inflated; April is the clean-out.</t>
  </si>
  <si>
    <t xml:space="preserve">Accounts grew steadily (+68k Dec → Apr; +147k Dec → 15-May) while the balance is volatile.</t>
  </si>
  <si>
    <t xml:space="preserve">count</t>
  </si>
  <si>
    <t xml:space="preserve">Volume growth is real; balance moves are driven by a few large segments.</t>
  </si>
  <si>
    <t xml:space="preserve">CASA ratio is 26% at bank level; INSIGNIA 38%, PREMIUM 12%, MASSMKT 22%.</t>
  </si>
  <si>
    <t xml:space="preserve">Deposits (TD) are 74% of the book.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</si>
  <si>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</si>
  <si>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</si>
  <si>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</si>
  <si>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</si>
  <si>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</si>
  <si>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</si>
  <si>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</si>
  <si>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</si>
  <si>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total liability balance at 15-May-26?</t>
  </si>
  <si>
    <t xml:space="preserve">Lookup</t>
  </si>
  <si>
    <t xml:space="preserve">How many SA accounts does MASSMKT have?</t>
  </si>
  <si>
    <t xml:space="preserve">What was INSIGNIA balance at end-March 2026?</t>
  </si>
  <si>
    <t xml:space="preserve">Medium</t>
  </si>
  <si>
    <t xml:space="preserve">What is the bank CASA ratio at 15-May-26?</t>
  </si>
  <si>
    <t xml:space="preserve">(CA + SA) ÷ GT</t>
  </si>
  <si>
    <t xml:space="preserve">What is PREMIUM's balance per account (₹ lakh)?</t>
  </si>
  <si>
    <t xml:space="preserve">Balance × 100 ÷ accounts</t>
  </si>
  <si>
    <t xml:space="preserve">What was the MoM change in total balance in April 2026?</t>
  </si>
  <si>
    <t xml:space="preserve">Apr ÷ Mar − 1</t>
  </si>
  <si>
    <t xml:space="preserve">What share of balance does INSIGNIA hold, and how did it move Jan → Apr (pp)?</t>
  </si>
  <si>
    <t xml:space="preserve">Share Apr − share Jan</t>
  </si>
  <si>
    <t xml:space="preserve">High</t>
  </si>
  <si>
    <t xml:space="preserve">Which segment drove the April balance decline, and what share of the fall?</t>
  </si>
  <si>
    <t xml:space="preserve">ΔMASSMKT ÷ ΔGT (Apr − Mar)</t>
  </si>
  <si>
    <t xml:space="preserve">MASSMKT alone is ~55% of the April fall; AFFLUENT and INSIGNIA most of the rest.</t>
  </si>
  <si>
    <t xml:space="preserve">Is the donut's SA share consistent with the table's SA account share?</t>
  </si>
  <si>
    <t xml:space="preserve">A 16 pp gap — the donut must be on another base (e.g. excluding term deposits by account) and should not be quoted.</t>
  </si>
  <si>
    <t xml:space="preserve">Balance concentration: what share of balance sits in the two smallest-account segments (PREMIUM + INSIGNIA), and what share of accounts?</t>
  </si>
  <si>
    <t xml:space="preserve">(PREMIUM + INSIGNIA) ÷ GT</t>
  </si>
  <si>
    <t xml:space="preserve">~56% of balance in ~7% of accounts.</t>
  </si>
  <si>
    <t xml:space="preserve">What this page cannot support (feeds the data request)</t>
  </si>
  <si>
    <t xml:space="preserve">Not derivable: Dec-25 and earlier balances (clipped), product split within the trend table, cost of funds, NR / domestic split, branch / zone / cluster detail (filters set to All), the donut's base, and intra-month volatility.</t>
  </si>
  <si>
    <t xml:space="preserve">Liability summary: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</si>
  <si>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</si>
  <si>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</si>
  <si>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</si>
  <si>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</si>
  <si>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B(s,p), N(s,p)</t>
  </si>
  <si>
    <t xml:space="preserve">Current balance ₹ Cr and accounts of segment s, product p (CA, Deposits, SA) at 15-May-26</t>
  </si>
  <si>
    <t xml:space="preserve">GT</t>
  </si>
  <si>
    <t xml:space="preserve">Grand Total across segments / products</t>
  </si>
  <si>
    <t xml:space="preserve">CASA(s)</t>
  </si>
  <si>
    <t xml:space="preserve">B(s,CA) + B(s,SA)</t>
  </si>
  <si>
    <t xml:space="preserve">CASA%</t>
  </si>
  <si>
    <t xml:space="preserve">CASA ÷ B(s)</t>
  </si>
  <si>
    <t xml:space="preserve">BPA</t>
  </si>
  <si>
    <t xml:space="preserve">Balance per account = B × 100 ÷ N, ₹ lakh</t>
  </si>
  <si>
    <t xml:space="preserve">sh_B / sh_N</t>
  </si>
  <si>
    <t xml:space="preserve">Share of bank balance / accounts</t>
  </si>
  <si>
    <t xml:space="preserve">B(s,m), N(s,m)</t>
  </si>
  <si>
    <t xml:space="preserve">Month-end balance / accounts for m = Jan-26 … Apr-26 (Dec-25 accounts only)</t>
  </si>
  <si>
    <t xml:space="preserve">g</t>
  </si>
  <si>
    <t xml:space="preserve">B(m) ÷ B(m−1) − 1</t>
  </si>
  <si>
    <t xml:space="preserve">Δsh</t>
  </si>
  <si>
    <t xml:space="preserve">Share shift in pp</t>
  </si>
  <si>
    <t xml:space="preserve">Balances ₹ Cr; accounts as counts; balance per account ₹ lakh; growth in %; shares in %.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</si>
  <si>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</si>
  <si>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</si>
  <si>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</si>
  <si>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</si>
  <si>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</si>
  <si>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</si>
  <si>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</si>
  <si>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Segment × product balance and accounts</t>
  </si>
  <si>
    <t xml:space="preserve">8 segments × 3 products</t>
  </si>
  <si>
    <t xml:space="preserve">Segment totals</t>
  </si>
  <si>
    <t xml:space="preserve">B(s), N(s)</t>
  </si>
  <si>
    <t xml:space="preserve">8 + GT</t>
  </si>
  <si>
    <t xml:space="preserve">Month-end balance</t>
  </si>
  <si>
    <t xml:space="preserve">B(s,m)</t>
  </si>
  <si>
    <t xml:space="preserve">9 rows × 4 months</t>
  </si>
  <si>
    <t xml:space="preserve">Roll-up check</t>
  </si>
  <si>
    <t xml:space="preserve">Products to segment total</t>
  </si>
  <si>
    <t xml:space="preserve">Σp B(s,p) − B(s); Σp N(s,p) − N(s)</t>
  </si>
  <si>
    <t xml:space="preserve">9 rows</t>
  </si>
  <si>
    <t xml:space="preserve">Segments to Grand Total</t>
  </si>
  <si>
    <t xml:space="preserve">Σs − GT</t>
  </si>
  <si>
    <t xml:space="preserve">both tables</t>
  </si>
  <si>
    <t xml:space="preserve">Mix &amp; share</t>
  </si>
  <si>
    <t xml:space="preserve">B(s,Dep) ÷ B(s)</t>
  </si>
  <si>
    <t xml:space="preserve">Product share of bank</t>
  </si>
  <si>
    <t xml:space="preserve">B(p) ÷ GT; N(p) ÷ GT</t>
  </si>
  <si>
    <t xml:space="preserve">3 products</t>
  </si>
  <si>
    <t xml:space="preserve">Segment share of balance and accounts</t>
  </si>
  <si>
    <t xml:space="preserve">sh_B(s), sh_N(s)</t>
  </si>
  <si>
    <t xml:space="preserve">8 segments</t>
  </si>
  <si>
    <t xml:space="preserve">sh_B ÷ sh_N</t>
  </si>
  <si>
    <t xml:space="preserve">Share shift Jan → Apr</t>
  </si>
  <si>
    <t xml:space="preserve">Δsh in pp</t>
  </si>
  <si>
    <t xml:space="preserve">Ticket size</t>
  </si>
  <si>
    <t xml:space="preserve">Balance per account</t>
  </si>
  <si>
    <t xml:space="preserve">BPA(s)</t>
  </si>
  <si>
    <t xml:space="preserve">Balance per account by product</t>
  </si>
  <si>
    <t xml:space="preserve">BPA(s,p)</t>
  </si>
  <si>
    <t xml:space="preserve">8 × 3</t>
  </si>
  <si>
    <t xml:space="preserve">BPA trend</t>
  </si>
  <si>
    <t xml:space="preserve">BPA Jan vs Apr</t>
  </si>
  <si>
    <t xml:space="preserve">Growth &amp; momentum</t>
  </si>
  <si>
    <t xml:space="preserve">MoM balance growth</t>
  </si>
  <si>
    <t xml:space="preserve">g(m)</t>
  </si>
  <si>
    <t xml:space="preserve">9 rows × 3</t>
  </si>
  <si>
    <t xml:space="preserve">Jan → Apr balance growth</t>
  </si>
  <si>
    <t xml:space="preserve">B(Apr) ÷ B(Jan) − 1</t>
  </si>
  <si>
    <t xml:space="preserve">15-May vs Apr</t>
  </si>
  <si>
    <t xml:space="preserve">B(15-May) ÷ B(Apr) − 1 (half-month)</t>
  </si>
  <si>
    <t xml:space="preserve">Account growth</t>
  </si>
  <si>
    <t xml:space="preserve">N(Apr) ÷ N(Dec) − 1; N(15-May) − N(Dec)</t>
  </si>
  <si>
    <t xml:space="preserve">Quarter-end effect</t>
  </si>
  <si>
    <t xml:space="preserve">B(Mar) ÷ AVERAGE(B(Feb), B(Apr)) − 1</t>
  </si>
  <si>
    <t xml:space="preserve">Attribution</t>
  </si>
  <si>
    <t xml:space="preserve">Contribution to April balance fall</t>
  </si>
  <si>
    <t xml:space="preserve">ΔB(s) ÷ ΔGT (Apr − Mar)</t>
  </si>
  <si>
    <t xml:space="preserve">Contribution to Jan → Apr growth</t>
  </si>
  <si>
    <t xml:space="preserve">ΔB(s) ÷ ΔGT</t>
  </si>
  <si>
    <t xml:space="preserve">Concentration</t>
  </si>
  <si>
    <t xml:space="preserve">Top-2 segments share of balance</t>
  </si>
  <si>
    <t xml:space="preserve">(PREMIUM + INSIGNIA) ÷ GT; their account share</t>
  </si>
  <si>
    <t xml:space="preserve">15-May</t>
  </si>
  <si>
    <t xml:space="preserve">HHI across segments (balance)</t>
  </si>
  <si>
    <t xml:space="preserve">Σ (100 × sh_B)²</t>
  </si>
  <si>
    <t xml:space="preserve">Data integrity</t>
  </si>
  <si>
    <t xml:space="preserve">Donut vs table</t>
  </si>
  <si>
    <t xml:space="preserve">Printed share − table share (pp)</t>
  </si>
  <si>
    <t xml:space="preserve">Clipped cells</t>
  </si>
  <si>
    <t xml:space="preserve">Dec-25 balance</t>
  </si>
  <si>
    <t xml:space="preserve">Page</t>
  </si>
  <si>
    <t xml:space="preserve">Not visible; Dec-25 used for accounts only</t>
  </si>
  <si>
    <t xml:space="preserve">WEALTH deposits</t>
  </si>
  <si>
    <t xml:space="preserve">Blank</t>
  </si>
  <si>
    <t xml:space="preserve">1 row</t>
  </si>
  <si>
    <t xml:space="preserve">WEALTH has no term deposits on the page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</si>
</sst>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;\(#,##0.00\);\-"/>
    <numFmt numFmtId="167" formatCode="0.0%;\-0.0%;0.0%"/>
    <numFmt numFmtId="168" formatCode="#,##0.00"/>
    <numFmt numFmtId="169" formatCode="0.00\x"/>
    <numFmt numFmtId="170" formatCode="0.00%;\-0.00%;0.00%"/>
    <numFmt numFmtId="171" formatCode="\+0.0&quot; pp&quot;;\-0.0&quot; pp&quot;;0.0&quot; pp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23.85" hidden="false" customHeight="false" outlineLevel="0" collapsed="false">
      <c r="A6" s="7" t="s">
        <v>4</v>
      </c>
      <c r="B6" s="8" t="s">
        <v>5</v>
      </c>
    </row>
    <row r="7" customFormat="false" ht="15" hidden="false" customHeight="false" outlineLevel="0" collapsed="false">
      <c r="A7" s="7" t="s">
        <v>6</v>
      </c>
      <c r="B7" s="8" t="s">
        <v>7</v>
      </c>
    </row>
    <row r="8" customFormat="false" ht="15" hidden="false" customHeight="false" outlineLevel="0" collapsed="false">
      <c r="A8" s="7"/>
      <c r="B8" s="8"/>
    </row>
    <row r="9" customFormat="false" ht="15" hidden="false" customHeight="false" outlineLevel="0" collapsed="false">
      <c r="A9" s="5" t="s">
        <v>8</v>
      </c>
      <c r="B9" s="6"/>
    </row>
    <row r="10" customFormat="false" ht="15" hidden="false" customHeight="false" outlineLevel="0" collapsed="false">
      <c r="A10" s="7" t="s">
        <v>9</v>
      </c>
      <c r="B10" s="8" t="s">
        <v>10</v>
      </c>
    </row>
    <row r="11" customFormat="false" ht="15" hidden="false" customHeight="false" outlineLevel="0" collapsed="false">
      <c r="A11" s="7" t="s">
        <v>11</v>
      </c>
      <c r="B11" s="8" t="s">
        <v>12</v>
      </c>
    </row>
    <row r="12" customFormat="false" ht="15" hidden="false" customHeight="false" outlineLevel="0" collapsed="false">
      <c r="A12" s="7" t="s">
        <v>13</v>
      </c>
      <c r="B12" s="8" t="s">
        <v>14</v>
      </c>
    </row>
    <row r="13" customFormat="false" ht="15" hidden="false" customHeight="false" outlineLevel="0" collapsed="false">
      <c r="A13" s="7" t="s">
        <v>15</v>
      </c>
      <c r="B13" s="8" t="s">
        <v>16</v>
      </c>
    </row>
    <row r="14" customFormat="false" ht="15" hidden="false" customHeight="false" outlineLevel="0" collapsed="false">
      <c r="A14" s="7" t="s">
        <v>17</v>
      </c>
      <c r="B14" s="8" t="s">
        <v>18</v>
      </c>
    </row>
    <row r="15" customFormat="false" ht="15" hidden="false" customHeight="false" outlineLevel="0" collapsed="false">
      <c r="A15" s="7"/>
      <c r="B15" s="8"/>
    </row>
    <row r="16" customFormat="false" ht="15" hidden="false" customHeight="false" outlineLevel="0" collapsed="false">
      <c r="A16" s="5" t="s">
        <v>19</v>
      </c>
      <c r="B16" s="6"/>
    </row>
    <row r="17" customFormat="false" ht="23.85" hidden="false" customHeight="false" outlineLevel="0" collapsed="false">
      <c r="A17" s="7" t="s">
        <v>20</v>
      </c>
      <c r="B17" s="8" t="s">
        <v>21</v>
      </c>
    </row>
    <row r="18" customFormat="false" ht="23.85" hidden="false" customHeight="false" outlineLevel="0" collapsed="false">
      <c r="A18" s="7" t="s">
        <v>22</v>
      </c>
      <c r="B18" s="8" t="s">
        <v>23</v>
      </c>
    </row>
    <row r="19" customFormat="false" ht="23.85" hidden="false" customHeight="false" outlineLevel="0" collapsed="false">
      <c r="A19" s="7" t="s">
        <v>24</v>
      </c>
      <c r="B19" s="8" t="s">
        <v>25</v>
      </c>
    </row>
    <row r="20" customFormat="false" ht="35.05" hidden="false" customHeight="false" outlineLevel="0" collapsed="false">
      <c r="A20" s="7" t="s">
        <v>26</v>
      </c>
      <c r="B20" s="8" t="s">
        <v>27</v>
      </c>
    </row>
    <row r="21" customFormat="false" ht="15" hidden="false" customHeight="false" outlineLevel="0" collapsed="false">
      <c r="A21" s="7" t="s">
        <v>28</v>
      </c>
      <c r="B21" s="8" t="s">
        <v>29</v>
      </c>
    </row>
    <row r="22" customFormat="false" ht="15" hidden="false" customHeight="false" outlineLevel="0" collapsed="false">
      <c r="A22" s="7" t="s">
        <v>30</v>
      </c>
      <c r="B22" s="8" t="s">
        <v>31</v>
      </c>
    </row>
    <row r="24" customFormat="false" ht="15" hidden="false" customHeight="false" outlineLevel="0" collapsed="false">
      <c r="A24" s="4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24" min="3" style="1" width="12"/>
  </cols>
  <sheetData>
    <row r="1" customFormat="false" ht="17.35" hidden="false" customHeight="false" outlineLevel="0" collapsed="false">
      <c r="A1" s="2" t="s">
        <v>32</v>
      </c>
    </row>
    <row r="2" customFormat="false" ht="15" hidden="false" customHeight="false" outlineLevel="0" collapsed="false">
      <c r="A2" s="3" t="s">
        <v>33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customFormat="false" ht="46.25" hidden="false" customHeight="false" outlineLevel="0" collapsed="false">
      <c r="A6" s="9" t="s">
        <v>35</v>
      </c>
      <c r="B6" s="9" t="s">
        <v>36</v>
      </c>
      <c r="C6" s="9" t="s">
        <v>37</v>
      </c>
      <c r="D6" s="9" t="s">
        <v>38</v>
      </c>
      <c r="E6" s="9" t="s">
        <v>39</v>
      </c>
      <c r="F6" s="9" t="s">
        <v>40</v>
      </c>
      <c r="G6" s="9" t="s">
        <v>41</v>
      </c>
      <c r="H6" s="9" t="s">
        <v>42</v>
      </c>
      <c r="I6" s="9" t="s">
        <v>43</v>
      </c>
      <c r="J6" s="9" t="s">
        <v>44</v>
      </c>
      <c r="K6" s="9" t="s">
        <v>45</v>
      </c>
      <c r="L6" s="9" t="s">
        <v>46</v>
      </c>
      <c r="M6" s="9" t="s">
        <v>47</v>
      </c>
      <c r="N6" s="9" t="s">
        <v>48</v>
      </c>
      <c r="O6" s="9" t="s">
        <v>49</v>
      </c>
      <c r="P6" s="9" t="s">
        <v>50</v>
      </c>
      <c r="Q6" s="9" t="s">
        <v>51</v>
      </c>
      <c r="R6" s="9" t="s">
        <v>52</v>
      </c>
      <c r="S6" s="9" t="s">
        <v>53</v>
      </c>
      <c r="T6" s="9" t="s">
        <v>54</v>
      </c>
      <c r="U6" s="9" t="s">
        <v>55</v>
      </c>
      <c r="V6" s="9" t="s">
        <v>56</v>
      </c>
    </row>
    <row r="7" customFormat="false" ht="15" hidden="false" customHeight="false" outlineLevel="0" collapsed="false">
      <c r="A7" s="10" t="n">
        <v>1</v>
      </c>
      <c r="B7" s="10" t="s">
        <v>57</v>
      </c>
      <c r="C7" s="11" t="n">
        <v>33121</v>
      </c>
      <c r="D7" s="12" t="n">
        <v>1897.16</v>
      </c>
      <c r="E7" s="11" t="n">
        <v>49885</v>
      </c>
      <c r="F7" s="12" t="n">
        <v>6941.63</v>
      </c>
      <c r="G7" s="11" t="n">
        <v>237389</v>
      </c>
      <c r="H7" s="12" t="n">
        <v>1278.31</v>
      </c>
      <c r="I7" s="11" t="n">
        <v>320395</v>
      </c>
      <c r="J7" s="12" t="n">
        <v>10117.09</v>
      </c>
      <c r="K7" s="13" t="n">
        <f aca="false">N(C7)+N(E7)+N(G7)-I7</f>
        <v>0</v>
      </c>
      <c r="L7" s="14" t="n">
        <f aca="false">N(D7)+N(F7)+N(H7)-J7</f>
        <v>0.0100000000002183</v>
      </c>
      <c r="M7" s="14" t="n">
        <f aca="false">N(D7)+N(H7)</f>
        <v>3175.47</v>
      </c>
      <c r="N7" s="15" t="n">
        <f aca="false">M7/J7</f>
        <v>0.313871874224703</v>
      </c>
      <c r="O7" s="15" t="n">
        <f aca="false">N(F7)/J7</f>
        <v>0.686129114201811</v>
      </c>
      <c r="P7" s="15" t="n">
        <f aca="false">J7/$J$15</f>
        <v>0.0818632747397524</v>
      </c>
      <c r="Q7" s="15" t="n">
        <f aca="false">I7/$I$15</f>
        <v>0.101637647882865</v>
      </c>
      <c r="R7" s="16" t="n">
        <f aca="false">J7*100/I7</f>
        <v>3.15769284789088</v>
      </c>
      <c r="S7" s="16" t="n">
        <f aca="false">IF(N(C7)=0,"",D7*100/C7)</f>
        <v>5.72796715075028</v>
      </c>
      <c r="T7" s="16" t="n">
        <f aca="false">IF(N(E7)=0,"",F7*100/E7)</f>
        <v>13.9152651097524</v>
      </c>
      <c r="U7" s="16" t="n">
        <f aca="false">IF(N(G7)=0,"",H7*100/G7)</f>
        <v>0.538487461508326</v>
      </c>
      <c r="V7" s="17" t="n">
        <f aca="false">P7/Q7</f>
        <v>0.805442436390283</v>
      </c>
    </row>
    <row r="8" customFormat="false" ht="15" hidden="false" customHeight="false" outlineLevel="0" collapsed="false">
      <c r="A8" s="10" t="n">
        <v>2</v>
      </c>
      <c r="B8" s="10" t="s">
        <v>58</v>
      </c>
      <c r="C8" s="11" t="n">
        <v>23755</v>
      </c>
      <c r="D8" s="12" t="n">
        <v>538.5</v>
      </c>
      <c r="E8" s="11" t="n">
        <v>164029</v>
      </c>
      <c r="F8" s="12" t="n">
        <v>6658.91</v>
      </c>
      <c r="G8" s="11" t="n">
        <v>115385</v>
      </c>
      <c r="H8" s="12" t="n">
        <v>2138.85</v>
      </c>
      <c r="I8" s="11" t="n">
        <v>303169</v>
      </c>
      <c r="J8" s="12" t="n">
        <v>9336.27</v>
      </c>
      <c r="K8" s="13" t="n">
        <f aca="false">N(C8)+N(E8)+N(G8)-I8</f>
        <v>0</v>
      </c>
      <c r="L8" s="14" t="n">
        <f aca="false">N(D8)+N(F8)+N(H8)-J8</f>
        <v>-0.0100000000002183</v>
      </c>
      <c r="M8" s="14" t="n">
        <f aca="false">N(D8)+N(H8)</f>
        <v>2677.35</v>
      </c>
      <c r="N8" s="15" t="n">
        <f aca="false">M8/J8</f>
        <v>0.286768698848684</v>
      </c>
      <c r="O8" s="15" t="n">
        <f aca="false">N(F8)/J8</f>
        <v>0.713230230059756</v>
      </c>
      <c r="P8" s="15" t="n">
        <f aca="false">J8/$J$15</f>
        <v>0.0755452048024193</v>
      </c>
      <c r="Q8" s="15" t="n">
        <f aca="false">I8/$I$15</f>
        <v>0.096173111537322</v>
      </c>
      <c r="R8" s="16" t="n">
        <f aca="false">J8*100/I8</f>
        <v>3.07955958557768</v>
      </c>
      <c r="S8" s="16" t="n">
        <f aca="false">IF(N(C8)=0,"",D8*100/C8)</f>
        <v>2.26689118080404</v>
      </c>
      <c r="T8" s="16" t="n">
        <f aca="false">IF(N(E8)=0,"",F8*100/E8)</f>
        <v>4.05959312072865</v>
      </c>
      <c r="U8" s="16" t="n">
        <f aca="false">IF(N(G8)=0,"",H8*100/G8)</f>
        <v>1.8536638211206</v>
      </c>
      <c r="V8" s="17" t="n">
        <f aca="false">P8/Q8</f>
        <v>0.785512744620958</v>
      </c>
    </row>
    <row r="9" customFormat="false" ht="15" hidden="false" customHeight="false" outlineLevel="0" collapsed="false">
      <c r="A9" s="10" t="n">
        <v>3</v>
      </c>
      <c r="B9" s="10" t="s">
        <v>59</v>
      </c>
      <c r="C9" s="11" t="n">
        <v>20478</v>
      </c>
      <c r="D9" s="12" t="n">
        <v>3450.76</v>
      </c>
      <c r="E9" s="11" t="n">
        <v>117652</v>
      </c>
      <c r="F9" s="12" t="n">
        <v>21935.17</v>
      </c>
      <c r="G9" s="11" t="n">
        <v>72285</v>
      </c>
      <c r="H9" s="12" t="n">
        <v>10128.26</v>
      </c>
      <c r="I9" s="11" t="n">
        <v>210415</v>
      </c>
      <c r="J9" s="12" t="n">
        <v>35514.2</v>
      </c>
      <c r="K9" s="13" t="n">
        <f aca="false">N(C9)+N(E9)+N(G9)-I9</f>
        <v>0</v>
      </c>
      <c r="L9" s="14" t="n">
        <f aca="false">N(D9)+N(F9)+N(H9)-J9</f>
        <v>-0.00999999999476131</v>
      </c>
      <c r="M9" s="14" t="n">
        <f aca="false">N(D9)+N(H9)</f>
        <v>13579.02</v>
      </c>
      <c r="N9" s="15" t="n">
        <f aca="false">M9/J9</f>
        <v>0.382354663768296</v>
      </c>
      <c r="O9" s="15" t="n">
        <f aca="false">N(F9)/J9</f>
        <v>0.617645054654195</v>
      </c>
      <c r="P9" s="15" t="n">
        <f aca="false">J9/$J$15</f>
        <v>0.28736610149386</v>
      </c>
      <c r="Q9" s="15" t="n">
        <f aca="false">I9/$I$15</f>
        <v>0.0667491242974236</v>
      </c>
      <c r="R9" s="16" t="n">
        <f aca="false">J9*100/I9</f>
        <v>16.8781693320343</v>
      </c>
      <c r="S9" s="16" t="n">
        <f aca="false">IF(N(C9)=0,"",D9*100/C9)</f>
        <v>16.8510596737963</v>
      </c>
      <c r="T9" s="16" t="n">
        <f aca="false">IF(N(E9)=0,"",F9*100/E9)</f>
        <v>18.6441114473192</v>
      </c>
      <c r="U9" s="16" t="n">
        <f aca="false">IF(N(G9)=0,"",H9*100/G9)</f>
        <v>14.0115653316732</v>
      </c>
      <c r="V9" s="17" t="n">
        <f aca="false">P9/Q9</f>
        <v>4.30516661482182</v>
      </c>
    </row>
    <row r="10" customFormat="false" ht="15" hidden="false" customHeight="false" outlineLevel="0" collapsed="false">
      <c r="A10" s="10" t="n">
        <v>4</v>
      </c>
      <c r="B10" s="10" t="s">
        <v>60</v>
      </c>
      <c r="C10" s="11" t="n">
        <v>86511</v>
      </c>
      <c r="D10" s="12" t="n">
        <v>2175.58</v>
      </c>
      <c r="E10" s="11" t="n">
        <v>171035</v>
      </c>
      <c r="F10" s="12" t="n">
        <v>17718.49</v>
      </c>
      <c r="G10" s="11" t="n">
        <v>1802921</v>
      </c>
      <c r="H10" s="12" t="n">
        <v>2685.8</v>
      </c>
      <c r="I10" s="11" t="n">
        <v>2060467</v>
      </c>
      <c r="J10" s="12" t="n">
        <v>22579.86</v>
      </c>
      <c r="K10" s="13" t="n">
        <f aca="false">N(C10)+N(E10)+N(G10)-I10</f>
        <v>0</v>
      </c>
      <c r="L10" s="14" t="n">
        <f aca="false">N(D10)+N(F10)+N(H10)-J10</f>
        <v>0.00999999999839929</v>
      </c>
      <c r="M10" s="14" t="n">
        <f aca="false">N(D10)+N(H10)</f>
        <v>4861.38</v>
      </c>
      <c r="N10" s="15" t="n">
        <f aca="false">M10/J10</f>
        <v>0.21529717190452</v>
      </c>
      <c r="O10" s="15" t="n">
        <f aca="false">N(F10)/J10</f>
        <v>0.784703270968022</v>
      </c>
      <c r="P10" s="15" t="n">
        <f aca="false">J10/$J$15</f>
        <v>0.182706814189174</v>
      </c>
      <c r="Q10" s="15" t="n">
        <f aca="false">I10/$I$15</f>
        <v>0.653633856396832</v>
      </c>
      <c r="R10" s="16" t="n">
        <f aca="false">J10*100/I10</f>
        <v>1.09586127805007</v>
      </c>
      <c r="S10" s="16" t="n">
        <f aca="false">IF(N(C10)=0,"",D10*100/C10)</f>
        <v>2.51480158592549</v>
      </c>
      <c r="T10" s="16" t="n">
        <f aca="false">IF(N(E10)=0,"",F10*100/E10)</f>
        <v>10.3595696787207</v>
      </c>
      <c r="U10" s="16" t="n">
        <f aca="false">IF(N(G10)=0,"",H10*100/G10)</f>
        <v>0.148969366932883</v>
      </c>
      <c r="V10" s="17" t="n">
        <f aca="false">P10/Q10</f>
        <v>0.279524710051508</v>
      </c>
    </row>
    <row r="11" customFormat="false" ht="15" hidden="false" customHeight="false" outlineLevel="0" collapsed="false">
      <c r="A11" s="10" t="n">
        <v>5</v>
      </c>
      <c r="B11" s="10" t="s">
        <v>61</v>
      </c>
      <c r="C11" s="11" t="n">
        <v>6818</v>
      </c>
      <c r="D11" s="12" t="n">
        <v>3349.61</v>
      </c>
      <c r="E11" s="11" t="n">
        <v>8246</v>
      </c>
      <c r="F11" s="12" t="n">
        <v>29998.73</v>
      </c>
      <c r="G11" s="11" t="n">
        <v>6681</v>
      </c>
      <c r="H11" s="12" t="n">
        <v>672.68</v>
      </c>
      <c r="I11" s="11" t="n">
        <v>21745</v>
      </c>
      <c r="J11" s="12" t="n">
        <v>34021.03</v>
      </c>
      <c r="K11" s="13" t="n">
        <f aca="false">N(C11)+N(E11)+N(G11)-I11</f>
        <v>0</v>
      </c>
      <c r="L11" s="14" t="n">
        <f aca="false">N(D11)+N(F11)+N(H11)-J11</f>
        <v>-0.0100000000020373</v>
      </c>
      <c r="M11" s="14" t="n">
        <f aca="false">N(D11)+N(H11)</f>
        <v>4022.29</v>
      </c>
      <c r="N11" s="15" t="n">
        <f aca="false">M11/J11</f>
        <v>0.118229518624216</v>
      </c>
      <c r="O11" s="15" t="n">
        <f aca="false">N(F11)/J11</f>
        <v>0.881770187439945</v>
      </c>
      <c r="P11" s="15" t="n">
        <f aca="false">J11/$J$15</f>
        <v>0.275283992315909</v>
      </c>
      <c r="Q11" s="15" t="n">
        <f aca="false">I11/$I$15</f>
        <v>0.00689808097258976</v>
      </c>
      <c r="R11" s="16" t="n">
        <f aca="false">J11*100/I11</f>
        <v>156.454495286273</v>
      </c>
      <c r="S11" s="16" t="n">
        <f aca="false">IF(N(C11)=0,"",D11*100/C11)</f>
        <v>49.1289234379584</v>
      </c>
      <c r="T11" s="16" t="n">
        <f aca="false">IF(N(E11)=0,"",F11*100/E11)</f>
        <v>363.797356293961</v>
      </c>
      <c r="U11" s="16" t="n">
        <f aca="false">IF(N(G11)=0,"",H11*100/G11)</f>
        <v>10.0685526118845</v>
      </c>
      <c r="V11" s="17" t="n">
        <f aca="false">P11/Q11</f>
        <v>39.9073297935728</v>
      </c>
    </row>
    <row r="12" customFormat="false" ht="15" hidden="false" customHeight="false" outlineLevel="0" collapsed="false">
      <c r="A12" s="10" t="n">
        <v>6</v>
      </c>
      <c r="B12" s="10" t="s">
        <v>62</v>
      </c>
      <c r="C12" s="11" t="n">
        <v>573</v>
      </c>
      <c r="D12" s="12" t="n">
        <v>12.22</v>
      </c>
      <c r="E12" s="11" t="n">
        <v>106</v>
      </c>
      <c r="F12" s="12" t="n">
        <v>3.41</v>
      </c>
      <c r="G12" s="11" t="n">
        <v>61</v>
      </c>
      <c r="H12" s="12" t="n">
        <v>0.22</v>
      </c>
      <c r="I12" s="11" t="n">
        <v>740</v>
      </c>
      <c r="J12" s="12" t="n">
        <v>15.85</v>
      </c>
      <c r="K12" s="13" t="n">
        <f aca="false">N(C12)+N(E12)+N(G12)-I12</f>
        <v>0</v>
      </c>
      <c r="L12" s="14" t="n">
        <f aca="false">N(D12)+N(F12)+N(H12)-J12</f>
        <v>0</v>
      </c>
      <c r="M12" s="14" t="n">
        <f aca="false">N(D12)+N(H12)</f>
        <v>12.44</v>
      </c>
      <c r="N12" s="15" t="n">
        <f aca="false">M12/J12</f>
        <v>0.784858044164038</v>
      </c>
      <c r="O12" s="15" t="n">
        <f aca="false">N(F12)/J12</f>
        <v>0.215141955835962</v>
      </c>
      <c r="P12" s="15" t="n">
        <f aca="false">J12/$J$15</f>
        <v>0.000128251592565162</v>
      </c>
      <c r="Q12" s="15" t="n">
        <f aca="false">I12/$I$15</f>
        <v>0.00023474729453743</v>
      </c>
      <c r="R12" s="16" t="n">
        <f aca="false">J12*100/I12</f>
        <v>2.14189189189189</v>
      </c>
      <c r="S12" s="16" t="n">
        <f aca="false">IF(N(C12)=0,"",D12*100/C12)</f>
        <v>2.1326352530541</v>
      </c>
      <c r="T12" s="16" t="n">
        <f aca="false">IF(N(E12)=0,"",F12*100/E12)</f>
        <v>3.21698113207547</v>
      </c>
      <c r="U12" s="16" t="n">
        <f aca="false">IF(N(G12)=0,"",H12*100/G12)</f>
        <v>0.360655737704918</v>
      </c>
      <c r="V12" s="17" t="n">
        <f aca="false">P12/Q12</f>
        <v>0.546338959168334</v>
      </c>
    </row>
    <row r="13" customFormat="false" ht="15" hidden="false" customHeight="false" outlineLevel="0" collapsed="false">
      <c r="A13" s="10" t="n">
        <v>7</v>
      </c>
      <c r="B13" s="10" t="s">
        <v>63</v>
      </c>
      <c r="C13" s="11" t="n">
        <v>10581</v>
      </c>
      <c r="D13" s="12" t="n">
        <v>494.66</v>
      </c>
      <c r="E13" s="11" t="n">
        <v>134158</v>
      </c>
      <c r="F13" s="12" t="n">
        <v>8156.33</v>
      </c>
      <c r="G13" s="11" t="n">
        <v>90523</v>
      </c>
      <c r="H13" s="12" t="n">
        <v>3326.76</v>
      </c>
      <c r="I13" s="11" t="n">
        <v>235262</v>
      </c>
      <c r="J13" s="12" t="n">
        <v>11977.75</v>
      </c>
      <c r="K13" s="13" t="n">
        <f aca="false">N(C13)+N(E13)+N(G13)-I13</f>
        <v>0</v>
      </c>
      <c r="L13" s="14" t="n">
        <f aca="false">N(D13)+N(F13)+N(H13)-J13</f>
        <v>0</v>
      </c>
      <c r="M13" s="14" t="n">
        <f aca="false">N(D13)+N(H13)</f>
        <v>3821.42</v>
      </c>
      <c r="N13" s="15" t="n">
        <f aca="false">M13/J13</f>
        <v>0.319043225981507</v>
      </c>
      <c r="O13" s="15" t="n">
        <f aca="false">N(F13)/J13</f>
        <v>0.680956774018493</v>
      </c>
      <c r="P13" s="15" t="n">
        <f aca="false">J13/$J$15</f>
        <v>0.0969189598010959</v>
      </c>
      <c r="Q13" s="15" t="n">
        <f aca="false">I13/$I$15</f>
        <v>0.0746312405506283</v>
      </c>
      <c r="R13" s="16" t="n">
        <f aca="false">J13*100/I13</f>
        <v>5.09123870408311</v>
      </c>
      <c r="S13" s="16" t="n">
        <f aca="false">IF(N(C13)=0,"",D13*100/C13)</f>
        <v>4.67498346092052</v>
      </c>
      <c r="T13" s="16" t="n">
        <f aca="false">IF(N(E13)=0,"",F13*100/E13)</f>
        <v>6.07964489631628</v>
      </c>
      <c r="U13" s="16" t="n">
        <f aca="false">IF(N(G13)=0,"",H13*100/G13)</f>
        <v>3.67504391149211</v>
      </c>
      <c r="V13" s="17" t="n">
        <f aca="false">P13/Q13</f>
        <v>1.29863793079184</v>
      </c>
    </row>
    <row r="14" customFormat="false" ht="15" hidden="false" customHeight="false" outlineLevel="0" collapsed="false">
      <c r="A14" s="10" t="n">
        <v>8</v>
      </c>
      <c r="B14" s="10" t="s">
        <v>64</v>
      </c>
      <c r="C14" s="11" t="n">
        <v>81</v>
      </c>
      <c r="D14" s="12" t="n">
        <v>16.7</v>
      </c>
      <c r="E14" s="11"/>
      <c r="F14" s="12"/>
      <c r="G14" s="11" t="n">
        <v>52</v>
      </c>
      <c r="H14" s="12" t="n">
        <v>6.46</v>
      </c>
      <c r="I14" s="11" t="n">
        <v>133</v>
      </c>
      <c r="J14" s="12" t="n">
        <v>23.15</v>
      </c>
      <c r="K14" s="13" t="n">
        <f aca="false">N(C14)+N(E14)+N(G14)-I14</f>
        <v>0</v>
      </c>
      <c r="L14" s="14" t="n">
        <f aca="false">N(D14)+N(F14)+N(H14)-J14</f>
        <v>0.0100000000000016</v>
      </c>
      <c r="M14" s="14" t="n">
        <f aca="false">N(D14)+N(H14)</f>
        <v>23.16</v>
      </c>
      <c r="N14" s="15" t="n">
        <f aca="false">M14/J14</f>
        <v>1.00043196544276</v>
      </c>
      <c r="O14" s="15" t="n">
        <f aca="false">N(F14)/J14</f>
        <v>0</v>
      </c>
      <c r="P14" s="15" t="n">
        <f aca="false">J14/$J$15</f>
        <v>0.000187320149393281</v>
      </c>
      <c r="Q14" s="15" t="n">
        <f aca="false">I14/$I$15</f>
        <v>4.21910678019976E-005</v>
      </c>
      <c r="R14" s="16" t="n">
        <f aca="false">J14*100/I14</f>
        <v>17.406015037594</v>
      </c>
      <c r="S14" s="16" t="n">
        <f aca="false">IF(N(C14)=0,"",D14*100/C14)</f>
        <v>20.6172839506173</v>
      </c>
      <c r="T14" s="16" t="str">
        <f aca="false">IF(N(E14)=0,"",F14*100/E14)</f>
        <v/>
      </c>
      <c r="U14" s="16" t="n">
        <f aca="false">IF(N(G14)=0,"",H14*100/G14)</f>
        <v>12.4230769230769</v>
      </c>
      <c r="V14" s="17" t="n">
        <f aca="false">P14/Q14</f>
        <v>4.43980584403251</v>
      </c>
    </row>
    <row r="15" customFormat="false" ht="15" hidden="false" customHeight="false" outlineLevel="0" collapsed="false">
      <c r="A15" s="10" t="n">
        <v>9</v>
      </c>
      <c r="B15" s="18" t="s">
        <v>65</v>
      </c>
      <c r="C15" s="11" t="n">
        <v>181918</v>
      </c>
      <c r="D15" s="12" t="n">
        <v>11935.19</v>
      </c>
      <c r="E15" s="11" t="n">
        <v>645111</v>
      </c>
      <c r="F15" s="12" t="n">
        <v>91412.67</v>
      </c>
      <c r="G15" s="11" t="n">
        <v>2325297</v>
      </c>
      <c r="H15" s="12" t="n">
        <v>20237.35</v>
      </c>
      <c r="I15" s="11" t="n">
        <v>3152326</v>
      </c>
      <c r="J15" s="12" t="n">
        <v>123585.21</v>
      </c>
      <c r="K15" s="13" t="n">
        <f aca="false">N(C15)+N(E15)+N(G15)-I15</f>
        <v>0</v>
      </c>
      <c r="L15" s="14" t="n">
        <f aca="false">N(D15)+N(F15)+N(H15)-J15</f>
        <v>0</v>
      </c>
      <c r="M15" s="14" t="n">
        <f aca="false">N(D15)+N(H15)</f>
        <v>32172.54</v>
      </c>
      <c r="N15" s="15" t="n">
        <f aca="false">M15/J15</f>
        <v>0.260326781821223</v>
      </c>
      <c r="O15" s="15" t="n">
        <f aca="false">N(F15)/J15</f>
        <v>0.739673218178777</v>
      </c>
      <c r="P15" s="15" t="n">
        <f aca="false">J15/$J$15</f>
        <v>1</v>
      </c>
      <c r="Q15" s="15" t="n">
        <f aca="false">I15/$I$15</f>
        <v>1</v>
      </c>
      <c r="R15" s="16" t="n">
        <f aca="false">J15*100/I15</f>
        <v>3.92044509355949</v>
      </c>
      <c r="S15" s="16" t="n">
        <f aca="false">IF(N(C15)=0,"",D15*100/C15)</f>
        <v>6.56075264679691</v>
      </c>
      <c r="T15" s="16" t="n">
        <f aca="false">IF(N(E15)=0,"",F15*100/E15)</f>
        <v>14.1700684068323</v>
      </c>
      <c r="U15" s="16" t="n">
        <f aca="false">IF(N(G15)=0,"",H15*100/G15)</f>
        <v>0.870312480513242</v>
      </c>
      <c r="V15" s="17" t="n">
        <f aca="false">P15/Q15</f>
        <v>1</v>
      </c>
    </row>
    <row r="16" customFormat="false" ht="15" hidden="false" customHeight="false" outlineLevel="0" collapsed="false">
      <c r="B16" s="10" t="s">
        <v>66</v>
      </c>
      <c r="C16" s="13" t="n">
        <f aca="false">SUM(C7:C14)-C15</f>
        <v>0</v>
      </c>
      <c r="D16" s="14" t="n">
        <f aca="false">SUM(D7:D14)-D15</f>
        <v>0</v>
      </c>
      <c r="E16" s="13" t="n">
        <f aca="false">SUM(E7:E14)-E15</f>
        <v>0</v>
      </c>
      <c r="F16" s="14" t="n">
        <f aca="false">SUM(F7:F14)-F15</f>
        <v>0</v>
      </c>
      <c r="G16" s="13" t="n">
        <f aca="false">SUM(G7:G14)-G15</f>
        <v>0</v>
      </c>
      <c r="H16" s="14" t="n">
        <f aca="false">SUM(H7:H14)-H15</f>
        <v>-0.00999999999839929</v>
      </c>
      <c r="I16" s="13" t="n">
        <f aca="false">SUM(I7:I14)-I15</f>
        <v>0</v>
      </c>
      <c r="J16" s="14" t="n">
        <f aca="false">SUM(J7:J14)-J15</f>
        <v>-0.0100000000093132</v>
      </c>
    </row>
    <row r="17" customFormat="false" ht="15" hidden="false" customHeight="false" outlineLevel="0" collapsed="false">
      <c r="B17" s="10" t="s">
        <v>67</v>
      </c>
      <c r="D17" s="15" t="n">
        <f aca="false">D15/J15</f>
        <v>0.0965745820232049</v>
      </c>
      <c r="F17" s="15" t="n">
        <f aca="false">F15/J15</f>
        <v>0.739673218178777</v>
      </c>
      <c r="H17" s="15" t="n">
        <f aca="false">H15/J15</f>
        <v>0.163752199798018</v>
      </c>
    </row>
    <row r="18" customFormat="false" ht="15" hidden="false" customHeight="false" outlineLevel="0" collapsed="false">
      <c r="B18" s="10" t="s">
        <v>68</v>
      </c>
      <c r="C18" s="15" t="n">
        <f aca="false">C15/I15</f>
        <v>0.0577091328752166</v>
      </c>
      <c r="E18" s="15" t="n">
        <f aca="false">E15/I15</f>
        <v>0.204646029630184</v>
      </c>
      <c r="G18" s="15" t="n">
        <f aca="false">G15/I15</f>
        <v>0.737644837494599</v>
      </c>
    </row>
    <row r="19" customFormat="false" ht="15" hidden="false" customHeight="false" outlineLevel="0" collapsed="false">
      <c r="B19" s="10" t="s">
        <v>69</v>
      </c>
      <c r="C19" s="19" t="n">
        <v>0.022</v>
      </c>
      <c r="E19" s="19" t="n">
        <v>0.0787</v>
      </c>
      <c r="G19" s="19" t="n">
        <v>0.8991</v>
      </c>
    </row>
    <row r="20" customFormat="false" ht="15" hidden="false" customHeight="false" outlineLevel="0" collapsed="false">
      <c r="B20" s="10" t="s">
        <v>70</v>
      </c>
      <c r="C20" s="20" t="n">
        <f aca="false">(C19-C18)*100</f>
        <v>-3.57091328752166</v>
      </c>
      <c r="E20" s="20" t="n">
        <f aca="false">(E19-E18)*100</f>
        <v>-12.5946029630184</v>
      </c>
      <c r="G20" s="20" t="n">
        <f aca="false">(G19-G18)*100</f>
        <v>16.1455162505401</v>
      </c>
    </row>
    <row r="22" customFormat="false" ht="15" hidden="false" customHeight="false" outlineLevel="0" collapsed="false">
      <c r="A22" s="5" t="s">
        <v>71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customFormat="false" ht="35.05" hidden="false" customHeight="false" outlineLevel="0" collapsed="false">
      <c r="A23" s="9" t="s">
        <v>35</v>
      </c>
      <c r="B23" s="9" t="s">
        <v>36</v>
      </c>
      <c r="C23" s="9" t="s">
        <v>72</v>
      </c>
      <c r="D23" s="9" t="s">
        <v>73</v>
      </c>
      <c r="E23" s="9" t="s">
        <v>74</v>
      </c>
      <c r="F23" s="9" t="s">
        <v>75</v>
      </c>
      <c r="G23" s="9" t="s">
        <v>76</v>
      </c>
      <c r="H23" s="9" t="s">
        <v>77</v>
      </c>
      <c r="I23" s="9" t="s">
        <v>78</v>
      </c>
      <c r="J23" s="9" t="s">
        <v>79</v>
      </c>
      <c r="K23" s="9" t="s">
        <v>80</v>
      </c>
      <c r="L23" s="9" t="s">
        <v>81</v>
      </c>
      <c r="M23" s="9" t="s">
        <v>82</v>
      </c>
      <c r="N23" s="9" t="s">
        <v>83</v>
      </c>
      <c r="O23" s="9" t="s">
        <v>84</v>
      </c>
      <c r="P23" s="9" t="s">
        <v>85</v>
      </c>
      <c r="Q23" s="9" t="s">
        <v>86</v>
      </c>
      <c r="R23" s="9" t="s">
        <v>87</v>
      </c>
      <c r="S23" s="9" t="s">
        <v>88</v>
      </c>
      <c r="T23" s="9" t="s">
        <v>89</v>
      </c>
      <c r="U23" s="9" t="s">
        <v>90</v>
      </c>
      <c r="V23" s="9" t="s">
        <v>91</v>
      </c>
      <c r="W23" s="9" t="s">
        <v>92</v>
      </c>
      <c r="X23" s="9" t="s">
        <v>93</v>
      </c>
    </row>
    <row r="24" customFormat="false" ht="15" hidden="false" customHeight="false" outlineLevel="0" collapsed="false">
      <c r="A24" s="10" t="n">
        <v>1</v>
      </c>
      <c r="B24" s="10" t="s">
        <v>57</v>
      </c>
      <c r="C24" s="11" t="n">
        <v>286894</v>
      </c>
      <c r="D24" s="11" t="n">
        <v>293084</v>
      </c>
      <c r="E24" s="12" t="n">
        <v>9152.02</v>
      </c>
      <c r="F24" s="11" t="n">
        <v>301483</v>
      </c>
      <c r="G24" s="12" t="n">
        <v>9630.03</v>
      </c>
      <c r="H24" s="11" t="n">
        <v>305766</v>
      </c>
      <c r="I24" s="12" t="n">
        <v>11299.44</v>
      </c>
      <c r="J24" s="11" t="n">
        <v>312403</v>
      </c>
      <c r="K24" s="12" t="n">
        <v>10501.83</v>
      </c>
      <c r="L24" s="13" t="n">
        <f aca="false">I7</f>
        <v>320395</v>
      </c>
      <c r="M24" s="14" t="n">
        <f aca="false">J7</f>
        <v>10117.09</v>
      </c>
      <c r="N24" s="15" t="n">
        <f aca="false">G24/E24-1</f>
        <v>0.0522299994973787</v>
      </c>
      <c r="O24" s="15" t="n">
        <f aca="false">I24/G24-1</f>
        <v>0.173354600141433</v>
      </c>
      <c r="P24" s="15" t="n">
        <f aca="false">K24/I24-1</f>
        <v>-0.0705884539410803</v>
      </c>
      <c r="Q24" s="15" t="n">
        <f aca="false">K24/E24-1</f>
        <v>0.147487658462285</v>
      </c>
      <c r="R24" s="15" t="n">
        <f aca="false">M24/K24-1</f>
        <v>-0.0366355197141831</v>
      </c>
      <c r="S24" s="15" t="n">
        <f aca="false">J24/C24-1</f>
        <v>0.0889143725557176</v>
      </c>
      <c r="T24" s="13" t="n">
        <f aca="false">L24-C24</f>
        <v>33501</v>
      </c>
      <c r="U24" s="16" t="n">
        <f aca="false">E24*100/D24</f>
        <v>3.1226610800999</v>
      </c>
      <c r="V24" s="16" t="n">
        <f aca="false">K24*100/J24</f>
        <v>3.36162904965701</v>
      </c>
      <c r="W24" s="15" t="n">
        <f aca="false">K24/$K$32</f>
        <v>0.0843680679608562</v>
      </c>
      <c r="X24" s="20" t="n">
        <f aca="false">(K24/$K$32-E24/$E$32)*100</f>
        <v>0.20089375821022</v>
      </c>
    </row>
    <row r="25" customFormat="false" ht="15" hidden="false" customHeight="false" outlineLevel="0" collapsed="false">
      <c r="A25" s="10" t="n">
        <v>2</v>
      </c>
      <c r="B25" s="10" t="s">
        <v>58</v>
      </c>
      <c r="C25" s="11" t="n">
        <v>296688</v>
      </c>
      <c r="D25" s="11" t="n">
        <v>295752</v>
      </c>
      <c r="E25" s="12" t="n">
        <v>8525.99</v>
      </c>
      <c r="F25" s="11" t="n">
        <v>296092</v>
      </c>
      <c r="G25" s="12" t="n">
        <v>8593.69</v>
      </c>
      <c r="H25" s="11" t="n">
        <v>295208</v>
      </c>
      <c r="I25" s="12" t="n">
        <v>8954.36</v>
      </c>
      <c r="J25" s="11" t="n">
        <v>294469</v>
      </c>
      <c r="K25" s="12" t="n">
        <v>8896.32</v>
      </c>
      <c r="L25" s="13" t="n">
        <f aca="false">I8</f>
        <v>303169</v>
      </c>
      <c r="M25" s="14" t="n">
        <f aca="false">J8</f>
        <v>9336.27</v>
      </c>
      <c r="N25" s="15" t="n">
        <f aca="false">G25/E25-1</f>
        <v>0.00794042685952023</v>
      </c>
      <c r="O25" s="15" t="n">
        <f aca="false">I25/G25-1</f>
        <v>0.0419691657483572</v>
      </c>
      <c r="P25" s="15" t="n">
        <f aca="false">K25/I25-1</f>
        <v>-0.00648175860698041</v>
      </c>
      <c r="Q25" s="15" t="n">
        <f aca="false">K25/E25-1</f>
        <v>0.0434354250943292</v>
      </c>
      <c r="R25" s="15" t="n">
        <f aca="false">M25/K25-1</f>
        <v>0.0494530322650266</v>
      </c>
      <c r="S25" s="15" t="n">
        <f aca="false">J25/C25-1</f>
        <v>-0.00747923744809365</v>
      </c>
      <c r="T25" s="13" t="n">
        <f aca="false">L25-C25</f>
        <v>6481</v>
      </c>
      <c r="U25" s="16" t="n">
        <f aca="false">E25*100/D25</f>
        <v>2.88281736049122</v>
      </c>
      <c r="V25" s="16" t="n">
        <f aca="false">K25*100/J25</f>
        <v>3.02113974645888</v>
      </c>
      <c r="W25" s="15" t="n">
        <f aca="false">K25/$K$32</f>
        <v>0.0714699562230129</v>
      </c>
      <c r="X25" s="20" t="n">
        <f aca="false">(K25/$K$32-E25/$E$32)*100</f>
        <v>-0.52555231813101</v>
      </c>
    </row>
    <row r="26" customFormat="false" ht="15" hidden="false" customHeight="false" outlineLevel="0" collapsed="false">
      <c r="A26" s="10" t="n">
        <v>3</v>
      </c>
      <c r="B26" s="10" t="s">
        <v>59</v>
      </c>
      <c r="C26" s="11" t="n">
        <v>199971</v>
      </c>
      <c r="D26" s="11" t="n">
        <v>201924</v>
      </c>
      <c r="E26" s="12" t="n">
        <v>32600.81</v>
      </c>
      <c r="F26" s="11" t="n">
        <v>204716</v>
      </c>
      <c r="G26" s="12" t="n">
        <v>33896.21</v>
      </c>
      <c r="H26" s="11" t="n">
        <v>206705</v>
      </c>
      <c r="I26" s="12" t="n">
        <v>36014.76</v>
      </c>
      <c r="J26" s="11" t="n">
        <v>208501</v>
      </c>
      <c r="K26" s="12" t="n">
        <v>35537.37</v>
      </c>
      <c r="L26" s="13" t="n">
        <f aca="false">I9</f>
        <v>210415</v>
      </c>
      <c r="M26" s="14" t="n">
        <f aca="false">J9</f>
        <v>35514.2</v>
      </c>
      <c r="N26" s="15" t="n">
        <f aca="false">G26/E26-1</f>
        <v>0.0397352090331498</v>
      </c>
      <c r="O26" s="15" t="n">
        <f aca="false">I26/G26-1</f>
        <v>0.0625010878797365</v>
      </c>
      <c r="P26" s="15" t="n">
        <f aca="false">K26/I26-1</f>
        <v>-0.0132553986198991</v>
      </c>
      <c r="Q26" s="15" t="n">
        <f aca="false">K26/E26-1</f>
        <v>0.0900762895155058</v>
      </c>
      <c r="R26" s="15" t="n">
        <f aca="false">M26/K26-1</f>
        <v>-0.000651989722368462</v>
      </c>
      <c r="S26" s="15" t="n">
        <f aca="false">J26/C26-1</f>
        <v>0.0426561851468463</v>
      </c>
      <c r="T26" s="13" t="n">
        <f aca="false">L26-C26</f>
        <v>10444</v>
      </c>
      <c r="U26" s="16" t="n">
        <f aca="false">E26*100/D26</f>
        <v>16.1450892414968</v>
      </c>
      <c r="V26" s="16" t="n">
        <f aca="false">K26*100/J26</f>
        <v>17.0442204114129</v>
      </c>
      <c r="W26" s="15" t="n">
        <f aca="false">K26/$K$32</f>
        <v>0.285494932531768</v>
      </c>
      <c r="X26" s="20" t="n">
        <f aca="false">(K26/$K$32-E26/$E$32)*100</f>
        <v>-0.78801214173046</v>
      </c>
    </row>
    <row r="27" customFormat="false" ht="15" hidden="false" customHeight="false" outlineLevel="0" collapsed="false">
      <c r="A27" s="10" t="n">
        <v>4</v>
      </c>
      <c r="B27" s="10" t="s">
        <v>60</v>
      </c>
      <c r="C27" s="11" t="n">
        <v>1969151</v>
      </c>
      <c r="D27" s="11" t="n">
        <v>1977375</v>
      </c>
      <c r="E27" s="12" t="n">
        <v>21631.95</v>
      </c>
      <c r="F27" s="11" t="n">
        <v>1988751</v>
      </c>
      <c r="G27" s="12" t="n">
        <v>25073.22</v>
      </c>
      <c r="H27" s="11" t="n">
        <v>1996911</v>
      </c>
      <c r="I27" s="12" t="n">
        <v>23983.4</v>
      </c>
      <c r="J27" s="11" t="n">
        <v>2002892</v>
      </c>
      <c r="K27" s="12" t="n">
        <v>22056.87</v>
      </c>
      <c r="L27" s="13" t="n">
        <f aca="false">I10</f>
        <v>2060467</v>
      </c>
      <c r="M27" s="14" t="n">
        <f aca="false">J10</f>
        <v>22579.86</v>
      </c>
      <c r="N27" s="15" t="n">
        <f aca="false">G27/E27-1</f>
        <v>0.159082745660932</v>
      </c>
      <c r="O27" s="15" t="n">
        <f aca="false">I27/G27-1</f>
        <v>-0.0434654982487291</v>
      </c>
      <c r="P27" s="15" t="n">
        <f aca="false">K27/I27-1</f>
        <v>-0.0803276432866067</v>
      </c>
      <c r="Q27" s="15" t="n">
        <f aca="false">K27/E27-1</f>
        <v>0.0196431667048047</v>
      </c>
      <c r="R27" s="15" t="n">
        <f aca="false">M27/K27-1</f>
        <v>0.0237109798443751</v>
      </c>
      <c r="S27" s="15" t="n">
        <f aca="false">J27/C27-1</f>
        <v>0.0171347956555896</v>
      </c>
      <c r="T27" s="13" t="n">
        <f aca="false">L27-C27</f>
        <v>91316</v>
      </c>
      <c r="U27" s="16" t="n">
        <f aca="false">E27*100/D27</f>
        <v>1.09397307035843</v>
      </c>
      <c r="V27" s="16" t="n">
        <f aca="false">K27*100/J27</f>
        <v>1.10125109092253</v>
      </c>
      <c r="W27" s="15" t="n">
        <f aca="false">K27/$K$32</f>
        <v>0.177197260588276</v>
      </c>
      <c r="X27" s="20" t="n">
        <f aca="false">(K27/$K$32-E27/$E$32)*100</f>
        <v>-1.74688994940546</v>
      </c>
    </row>
    <row r="28" customFormat="false" ht="15" hidden="false" customHeight="false" outlineLevel="0" collapsed="false">
      <c r="A28" s="10" t="n">
        <v>5</v>
      </c>
      <c r="B28" s="10" t="s">
        <v>61</v>
      </c>
      <c r="C28" s="11" t="n">
        <v>18371</v>
      </c>
      <c r="D28" s="11" t="n">
        <v>19252</v>
      </c>
      <c r="E28" s="12" t="n">
        <v>27489.43</v>
      </c>
      <c r="F28" s="11" t="n">
        <v>20061</v>
      </c>
      <c r="G28" s="12" t="n">
        <v>30692.25</v>
      </c>
      <c r="H28" s="11" t="n">
        <v>20591</v>
      </c>
      <c r="I28" s="12" t="n">
        <v>35619.69</v>
      </c>
      <c r="J28" s="11" t="n">
        <v>21236</v>
      </c>
      <c r="K28" s="12" t="n">
        <v>35474.81</v>
      </c>
      <c r="L28" s="13" t="n">
        <f aca="false">I11</f>
        <v>21745</v>
      </c>
      <c r="M28" s="14" t="n">
        <f aca="false">J11</f>
        <v>34021.03</v>
      </c>
      <c r="N28" s="15" t="n">
        <f aca="false">G28/E28-1</f>
        <v>0.116510964396133</v>
      </c>
      <c r="O28" s="15" t="n">
        <f aca="false">I28/G28-1</f>
        <v>0.160543459668157</v>
      </c>
      <c r="P28" s="15" t="n">
        <f aca="false">K28/I28-1</f>
        <v>-0.00406741327619653</v>
      </c>
      <c r="Q28" s="15" t="n">
        <f aca="false">K28/E28-1</f>
        <v>0.290489107995328</v>
      </c>
      <c r="R28" s="15" t="n">
        <f aca="false">M28/K28-1</f>
        <v>-0.0409806282260568</v>
      </c>
      <c r="S28" s="15" t="n">
        <f aca="false">J28/C28-1</f>
        <v>0.155952316150455</v>
      </c>
      <c r="T28" s="13" t="n">
        <f aca="false">L28-C28</f>
        <v>3374</v>
      </c>
      <c r="U28" s="16" t="n">
        <f aca="false">E28*100/D28</f>
        <v>142.787398711822</v>
      </c>
      <c r="V28" s="16" t="n">
        <f aca="false">K28*100/J28</f>
        <v>167.050339046901</v>
      </c>
      <c r="W28" s="15" t="n">
        <f aca="false">K28/$K$32</f>
        <v>0.284992347141256</v>
      </c>
      <c r="X28" s="20" t="n">
        <f aca="false">(K28/$K$32-E28/$E$32)*100</f>
        <v>3.76146590016292</v>
      </c>
    </row>
    <row r="29" customFormat="false" ht="15" hidden="false" customHeight="false" outlineLevel="0" collapsed="false">
      <c r="A29" s="10" t="n">
        <v>6</v>
      </c>
      <c r="B29" s="10" t="s">
        <v>62</v>
      </c>
      <c r="C29" s="11" t="n">
        <v>742</v>
      </c>
      <c r="D29" s="11" t="n">
        <v>741</v>
      </c>
      <c r="E29" s="12" t="n">
        <v>15.3</v>
      </c>
      <c r="F29" s="11" t="n">
        <v>741</v>
      </c>
      <c r="G29" s="12" t="n">
        <v>14.34</v>
      </c>
      <c r="H29" s="11" t="n">
        <v>738</v>
      </c>
      <c r="I29" s="12" t="n">
        <v>15.56</v>
      </c>
      <c r="J29" s="11" t="n">
        <v>738</v>
      </c>
      <c r="K29" s="12" t="n">
        <v>15.91</v>
      </c>
      <c r="L29" s="13" t="n">
        <f aca="false">I12</f>
        <v>740</v>
      </c>
      <c r="M29" s="14" t="n">
        <f aca="false">J12</f>
        <v>15.85</v>
      </c>
      <c r="N29" s="15" t="n">
        <f aca="false">G29/E29-1</f>
        <v>-0.0627450980392157</v>
      </c>
      <c r="O29" s="15" t="n">
        <f aca="false">I29/G29-1</f>
        <v>0.0850767085076709</v>
      </c>
      <c r="P29" s="15" t="n">
        <f aca="false">K29/I29-1</f>
        <v>0.0224935732647815</v>
      </c>
      <c r="Q29" s="15" t="n">
        <f aca="false">K29/E29-1</f>
        <v>0.0398692810457515</v>
      </c>
      <c r="R29" s="15" t="n">
        <f aca="false">M29/K29-1</f>
        <v>-0.00377121307353867</v>
      </c>
      <c r="S29" s="15" t="n">
        <f aca="false">J29/C29-1</f>
        <v>-0.00539083557951481</v>
      </c>
      <c r="T29" s="13" t="n">
        <f aca="false">L29-C29</f>
        <v>-2</v>
      </c>
      <c r="U29" s="16" t="n">
        <f aca="false">E29*100/D29</f>
        <v>2.06477732793522</v>
      </c>
      <c r="V29" s="16" t="n">
        <f aca="false">K29*100/J29</f>
        <v>2.15582655826558</v>
      </c>
      <c r="W29" s="15" t="n">
        <f aca="false">K29/$K$32</f>
        <v>0.000127815434191681</v>
      </c>
      <c r="X29" s="20" t="n">
        <f aca="false">(K29/$K$32-E29/$E$32)*100</f>
        <v>-0.0009869436994673</v>
      </c>
    </row>
    <row r="30" customFormat="false" ht="15" hidden="false" customHeight="false" outlineLevel="0" collapsed="false">
      <c r="A30" s="10" t="n">
        <v>7</v>
      </c>
      <c r="B30" s="10" t="s">
        <v>63</v>
      </c>
      <c r="C30" s="11" t="n">
        <v>233185</v>
      </c>
      <c r="D30" s="11" t="n">
        <v>232575</v>
      </c>
      <c r="E30" s="12" t="n">
        <v>11700.91</v>
      </c>
      <c r="F30" s="11" t="n">
        <v>233760</v>
      </c>
      <c r="G30" s="12" t="n">
        <v>11771.78</v>
      </c>
      <c r="H30" s="11" t="n">
        <v>232843</v>
      </c>
      <c r="I30" s="12" t="n">
        <v>12076.34</v>
      </c>
      <c r="J30" s="11" t="n">
        <v>233223</v>
      </c>
      <c r="K30" s="12" t="n">
        <v>11984.8</v>
      </c>
      <c r="L30" s="13" t="n">
        <f aca="false">I13</f>
        <v>235262</v>
      </c>
      <c r="M30" s="14" t="n">
        <f aca="false">J13</f>
        <v>11977.75</v>
      </c>
      <c r="N30" s="15" t="n">
        <f aca="false">G30/E30-1</f>
        <v>0.00605679387329716</v>
      </c>
      <c r="O30" s="15" t="n">
        <f aca="false">I30/G30-1</f>
        <v>0.0258720431404595</v>
      </c>
      <c r="P30" s="15" t="n">
        <f aca="false">K30/I30-1</f>
        <v>-0.00758011119262958</v>
      </c>
      <c r="Q30" s="15" t="n">
        <f aca="false">K30/E30-1</f>
        <v>0.0242622155028966</v>
      </c>
      <c r="R30" s="15" t="n">
        <f aca="false">M30/K30-1</f>
        <v>-0.000588245110473173</v>
      </c>
      <c r="S30" s="15" t="n">
        <f aca="false">J30/C30-1</f>
        <v>0.0001629607393272</v>
      </c>
      <c r="T30" s="13" t="n">
        <f aca="false">L30-C30</f>
        <v>2077</v>
      </c>
      <c r="U30" s="16" t="n">
        <f aca="false">E30*100/D30</f>
        <v>5.03102655057508</v>
      </c>
      <c r="V30" s="16" t="n">
        <f aca="false">K30*100/J30</f>
        <v>5.13877276254915</v>
      </c>
      <c r="W30" s="15" t="n">
        <f aca="false">K30/$K$32</f>
        <v>0.0962817357448434</v>
      </c>
      <c r="X30" s="20" t="n">
        <f aca="false">(K30/$K$32-E30/$E$32)*100</f>
        <v>-0.901488426255015</v>
      </c>
    </row>
    <row r="31" customFormat="false" ht="15" hidden="false" customHeight="false" outlineLevel="0" collapsed="false">
      <c r="A31" s="10" t="n">
        <v>8</v>
      </c>
      <c r="B31" s="10" t="s">
        <v>64</v>
      </c>
      <c r="C31" s="11" t="n">
        <v>137</v>
      </c>
      <c r="D31" s="11" t="n">
        <v>137</v>
      </c>
      <c r="E31" s="12" t="n">
        <v>6.91</v>
      </c>
      <c r="F31" s="11" t="n">
        <v>138</v>
      </c>
      <c r="G31" s="12" t="n">
        <v>6.5</v>
      </c>
      <c r="H31" s="11" t="n">
        <v>136</v>
      </c>
      <c r="I31" s="12" t="n">
        <v>12.53</v>
      </c>
      <c r="J31" s="11" t="n">
        <v>136</v>
      </c>
      <c r="K31" s="12" t="n">
        <v>8.45</v>
      </c>
      <c r="L31" s="13" t="n">
        <f aca="false">I14</f>
        <v>133</v>
      </c>
      <c r="M31" s="14" t="n">
        <f aca="false">J14</f>
        <v>23.15</v>
      </c>
      <c r="N31" s="15" t="n">
        <f aca="false">G31/E31-1</f>
        <v>-0.0593342981186686</v>
      </c>
      <c r="O31" s="15" t="n">
        <f aca="false">I31/G31-1</f>
        <v>0.927692307692308</v>
      </c>
      <c r="P31" s="15" t="n">
        <f aca="false">K31/I31-1</f>
        <v>-0.32561851556265</v>
      </c>
      <c r="Q31" s="15" t="n">
        <f aca="false">K31/E31-1</f>
        <v>0.222865412445731</v>
      </c>
      <c r="R31" s="15" t="n">
        <f aca="false">M31/K31-1</f>
        <v>1.7396449704142</v>
      </c>
      <c r="S31" s="15" t="n">
        <f aca="false">J31/C31-1</f>
        <v>-0.00729927007299269</v>
      </c>
      <c r="T31" s="13" t="n">
        <f aca="false">L31-C31</f>
        <v>-4</v>
      </c>
      <c r="U31" s="16" t="n">
        <f aca="false">E31*100/D31</f>
        <v>5.04379562043796</v>
      </c>
      <c r="V31" s="16" t="n">
        <f aca="false">K31*100/J31</f>
        <v>6.21323529411765</v>
      </c>
      <c r="W31" s="15" t="n">
        <f aca="false">K31/$K$32</f>
        <v>6.7884375796336E-005</v>
      </c>
      <c r="X31" s="20" t="n">
        <f aca="false">(K31/$K$32-E31/$E$32)*100</f>
        <v>0.000570120848276037</v>
      </c>
    </row>
    <row r="32" customFormat="false" ht="15" hidden="false" customHeight="false" outlineLevel="0" collapsed="false">
      <c r="A32" s="10" t="n">
        <v>9</v>
      </c>
      <c r="B32" s="18" t="s">
        <v>65</v>
      </c>
      <c r="C32" s="11" t="n">
        <v>3005139</v>
      </c>
      <c r="D32" s="11" t="n">
        <v>3020840</v>
      </c>
      <c r="E32" s="12" t="n">
        <v>111123.32</v>
      </c>
      <c r="F32" s="11" t="n">
        <v>3045742</v>
      </c>
      <c r="G32" s="12" t="n">
        <v>119678.01</v>
      </c>
      <c r="H32" s="11" t="n">
        <v>3058898</v>
      </c>
      <c r="I32" s="12" t="n">
        <v>127976.09</v>
      </c>
      <c r="J32" s="11" t="n">
        <v>3073598</v>
      </c>
      <c r="K32" s="12" t="n">
        <v>124476.36</v>
      </c>
      <c r="L32" s="13" t="n">
        <f aca="false">I15</f>
        <v>3152326</v>
      </c>
      <c r="M32" s="14" t="n">
        <f aca="false">J15</f>
        <v>123585.21</v>
      </c>
      <c r="N32" s="15" t="n">
        <f aca="false">G32/E32-1</f>
        <v>0.0769837510254372</v>
      </c>
      <c r="O32" s="15" t="n">
        <f aca="false">I32/G32-1</f>
        <v>0.0693367144055954</v>
      </c>
      <c r="P32" s="15" t="n">
        <f aca="false">K32/I32-1</f>
        <v>-0.0273467489122382</v>
      </c>
      <c r="Q32" s="15" t="n">
        <f aca="false">K32/E32-1</f>
        <v>0.120164156362499</v>
      </c>
      <c r="R32" s="15" t="n">
        <f aca="false">M32/K32-1</f>
        <v>-0.00715919070898274</v>
      </c>
      <c r="S32" s="15" t="n">
        <f aca="false">J32/C32-1</f>
        <v>0.0227806434244806</v>
      </c>
      <c r="T32" s="13" t="n">
        <f aca="false">L32-C32</f>
        <v>147187</v>
      </c>
      <c r="U32" s="16" t="n">
        <f aca="false">E32*100/D32</f>
        <v>3.6785569576674</v>
      </c>
      <c r="V32" s="16" t="n">
        <f aca="false">K32*100/J32</f>
        <v>4.0498581792414</v>
      </c>
      <c r="W32" s="15" t="n">
        <f aca="false">K32/$K$32</f>
        <v>1</v>
      </c>
      <c r="X32" s="20" t="n">
        <f aca="false">(K32/$K$32-E32/$E$32)*100</f>
        <v>0</v>
      </c>
    </row>
    <row r="33" customFormat="false" ht="15" hidden="false" customHeight="false" outlineLevel="0" collapsed="false">
      <c r="B33" s="10" t="s">
        <v>94</v>
      </c>
      <c r="C33" s="13" t="n">
        <f aca="false">SUM(C24:C31)-C32</f>
        <v>0</v>
      </c>
      <c r="D33" s="13" t="n">
        <f aca="false">SUM(D24:D31)-D32</f>
        <v>0</v>
      </c>
      <c r="E33" s="14" t="n">
        <f aca="false">SUM(E24:E31)-E32</f>
        <v>0</v>
      </c>
      <c r="F33" s="13" t="n">
        <f aca="false">SUM(F24:F31)-F32</f>
        <v>0</v>
      </c>
      <c r="G33" s="14" t="n">
        <f aca="false">SUM(G24:G31)-G32</f>
        <v>0.0100000000093132</v>
      </c>
      <c r="H33" s="13" t="n">
        <f aca="false">SUM(H24:H31)-H32</f>
        <v>0</v>
      </c>
      <c r="I33" s="14" t="n">
        <f aca="false">SUM(I24:I31)-I32</f>
        <v>-0.00999999999476131</v>
      </c>
      <c r="J33" s="13" t="n">
        <f aca="false">SUM(J24:J31)-J32</f>
        <v>0</v>
      </c>
      <c r="K33" s="14" t="n">
        <f aca="false">SUM(K24:K31)-K32</f>
        <v>0</v>
      </c>
    </row>
    <row r="36" customFormat="false" ht="15" hidden="false" customHeight="false" outlineLevel="0" collapsed="false">
      <c r="A36" s="5" t="s">
        <v>95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customFormat="false" ht="23.85" hidden="false" customHeight="false" outlineLevel="0" collapsed="false">
      <c r="A37" s="9" t="s">
        <v>35</v>
      </c>
      <c r="B37" s="9" t="s">
        <v>96</v>
      </c>
      <c r="C37" s="9" t="s">
        <v>97</v>
      </c>
      <c r="D37" s="9" t="s">
        <v>98</v>
      </c>
      <c r="E37" s="9" t="s">
        <v>99</v>
      </c>
    </row>
    <row r="38" customFormat="false" ht="68.65" hidden="false" customHeight="false" outlineLevel="0" collapsed="false">
      <c r="A38" s="10" t="n">
        <v>1</v>
      </c>
      <c r="B38" s="21" t="s">
        <v>100</v>
      </c>
      <c r="C38" s="20" t="n">
        <f aca="false">G20</f>
        <v>16.1455162505401</v>
      </c>
      <c r="D38" s="10" t="s">
        <v>101</v>
      </c>
      <c r="E38" s="22" t="s">
        <v>102</v>
      </c>
    </row>
    <row r="39" customFormat="false" ht="23.85" hidden="false" customHeight="false" outlineLevel="0" collapsed="false">
      <c r="A39" s="10" t="n">
        <v>2</v>
      </c>
      <c r="B39" s="21" t="s">
        <v>103</v>
      </c>
      <c r="C39" s="14" t="n">
        <f aca="false">MAX(ABS(MIN(C16:J16)),MAX(C16:J16),ABS(MIN(C33:K33)),MAX(C33:K33))</f>
        <v>0.0100000000093132</v>
      </c>
      <c r="D39" s="10" t="s">
        <v>104</v>
      </c>
      <c r="E39" s="22" t="s">
        <v>105</v>
      </c>
    </row>
    <row r="40" customFormat="false" ht="79.85" hidden="false" customHeight="false" outlineLevel="0" collapsed="false">
      <c r="A40" s="10" t="n">
        <v>3</v>
      </c>
      <c r="B40" s="21" t="s">
        <v>106</v>
      </c>
      <c r="C40" s="16" t="n">
        <f aca="false">R11</f>
        <v>156.454495286273</v>
      </c>
      <c r="D40" s="10" t="s">
        <v>107</v>
      </c>
      <c r="E40" s="22" t="s">
        <v>108</v>
      </c>
    </row>
    <row r="41" customFormat="false" ht="68.65" hidden="false" customHeight="false" outlineLevel="0" collapsed="false">
      <c r="A41" s="10" t="n">
        <v>4</v>
      </c>
      <c r="B41" s="21" t="s">
        <v>109</v>
      </c>
      <c r="C41" s="15" t="n">
        <f aca="false">P32</f>
        <v>-0.0273467489122382</v>
      </c>
      <c r="D41" s="10" t="s">
        <v>110</v>
      </c>
      <c r="E41" s="22" t="s">
        <v>111</v>
      </c>
    </row>
    <row r="42" customFormat="false" ht="79.85" hidden="false" customHeight="false" outlineLevel="0" collapsed="false">
      <c r="A42" s="10" t="n">
        <v>5</v>
      </c>
      <c r="B42" s="21" t="s">
        <v>112</v>
      </c>
      <c r="C42" s="13" t="n">
        <f aca="false">T32</f>
        <v>147187</v>
      </c>
      <c r="D42" s="10" t="s">
        <v>113</v>
      </c>
      <c r="E42" s="22" t="s">
        <v>114</v>
      </c>
    </row>
    <row r="43" customFormat="false" ht="35.05" hidden="false" customHeight="false" outlineLevel="0" collapsed="false">
      <c r="A43" s="10" t="n">
        <v>6</v>
      </c>
      <c r="B43" s="21" t="s">
        <v>115</v>
      </c>
      <c r="C43" s="15" t="n">
        <f aca="false">N15</f>
        <v>0.260326781821223</v>
      </c>
      <c r="D43" s="10" t="s">
        <v>110</v>
      </c>
      <c r="E43" s="22" t="s">
        <v>116</v>
      </c>
    </row>
    <row r="45" customFormat="false" ht="15" hidden="false" customHeight="false" outlineLevel="0" collapsed="false">
      <c r="A45" s="5" t="s">
        <v>117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7" customFormat="false" ht="15" hidden="false" customHeight="false" outlineLevel="0" collapsed="false">
      <c r="A47" s="5" t="s">
        <v>118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customFormat="false" ht="23.85" hidden="false" customHeight="false" outlineLevel="0" collapsed="false">
      <c r="A48" s="9" t="s">
        <v>35</v>
      </c>
      <c r="B48" s="9" t="s">
        <v>119</v>
      </c>
      <c r="C48" s="9" t="s">
        <v>120</v>
      </c>
      <c r="D48" s="9" t="s">
        <v>121</v>
      </c>
      <c r="E48" s="9" t="s">
        <v>122</v>
      </c>
      <c r="F48" s="9" t="s">
        <v>98</v>
      </c>
      <c r="G48" s="9" t="s">
        <v>123</v>
      </c>
    </row>
    <row r="49" customFormat="false" ht="46.25" hidden="false" customHeight="false" outlineLevel="0" collapsed="false">
      <c r="A49" s="10" t="n">
        <v>1</v>
      </c>
      <c r="B49" s="18" t="s">
        <v>124</v>
      </c>
      <c r="C49" s="22" t="s">
        <v>125</v>
      </c>
      <c r="D49" s="22" t="s">
        <v>126</v>
      </c>
      <c r="E49" s="14" t="n">
        <f aca="false">J15</f>
        <v>123585.21</v>
      </c>
      <c r="F49" s="10" t="s">
        <v>104</v>
      </c>
      <c r="G49" s="22"/>
    </row>
    <row r="50" customFormat="false" ht="57.45" hidden="false" customHeight="false" outlineLevel="0" collapsed="false">
      <c r="A50" s="10" t="n">
        <v>2</v>
      </c>
      <c r="B50" s="18" t="s">
        <v>124</v>
      </c>
      <c r="C50" s="22" t="s">
        <v>127</v>
      </c>
      <c r="D50" s="22" t="s">
        <v>126</v>
      </c>
      <c r="E50" s="13" t="n">
        <f aca="false">G10</f>
        <v>1802921</v>
      </c>
      <c r="F50" s="10" t="s">
        <v>113</v>
      </c>
      <c r="G50" s="22"/>
    </row>
    <row r="51" customFormat="false" ht="57.45" hidden="false" customHeight="false" outlineLevel="0" collapsed="false">
      <c r="A51" s="10" t="n">
        <v>3</v>
      </c>
      <c r="B51" s="18" t="s">
        <v>124</v>
      </c>
      <c r="C51" s="22" t="s">
        <v>128</v>
      </c>
      <c r="D51" s="22" t="s">
        <v>126</v>
      </c>
      <c r="E51" s="14" t="n">
        <f aca="false">I26</f>
        <v>36014.76</v>
      </c>
      <c r="F51" s="10" t="s">
        <v>104</v>
      </c>
      <c r="G51" s="22"/>
    </row>
    <row r="52" customFormat="false" ht="46.25" hidden="false" customHeight="false" outlineLevel="0" collapsed="false">
      <c r="A52" s="10" t="n">
        <v>4</v>
      </c>
      <c r="B52" s="18" t="s">
        <v>129</v>
      </c>
      <c r="C52" s="22" t="s">
        <v>130</v>
      </c>
      <c r="D52" s="22" t="s">
        <v>131</v>
      </c>
      <c r="E52" s="15" t="n">
        <f aca="false">N15</f>
        <v>0.260326781821223</v>
      </c>
      <c r="F52" s="10" t="s">
        <v>110</v>
      </c>
      <c r="G52" s="22"/>
    </row>
    <row r="53" customFormat="false" ht="57.45" hidden="false" customHeight="false" outlineLevel="0" collapsed="false">
      <c r="A53" s="10" t="n">
        <v>5</v>
      </c>
      <c r="B53" s="18" t="s">
        <v>129</v>
      </c>
      <c r="C53" s="22" t="s">
        <v>132</v>
      </c>
      <c r="D53" s="22" t="s">
        <v>133</v>
      </c>
      <c r="E53" s="16" t="n">
        <f aca="false">R11</f>
        <v>156.454495286273</v>
      </c>
      <c r="F53" s="10" t="s">
        <v>107</v>
      </c>
      <c r="G53" s="22"/>
    </row>
    <row r="54" customFormat="false" ht="57.45" hidden="false" customHeight="false" outlineLevel="0" collapsed="false">
      <c r="A54" s="10" t="n">
        <v>6</v>
      </c>
      <c r="B54" s="18" t="s">
        <v>129</v>
      </c>
      <c r="C54" s="22" t="s">
        <v>134</v>
      </c>
      <c r="D54" s="22" t="s">
        <v>135</v>
      </c>
      <c r="E54" s="15" t="n">
        <f aca="false">P32</f>
        <v>-0.0273467489122382</v>
      </c>
      <c r="F54" s="10" t="s">
        <v>110</v>
      </c>
      <c r="G54" s="22"/>
    </row>
    <row r="55" customFormat="false" ht="79.85" hidden="false" customHeight="false" outlineLevel="0" collapsed="false">
      <c r="A55" s="10" t="n">
        <v>7</v>
      </c>
      <c r="B55" s="18" t="s">
        <v>129</v>
      </c>
      <c r="C55" s="22" t="s">
        <v>136</v>
      </c>
      <c r="D55" s="22" t="s">
        <v>137</v>
      </c>
      <c r="E55" s="20" t="n">
        <f aca="false">X26</f>
        <v>-0.78801214173046</v>
      </c>
      <c r="F55" s="10" t="s">
        <v>101</v>
      </c>
      <c r="G55" s="22"/>
    </row>
    <row r="56" customFormat="false" ht="91" hidden="false" customHeight="false" outlineLevel="0" collapsed="false">
      <c r="A56" s="10" t="n">
        <v>8</v>
      </c>
      <c r="B56" s="18" t="s">
        <v>138</v>
      </c>
      <c r="C56" s="22" t="s">
        <v>139</v>
      </c>
      <c r="D56" s="22" t="s">
        <v>140</v>
      </c>
      <c r="E56" s="15" t="n">
        <f aca="false">(K27-I27)/(K32-I32)</f>
        <v>0.550479608426937</v>
      </c>
      <c r="F56" s="10" t="s">
        <v>110</v>
      </c>
      <c r="G56" s="22" t="s">
        <v>141</v>
      </c>
    </row>
    <row r="57" customFormat="false" ht="124.6" hidden="false" customHeight="false" outlineLevel="0" collapsed="false">
      <c r="A57" s="10" t="n">
        <v>9</v>
      </c>
      <c r="B57" s="18" t="s">
        <v>138</v>
      </c>
      <c r="C57" s="22" t="s">
        <v>142</v>
      </c>
      <c r="D57" s="22" t="s">
        <v>70</v>
      </c>
      <c r="E57" s="20" t="n">
        <f aca="false">G20</f>
        <v>16.1455162505401</v>
      </c>
      <c r="F57" s="10" t="s">
        <v>101</v>
      </c>
      <c r="G57" s="22" t="s">
        <v>143</v>
      </c>
    </row>
    <row r="58" customFormat="false" ht="147" hidden="false" customHeight="false" outlineLevel="0" collapsed="false">
      <c r="A58" s="10" t="n">
        <v>10</v>
      </c>
      <c r="B58" s="18" t="s">
        <v>138</v>
      </c>
      <c r="C58" s="22" t="s">
        <v>144</v>
      </c>
      <c r="D58" s="22" t="s">
        <v>145</v>
      </c>
      <c r="E58" s="15" t="n">
        <f aca="false">(J11+J9)/J15</f>
        <v>0.562650093809769</v>
      </c>
      <c r="F58" s="10" t="s">
        <v>110</v>
      </c>
      <c r="G58" s="22" t="s">
        <v>146</v>
      </c>
    </row>
    <row r="60" customFormat="false" ht="15" hidden="false" customHeight="false" outlineLevel="0" collapsed="false">
      <c r="A60" s="5" t="s">
        <v>147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customFormat="false" ht="69.75" hidden="false" customHeight="true" outlineLevel="0" collapsed="false">
      <c r="A61" s="23" t="s">
        <v>148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3" customFormat="false" ht="15" hidden="false" customHeight="false" outlineLevel="0" collapsed="false">
      <c r="A63" s="4" t="s">
        <v>2</v>
      </c>
    </row>
  </sheetData>
  <mergeCells count="1">
    <mergeCell ref="A61:X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24"/>
    <col collapsed="false" customWidth="true" hidden="false" outlineLevel="0" max="6" min="6" style="1" width="78"/>
  </cols>
  <sheetData>
    <row r="1" customFormat="false" ht="17.35" hidden="false" customHeight="false" outlineLevel="0" collapsed="false">
      <c r="A1" s="2" t="s">
        <v>149</v>
      </c>
    </row>
    <row r="2" customFormat="false" ht="15" hidden="false" customHeight="false" outlineLevel="0" collapsed="false">
      <c r="A2" s="3" t="s">
        <v>150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151</v>
      </c>
      <c r="B5" s="6"/>
      <c r="C5" s="6"/>
      <c r="D5" s="6"/>
      <c r="E5" s="6"/>
      <c r="F5" s="6"/>
    </row>
    <row r="6" customFormat="false" ht="15" hidden="false" customHeight="false" outlineLevel="0" collapsed="false">
      <c r="B6" s="24" t="s">
        <v>152</v>
      </c>
      <c r="C6" s="24" t="s">
        <v>153</v>
      </c>
      <c r="D6" s="24"/>
      <c r="E6" s="24"/>
      <c r="F6" s="24"/>
    </row>
    <row r="7" customFormat="false" ht="15" hidden="false" customHeight="true" outlineLevel="0" collapsed="false">
      <c r="B7" s="18" t="s">
        <v>154</v>
      </c>
      <c r="C7" s="22" t="s">
        <v>155</v>
      </c>
      <c r="D7" s="22"/>
      <c r="E7" s="22"/>
      <c r="F7" s="22"/>
    </row>
    <row r="8" customFormat="false" ht="15" hidden="false" customHeight="true" outlineLevel="0" collapsed="false">
      <c r="B8" s="18" t="s">
        <v>156</v>
      </c>
      <c r="C8" s="22" t="s">
        <v>157</v>
      </c>
      <c r="D8" s="22"/>
      <c r="E8" s="22"/>
      <c r="F8" s="22"/>
    </row>
    <row r="9" customFormat="false" ht="15" hidden="false" customHeight="true" outlineLevel="0" collapsed="false">
      <c r="B9" s="18" t="s">
        <v>158</v>
      </c>
      <c r="C9" s="22" t="s">
        <v>159</v>
      </c>
      <c r="D9" s="22"/>
      <c r="E9" s="22"/>
      <c r="F9" s="22"/>
    </row>
    <row r="10" customFormat="false" ht="15" hidden="false" customHeight="true" outlineLevel="0" collapsed="false">
      <c r="B10" s="18" t="s">
        <v>160</v>
      </c>
      <c r="C10" s="22" t="s">
        <v>161</v>
      </c>
      <c r="D10" s="22"/>
      <c r="E10" s="22"/>
      <c r="F10" s="22"/>
    </row>
    <row r="11" customFormat="false" ht="15" hidden="false" customHeight="true" outlineLevel="0" collapsed="false">
      <c r="B11" s="18" t="s">
        <v>162</v>
      </c>
      <c r="C11" s="22" t="s">
        <v>163</v>
      </c>
      <c r="D11" s="22"/>
      <c r="E11" s="22"/>
      <c r="F11" s="22"/>
    </row>
    <row r="12" customFormat="false" ht="15" hidden="false" customHeight="true" outlineLevel="0" collapsed="false">
      <c r="B12" s="18" t="s">
        <v>164</v>
      </c>
      <c r="C12" s="22" t="s">
        <v>165</v>
      </c>
      <c r="D12" s="22"/>
      <c r="E12" s="22"/>
      <c r="F12" s="22"/>
    </row>
    <row r="13" customFormat="false" ht="15" hidden="false" customHeight="true" outlineLevel="0" collapsed="false">
      <c r="B13" s="18" t="s">
        <v>166</v>
      </c>
      <c r="C13" s="22" t="s">
        <v>167</v>
      </c>
      <c r="D13" s="22"/>
      <c r="E13" s="22"/>
      <c r="F13" s="22"/>
    </row>
    <row r="14" customFormat="false" ht="15" hidden="false" customHeight="true" outlineLevel="0" collapsed="false">
      <c r="B14" s="18" t="s">
        <v>168</v>
      </c>
      <c r="C14" s="22" t="s">
        <v>169</v>
      </c>
      <c r="D14" s="22"/>
      <c r="E14" s="22"/>
      <c r="F14" s="22"/>
    </row>
    <row r="15" customFormat="false" ht="15" hidden="false" customHeight="true" outlineLevel="0" collapsed="false">
      <c r="B15" s="18" t="s">
        <v>170</v>
      </c>
      <c r="C15" s="22" t="s">
        <v>171</v>
      </c>
      <c r="D15" s="22"/>
      <c r="E15" s="22"/>
      <c r="F15" s="22"/>
    </row>
    <row r="16" customFormat="false" ht="15" hidden="false" customHeight="false" outlineLevel="0" collapsed="false">
      <c r="B16" s="25" t="s">
        <v>172</v>
      </c>
    </row>
    <row r="18" customFormat="false" ht="15" hidden="false" customHeight="false" outlineLevel="0" collapsed="false">
      <c r="A18" s="5" t="s">
        <v>173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9" t="s">
        <v>35</v>
      </c>
      <c r="B19" s="9" t="s">
        <v>174</v>
      </c>
      <c r="C19" s="9" t="s">
        <v>175</v>
      </c>
      <c r="D19" s="9" t="s">
        <v>176</v>
      </c>
      <c r="E19" s="9" t="s">
        <v>177</v>
      </c>
      <c r="F19" s="9" t="s">
        <v>178</v>
      </c>
    </row>
    <row r="20" customFormat="false" ht="15" hidden="false" customHeight="false" outlineLevel="0" collapsed="false">
      <c r="A20" s="10" t="n">
        <v>1</v>
      </c>
      <c r="B20" s="22" t="s">
        <v>179</v>
      </c>
      <c r="C20" s="22" t="s">
        <v>180</v>
      </c>
      <c r="D20" s="22" t="s">
        <v>154</v>
      </c>
      <c r="E20" s="22" t="s">
        <v>181</v>
      </c>
      <c r="F20" s="26" t="str">
        <f aca="false">"INSIGNIA CA / Dep / SA "&amp;TEXT(B1_Liability_Summary!D9,"#,##0.00;-#,##0.00;0.00")&amp;" / "&amp;TEXT(B1_Liability_Summary!F9,"#,##0.00;-#,##0.00;0.00")&amp;" / "&amp;TEXT(B1_Liability_Summary!H9,"#,##0.00;-#,##0.00;0.00")&amp;"; accounts "&amp;TEXT(B1_Liability_Summary!C9,"#,##0")&amp;" / "&amp;TEXT(B1_Liability_Summary!E9,"#,##0")&amp;" / "&amp;TEXT(B1_Liability_Summary!G9,"#,##0")</f>
        <v>INSIGNIA CA / Dep / SA 3,450.76 / 21,935.17 / 10,128.26; accounts 20,478 / 117,652 / 72,285</v>
      </c>
    </row>
    <row r="21" customFormat="false" ht="15" hidden="false" customHeight="false" outlineLevel="0" collapsed="false">
      <c r="A21" s="10" t="n">
        <v>2</v>
      </c>
      <c r="B21" s="22" t="s">
        <v>179</v>
      </c>
      <c r="C21" s="22" t="s">
        <v>182</v>
      </c>
      <c r="D21" s="22" t="s">
        <v>183</v>
      </c>
      <c r="E21" s="22" t="s">
        <v>184</v>
      </c>
      <c r="F21" s="26" t="str">
        <f aca="false">TEXT(B1_Liability_Summary!J7,"#,##0.00;-#,##0.00;0.00")&amp;" / "&amp;TEXT(B1_Liability_Summary!J8,"#,##0.00;-#,##0.00;0.00")&amp;" / "&amp;TEXT(B1_Liability_Summary!J9,"#,##0.00;-#,##0.00;0.00")&amp;" / "&amp;TEXT(B1_Liability_Summary!J10,"#,##0.00;-#,##0.00;0.00")&amp;" / "&amp;TEXT(B1_Liability_Summary!J11,"#,##0.00;-#,##0.00;0.00")&amp;" / "&amp;TEXT(B1_Liability_Summary!J12,"#,##0.00;-#,##0.00;0.00")&amp;" / "&amp;TEXT(B1_Liability_Summary!J13,"#,##0.00;-#,##0.00;0.00")&amp;" / "&amp;TEXT(B1_Liability_Summary!J14,"#,##0.00;-#,##0.00;0.00")&amp;" / "&amp;TEXT(B1_Liability_Summary!J15,"#,##0.00;-#,##0.00;0.00")</f>
        <v>10,117.09 / 9,336.27 / 35,514.20 / 22,579.86 / 34,021.03 / 15.85 / 11,977.75 / 23.15 / 123,585.21</v>
      </c>
    </row>
    <row r="22" customFormat="false" ht="15" hidden="false" customHeight="false" outlineLevel="0" collapsed="false">
      <c r="A22" s="10" t="n">
        <v>3</v>
      </c>
      <c r="B22" s="22" t="s">
        <v>179</v>
      </c>
      <c r="C22" s="22" t="s">
        <v>185</v>
      </c>
      <c r="D22" s="22" t="s">
        <v>186</v>
      </c>
      <c r="E22" s="22" t="s">
        <v>187</v>
      </c>
      <c r="F22" s="26" t="str">
        <f aca="false">"GT Jan → Apr "&amp;TEXT(B1_Liability_Summary!E32,"#,##0.00;-#,##0.00;0.00")&amp;" / "&amp;TEXT(B1_Liability_Summary!G32,"#,##0.00;-#,##0.00;0.00")&amp;" / "&amp;TEXT(B1_Liability_Summary!I32,"#,##0.00;-#,##0.00;0.00")&amp;" / "&amp;TEXT(B1_Liability_Summary!K32,"#,##0.00;-#,##0.00;0.00")</f>
        <v>GT Jan → Apr 111,123.32 / 119,678.01 / 127,976.09 / 124,476.36</v>
      </c>
    </row>
    <row r="23" customFormat="false" ht="15" hidden="false" customHeight="false" outlineLevel="0" collapsed="false">
      <c r="A23" s="10" t="n">
        <v>4</v>
      </c>
      <c r="B23" s="22" t="s">
        <v>188</v>
      </c>
      <c r="C23" s="22" t="s">
        <v>189</v>
      </c>
      <c r="D23" s="22" t="s">
        <v>190</v>
      </c>
      <c r="E23" s="22" t="s">
        <v>191</v>
      </c>
      <c r="F23" s="26" t="str">
        <f aca="false">"max |gap| "&amp;TEXT(MAX(ABS(MIN(B1_Liability_Summary!L7:L15)),MAX(B1_Liability_Summary!L7:L15)),"#,##0.00;-#,##0.00;0.00")&amp;" ₹ Cr; accounts "&amp;TEXT(MAX(ABS(MIN(B1_Liability_Summary!K7:K15)),MAX(B1_Liability_Summary!K7:K15)),"#,##0")</f>
        <v>max |gap| 0.01 ₹ Cr; accounts 0</v>
      </c>
    </row>
    <row r="24" customFormat="false" ht="15" hidden="false" customHeight="false" outlineLevel="0" collapsed="false">
      <c r="A24" s="10" t="n">
        <v>5</v>
      </c>
      <c r="B24" s="22" t="s">
        <v>188</v>
      </c>
      <c r="C24" s="22" t="s">
        <v>192</v>
      </c>
      <c r="D24" s="22" t="s">
        <v>193</v>
      </c>
      <c r="E24" s="22" t="s">
        <v>194</v>
      </c>
      <c r="F24" s="26" t="str">
        <f aca="false">TEXT(B1_Liability_Summary!C16,"#,##0.00;-#,##0.00;0.00")&amp;" / "&amp;TEXT(B1_Liability_Summary!D16,"#,##0.00;-#,##0.00;0.00")&amp;" / "&amp;TEXT(B1_Liability_Summary!E16,"#,##0.00;-#,##0.00;0.00")&amp;" / "&amp;TEXT(B1_Liability_Summary!F16,"#,##0.00;-#,##0.00;0.00")&amp;" / "&amp;TEXT(B1_Liability_Summary!G16,"#,##0.00;-#,##0.00;0.00")&amp;" / "&amp;TEXT(B1_Liability_Summary!H16,"#,##0.00;-#,##0.00;0.00")&amp;" / "&amp;TEXT(B1_Liability_Summary!I16,"#,##0.00;-#,##0.00;0.00")&amp;" / "&amp;TEXT(B1_Liability_Summary!J16,"#,##0.00;-#,##0.00;0.00")&amp;"; trend "&amp;TEXT(B1_Liability_Summary!E33,"#,##0.00;-#,##0.00;0.00")&amp;" / "&amp;TEXT(B1_Liability_Summary!G33,"#,##0.00;-#,##0.00;0.00")&amp;" / "&amp;TEXT(B1_Liability_Summary!I33,"#,##0.00;-#,##0.00;0.00")&amp;" / "&amp;TEXT(B1_Liability_Summary!K33,"#,##0.00;-#,##0.00;0.00")</f>
        <v>0.00 / 0.00 / 0.00 / 0.00 / 0.00 / -0.01 / 0.00 / -0.01; trend 0.00 / 0.01 / -0.01 / 0.00</v>
      </c>
    </row>
    <row r="25" customFormat="false" ht="15" hidden="false" customHeight="false" outlineLevel="0" collapsed="false">
      <c r="A25" s="10" t="n">
        <v>6</v>
      </c>
      <c r="B25" s="22" t="s">
        <v>195</v>
      </c>
      <c r="C25" s="22" t="s">
        <v>48</v>
      </c>
      <c r="D25" s="22" t="s">
        <v>160</v>
      </c>
      <c r="E25" s="22" t="s">
        <v>184</v>
      </c>
      <c r="F25" s="26" t="str">
        <f aca="false">TEXT(B1_Liability_Summary!N7,"0.0%")&amp;" / "&amp;TEXT(B1_Liability_Summary!N8,"0.0%")&amp;" / "&amp;TEXT(B1_Liability_Summary!N9,"0.0%")&amp;" / "&amp;TEXT(B1_Liability_Summary!N10,"0.0%")&amp;" / "&amp;TEXT(B1_Liability_Summary!N11,"0.0%")&amp;" / "&amp;TEXT(B1_Liability_Summary!N12,"0.0%")&amp;" / "&amp;TEXT(B1_Liability_Summary!N13,"0.0%")&amp;" / "&amp;TEXT(B1_Liability_Summary!N14,"0.0%")&amp;" / "&amp;TEXT(B1_Liability_Summary!N15,"0.0%")</f>
        <v>31.4% / 28.7% / 38.2% / 21.5% / 11.8% / 78.5% / 31.9% / 100.0% / 26.0%</v>
      </c>
    </row>
    <row r="26" customFormat="false" ht="15" hidden="false" customHeight="false" outlineLevel="0" collapsed="false">
      <c r="A26" s="10" t="n">
        <v>7</v>
      </c>
      <c r="B26" s="22" t="s">
        <v>195</v>
      </c>
      <c r="C26" s="22" t="s">
        <v>49</v>
      </c>
      <c r="D26" s="22" t="s">
        <v>196</v>
      </c>
      <c r="E26" s="22" t="s">
        <v>184</v>
      </c>
      <c r="F26" s="26" t="str">
        <f aca="false">TEXT(B1_Liability_Summary!O7,"0.0%")&amp;" / "&amp;TEXT(B1_Liability_Summary!O8,"0.0%")&amp;" / "&amp;TEXT(B1_Liability_Summary!O9,"0.0%")&amp;" / "&amp;TEXT(B1_Liability_Summary!O10,"0.0%")&amp;" / "&amp;TEXT(B1_Liability_Summary!O11,"0.0%")&amp;" / "&amp;TEXT(B1_Liability_Summary!O12,"0.0%")&amp;" / "&amp;TEXT(B1_Liability_Summary!O13,"0.0%")&amp;" / "&amp;TEXT(B1_Liability_Summary!O14,"0.0%")&amp;" / "&amp;TEXT(B1_Liability_Summary!O15,"0.0%")</f>
        <v>68.6% / 71.3% / 61.8% / 78.5% / 88.2% / 21.5% / 68.1% / 0.0% / 74.0%</v>
      </c>
    </row>
    <row r="27" customFormat="false" ht="15" hidden="false" customHeight="false" outlineLevel="0" collapsed="false">
      <c r="A27" s="10" t="n">
        <v>8</v>
      </c>
      <c r="B27" s="22" t="s">
        <v>195</v>
      </c>
      <c r="C27" s="22" t="s">
        <v>197</v>
      </c>
      <c r="D27" s="22" t="s">
        <v>198</v>
      </c>
      <c r="E27" s="22" t="s">
        <v>199</v>
      </c>
      <c r="F27" s="26" t="str">
        <f aca="false">"balance CA / Dep / SA "&amp;TEXT(B1_Liability_Summary!D17,"0.0%")&amp;" / "&amp;TEXT(B1_Liability_Summary!F17,"0.0%")&amp;" / "&amp;TEXT(B1_Liability_Summary!H17,"0.0%")&amp;"; accounts "&amp;TEXT(B1_Liability_Summary!C18,"0.0%")&amp;" / "&amp;TEXT(B1_Liability_Summary!E18,"0.0%")&amp;" / "&amp;TEXT(B1_Liability_Summary!G18,"0.0%")</f>
        <v>balance CA / Dep / SA 9.7% / 74.0% / 16.4%; accounts 5.8% / 20.5% / 73.8%</v>
      </c>
    </row>
    <row r="28" customFormat="false" ht="15" hidden="false" customHeight="false" outlineLevel="0" collapsed="false">
      <c r="A28" s="10" t="n">
        <v>9</v>
      </c>
      <c r="B28" s="22" t="s">
        <v>195</v>
      </c>
      <c r="C28" s="22" t="s">
        <v>200</v>
      </c>
      <c r="D28" s="22" t="s">
        <v>201</v>
      </c>
      <c r="E28" s="22" t="s">
        <v>202</v>
      </c>
      <c r="F28" s="26" t="str">
        <f aca="false">"balance "&amp;TEXT(B1_Liability_Summary!P7,"0.0%")&amp;" / "&amp;TEXT(B1_Liability_Summary!P8,"0.0%")&amp;" / "&amp;TEXT(B1_Liability_Summary!P9,"0.0%")&amp;" / "&amp;TEXT(B1_Liability_Summary!P10,"0.0%")&amp;" / "&amp;TEXT(B1_Liability_Summary!P11,"0.0%")&amp;" / "&amp;TEXT(B1_Liability_Summary!P12,"0.0%")&amp;" / "&amp;TEXT(B1_Liability_Summary!P13,"0.0%")&amp;" / "&amp;TEXT(B1_Liability_Summary!P14,"0.0%")</f>
        <v>balance 8.2% / 7.6% / 28.7% / 18.3% / 27.5% / 0.0% / 9.7% / 0.0%</v>
      </c>
    </row>
    <row r="29" customFormat="false" ht="15" hidden="false" customHeight="false" outlineLevel="0" collapsed="false">
      <c r="A29" s="10" t="n">
        <v>10</v>
      </c>
      <c r="B29" s="22" t="s">
        <v>195</v>
      </c>
      <c r="C29" s="22" t="s">
        <v>56</v>
      </c>
      <c r="D29" s="22" t="s">
        <v>203</v>
      </c>
      <c r="E29" s="22" t="s">
        <v>202</v>
      </c>
      <c r="F29" s="26" t="str">
        <f aca="false">TEXT(B1_Liability_Summary!V7,"0.00""x""")&amp;" / "&amp;TEXT(B1_Liability_Summary!V8,"0.00""x""")&amp;" / "&amp;TEXT(B1_Liability_Summary!V9,"0.00""x""")&amp;" / "&amp;TEXT(B1_Liability_Summary!V10,"0.00""x""")&amp;" / "&amp;TEXT(B1_Liability_Summary!V11,"0.00""x""")&amp;" / "&amp;TEXT(B1_Liability_Summary!V12,"0.00""x""")&amp;" / "&amp;TEXT(B1_Liability_Summary!V13,"0.00""x""")&amp;" / "&amp;TEXT(B1_Liability_Summary!V14,"0.00""x""")</f>
        <v>0.81x / 0.79x / 4.31x / 0.28x / 39.91x / 0.55x / 1.30x / 4.44x</v>
      </c>
    </row>
    <row r="30" customFormat="false" ht="15" hidden="false" customHeight="false" outlineLevel="0" collapsed="false">
      <c r="A30" s="10" t="n">
        <v>11</v>
      </c>
      <c r="B30" s="22" t="s">
        <v>195</v>
      </c>
      <c r="C30" s="22" t="s">
        <v>204</v>
      </c>
      <c r="D30" s="22" t="s">
        <v>205</v>
      </c>
      <c r="E30" s="22" t="s">
        <v>202</v>
      </c>
      <c r="F30" s="26" t="str">
        <f aca="false">TEXT(B1_Liability_Summary!X24,"+0.0"" pp"";-0.0"" pp"";0.0"" pp""")&amp;" / "&amp;TEXT(B1_Liability_Summary!X25,"+0.0"" pp"";-0.0"" pp"";0.0"" pp""")&amp;" / "&amp;TEXT(B1_Liability_Summary!X26,"+0.0"" pp"";-0.0"" pp"";0.0"" pp""")&amp;" / "&amp;TEXT(B1_Liability_Summary!X27,"+0.0"" pp"";-0.0"" pp"";0.0"" pp""")&amp;" / "&amp;TEXT(B1_Liability_Summary!X28,"+0.0"" pp"";-0.0"" pp"";0.0"" pp""")&amp;" / "&amp;TEXT(B1_Liability_Summary!X29,"+0.0"" pp"";-0.0"" pp"";0.0"" pp""")&amp;" / "&amp;TEXT(B1_Liability_Summary!X30,"+0.0"" pp"";-0.0"" pp"";0.0"" pp""")&amp;" / "&amp;TEXT(B1_Liability_Summary!X31,"+0.0"" pp"";-0.0"" pp"";0.0"" pp""")</f>
        <v>+0.2 pp / -0.5 pp / -0.8 pp / -1.7 pp / +3.8 pp / -0.0 pp / -0.9 pp / +0.0 pp</v>
      </c>
    </row>
    <row r="31" customFormat="false" ht="15" hidden="false" customHeight="false" outlineLevel="0" collapsed="false">
      <c r="A31" s="10" t="n">
        <v>12</v>
      </c>
      <c r="B31" s="22" t="s">
        <v>206</v>
      </c>
      <c r="C31" s="22" t="s">
        <v>207</v>
      </c>
      <c r="D31" s="22" t="s">
        <v>208</v>
      </c>
      <c r="E31" s="22" t="s">
        <v>184</v>
      </c>
      <c r="F31" s="26" t="str">
        <f aca="false">TEXT(B1_Liability_Summary!R7,"#,##0.00")&amp;" / "&amp;TEXT(B1_Liability_Summary!R8,"#,##0.00")&amp;" / "&amp;TEXT(B1_Liability_Summary!R9,"#,##0.00")&amp;" / "&amp;TEXT(B1_Liability_Summary!R10,"#,##0.00")&amp;" / "&amp;TEXT(B1_Liability_Summary!R11,"#,##0.00")&amp;" / "&amp;TEXT(B1_Liability_Summary!R12,"#,##0.00")&amp;" / "&amp;TEXT(B1_Liability_Summary!R13,"#,##0.00")&amp;" / "&amp;TEXT(B1_Liability_Summary!R14,"#,##0.00")&amp;" / "&amp;TEXT(B1_Liability_Summary!R15,"#,##0.00")&amp;" ₹ lakh"</f>
        <v>3.16 / 3.08 / 16.88 / 1.10 / 156.45 / 2.14 / 5.09 / 17.41 / 3.92 ₹ lakh</v>
      </c>
    </row>
    <row r="32" customFormat="false" ht="15" hidden="false" customHeight="false" outlineLevel="0" collapsed="false">
      <c r="A32" s="10" t="n">
        <v>13</v>
      </c>
      <c r="B32" s="22" t="s">
        <v>206</v>
      </c>
      <c r="C32" s="22" t="s">
        <v>209</v>
      </c>
      <c r="D32" s="22" t="s">
        <v>210</v>
      </c>
      <c r="E32" s="22" t="s">
        <v>211</v>
      </c>
      <c r="F32" s="26" t="str">
        <f aca="false">"GT CA / Dep / SA "&amp;TEXT(B1_Liability_Summary!S15,"#,##0.00")&amp;" / "&amp;TEXT(B1_Liability_Summary!T15,"#,##0.00")&amp;" / "&amp;TEXT(B1_Liability_Summary!U15,"#,##0.00")&amp;"; INSIGNIA "&amp;TEXT(B1_Liability_Summary!S9,"#,##0.00")&amp;" / "&amp;TEXT(B1_Liability_Summary!T9,"#,##0.00")&amp;" / "&amp;TEXT(B1_Liability_Summary!U9,"#,##0.00")</f>
        <v>GT CA / Dep / SA 6.56 / 14.17 / 0.87; INSIGNIA 16.85 / 18.64 / 14.01</v>
      </c>
    </row>
    <row r="33" customFormat="false" ht="15" hidden="false" customHeight="false" outlineLevel="0" collapsed="false">
      <c r="A33" s="10" t="n">
        <v>14</v>
      </c>
      <c r="B33" s="22" t="s">
        <v>206</v>
      </c>
      <c r="C33" s="22" t="s">
        <v>212</v>
      </c>
      <c r="D33" s="22" t="s">
        <v>213</v>
      </c>
      <c r="E33" s="22" t="s">
        <v>191</v>
      </c>
      <c r="F33" s="26" t="str">
        <f aca="false">"GT "&amp;TEXT(B1_Liability_Summary!U32,"#,##0.00")&amp;" → "&amp;TEXT(B1_Liability_Summary!V32,"#,##0.00")&amp;"; PREMIUM "&amp;TEXT(B1_Liability_Summary!U28,"#,##0.00")&amp;" → "&amp;TEXT(B1_Liability_Summary!V28,"#,##0.00")</f>
        <v>GT 3.68 → 4.05; PREMIUM 142.79 → 167.05</v>
      </c>
    </row>
    <row r="34" customFormat="false" ht="15" hidden="false" customHeight="false" outlineLevel="0" collapsed="false">
      <c r="A34" s="10" t="n">
        <v>15</v>
      </c>
      <c r="B34" s="22" t="s">
        <v>214</v>
      </c>
      <c r="C34" s="22" t="s">
        <v>215</v>
      </c>
      <c r="D34" s="22" t="s">
        <v>216</v>
      </c>
      <c r="E34" s="22" t="s">
        <v>217</v>
      </c>
      <c r="F34" s="26" t="str">
        <f aca="false">"GT "&amp;TEXT(B1_Liability_Summary!N32,"+0.0%;-0.0%;0.0%")&amp;" / "&amp;TEXT(B1_Liability_Summary!O32,"+0.0%;-0.0%;0.0%")&amp;" / "&amp;TEXT(B1_Liability_Summary!P32,"+0.0%;-0.0%;0.0%")&amp;" (Feb / Mar / Apr); MASSMKT "&amp;TEXT(B1_Liability_Summary!N27,"+0.0%;-0.0%;0.0%")&amp;" / "&amp;TEXT(B1_Liability_Summary!O27,"+0.0%;-0.0%;0.0%")&amp;" / "&amp;TEXT(B1_Liability_Summary!P27,"+0.0%;-0.0%;0.0%")</f>
        <v>GT +7.7% / +6.9% / -2.7% (Feb / Mar / Apr); MASSMKT +15.9% / -4.3% / -8.0%</v>
      </c>
    </row>
    <row r="35" customFormat="false" ht="15" hidden="false" customHeight="false" outlineLevel="0" collapsed="false">
      <c r="A35" s="10" t="n">
        <v>16</v>
      </c>
      <c r="B35" s="22" t="s">
        <v>214</v>
      </c>
      <c r="C35" s="22" t="s">
        <v>218</v>
      </c>
      <c r="D35" s="22" t="s">
        <v>219</v>
      </c>
      <c r="E35" s="22" t="s">
        <v>191</v>
      </c>
      <c r="F35" s="26" t="str">
        <f aca="false">TEXT(B1_Liability_Summary!Q24,"+0.0%;-0.0%;0.0%")&amp;" / "&amp;TEXT(B1_Liability_Summary!Q25,"+0.0%;-0.0%;0.0%")&amp;" / "&amp;TEXT(B1_Liability_Summary!Q26,"+0.0%;-0.0%;0.0%")&amp;" / "&amp;TEXT(B1_Liability_Summary!Q27,"+0.0%;-0.0%;0.0%")&amp;" / "&amp;TEXT(B1_Liability_Summary!Q28,"+0.0%;-0.0%;0.0%")&amp;" / "&amp;TEXT(B1_Liability_Summary!Q29,"+0.0%;-0.0%;0.0%")&amp;" / "&amp;TEXT(B1_Liability_Summary!Q30,"+0.0%;-0.0%;0.0%")&amp;" / "&amp;TEXT(B1_Liability_Summary!Q31,"+0.0%;-0.0%;0.0%")&amp;" / "&amp;TEXT(B1_Liability_Summary!Q32,"+0.0%;-0.0%;0.0%")</f>
        <v>+14.7% / +4.3% / +9.0% / +2.0% / +29.0% / +4.0% / +2.4% / +22.3% / +12.0%</v>
      </c>
    </row>
    <row r="36" customFormat="false" ht="15" hidden="false" customHeight="false" outlineLevel="0" collapsed="false">
      <c r="A36" s="10" t="n">
        <v>17</v>
      </c>
      <c r="B36" s="22" t="s">
        <v>214</v>
      </c>
      <c r="C36" s="22" t="s">
        <v>220</v>
      </c>
      <c r="D36" s="22" t="s">
        <v>221</v>
      </c>
      <c r="E36" s="22" t="s">
        <v>191</v>
      </c>
      <c r="F36" s="26" t="str">
        <f aca="false">TEXT(B1_Liability_Summary!R24,"+0.0%;-0.0%;0.0%")&amp;" / "&amp;TEXT(B1_Liability_Summary!R25,"+0.0%;-0.0%;0.0%")&amp;" / "&amp;TEXT(B1_Liability_Summary!R26,"+0.0%;-0.0%;0.0%")&amp;" / "&amp;TEXT(B1_Liability_Summary!R27,"+0.0%;-0.0%;0.0%")&amp;" / "&amp;TEXT(B1_Liability_Summary!R28,"+0.0%;-0.0%;0.0%")&amp;" / "&amp;TEXT(B1_Liability_Summary!R29,"+0.0%;-0.0%;0.0%")&amp;" / "&amp;TEXT(B1_Liability_Summary!R30,"+0.0%;-0.0%;0.0%")&amp;" / "&amp;TEXT(B1_Liability_Summary!R31,"+0.0%;-0.0%;0.0%")&amp;" / "&amp;TEXT(B1_Liability_Summary!R32,"+0.0%;-0.0%;0.0%")</f>
        <v>-3.7% / +4.9% / -0.1% / +2.4% / -4.1% / -0.4% / -0.1% / +174.0% / -0.7%</v>
      </c>
    </row>
    <row r="37" customFormat="false" ht="15" hidden="false" customHeight="false" outlineLevel="0" collapsed="false">
      <c r="A37" s="10" t="n">
        <v>18</v>
      </c>
      <c r="B37" s="22" t="s">
        <v>214</v>
      </c>
      <c r="C37" s="22" t="s">
        <v>222</v>
      </c>
      <c r="D37" s="22" t="s">
        <v>223</v>
      </c>
      <c r="E37" s="22" t="s">
        <v>191</v>
      </c>
      <c r="F37" s="26" t="str">
        <f aca="false">"GT "&amp;TEXT(B1_Liability_Summary!S32,"+0.0%;-0.0%;0.0%")&amp;" / "&amp;TEXT(B1_Liability_Summary!T32,"#,##0")&amp;"; AFFLUENT "&amp;TEXT(B1_Liability_Summary!S24,"+0.0%;-0.0%;0.0%")&amp;"; PREMIUM "&amp;TEXT(B1_Liability_Summary!S28,"+0.0%;-0.0%;0.0%")</f>
        <v>GT +2.3% / 147,187; AFFLUENT +8.9%; PREMIUM +15.6%</v>
      </c>
    </row>
    <row r="38" customFormat="false" ht="15" hidden="false" customHeight="false" outlineLevel="0" collapsed="false">
      <c r="A38" s="10" t="n">
        <v>19</v>
      </c>
      <c r="B38" s="22" t="s">
        <v>214</v>
      </c>
      <c r="C38" s="22" t="s">
        <v>224</v>
      </c>
      <c r="D38" s="22" t="s">
        <v>225</v>
      </c>
      <c r="E38" s="22" t="s">
        <v>191</v>
      </c>
      <c r="F38" s="26" t="str">
        <f aca="false">"GT "&amp;TEXT(B1_Liability_Summary!I32/AVERAGE(B1_Liability_Summary!G32,B1_Liability_Summary!K32)-1,"+0.0%;-0.0%;0.0%")&amp;"; MASSMKT "&amp;TEXT(B1_Liability_Summary!I27/AVERAGE(B1_Liability_Summary!G27,B1_Liability_Summary!K27)-1,"+0.0%;-0.0%;0.0%")</f>
        <v>GT +4.8%; MASSMKT +1.8%</v>
      </c>
    </row>
    <row r="39" customFormat="false" ht="15" hidden="false" customHeight="false" outlineLevel="0" collapsed="false">
      <c r="A39" s="10" t="n">
        <v>20</v>
      </c>
      <c r="B39" s="22" t="s">
        <v>226</v>
      </c>
      <c r="C39" s="22" t="s">
        <v>227</v>
      </c>
      <c r="D39" s="22" t="s">
        <v>228</v>
      </c>
      <c r="E39" s="22" t="s">
        <v>202</v>
      </c>
      <c r="F39" s="26" t="str">
        <f aca="false">TEXT((B1_Liability_Summary!K24-B1_Liability_Summary!I24)/(B1_Liability_Summary!K32-B1_Liability_Summary!I32),"0.0%")&amp;" / "&amp;TEXT((B1_Liability_Summary!K25-B1_Liability_Summary!I25)/(B1_Liability_Summary!K32-B1_Liability_Summary!I32),"0.0%")&amp;" / "&amp;TEXT((B1_Liability_Summary!K26-B1_Liability_Summary!I26)/(B1_Liability_Summary!K32-B1_Liability_Summary!I32),"0.0%")&amp;" / "&amp;TEXT((B1_Liability_Summary!K27-B1_Liability_Summary!I27)/(B1_Liability_Summary!K32-B1_Liability_Summary!I32),"0.0%")&amp;" / "&amp;TEXT((B1_Liability_Summary!K28-B1_Liability_Summary!I28)/(B1_Liability_Summary!K32-B1_Liability_Summary!I32),"0.0%")&amp;" / "&amp;TEXT((B1_Liability_Summary!K29-B1_Liability_Summary!I29)/(B1_Liability_Summary!K32-B1_Liability_Summary!I32),"0.0%")&amp;" / "&amp;TEXT((B1_Liability_Summary!K30-B1_Liability_Summary!I30)/(B1_Liability_Summary!K32-B1_Liability_Summary!I32),"0.0%")&amp;" / "&amp;TEXT((B1_Liability_Summary!K31-B1_Liability_Summary!I31)/(B1_Liability_Summary!K32-B1_Liability_Summary!I32),"0.0%")</f>
        <v>22.8% / 1.7% / 13.6% / 55.0% / 4.1% / 0.0% / 2.6% / 0.1%</v>
      </c>
    </row>
    <row r="40" customFormat="false" ht="15" hidden="false" customHeight="false" outlineLevel="0" collapsed="false">
      <c r="A40" s="10" t="n">
        <v>21</v>
      </c>
      <c r="B40" s="22" t="s">
        <v>226</v>
      </c>
      <c r="C40" s="22" t="s">
        <v>229</v>
      </c>
      <c r="D40" s="22" t="s">
        <v>230</v>
      </c>
      <c r="E40" s="22" t="s">
        <v>202</v>
      </c>
      <c r="F40" s="26" t="str">
        <f aca="false">TEXT((B1_Liability_Summary!K24-B1_Liability_Summary!E24)/(B1_Liability_Summary!K32-B1_Liability_Summary!E32),"0.0%")&amp;" / "&amp;TEXT((B1_Liability_Summary!K25-B1_Liability_Summary!E25)/(B1_Liability_Summary!K32-B1_Liability_Summary!E32),"0.0%")&amp;" / "&amp;TEXT((B1_Liability_Summary!K26-B1_Liability_Summary!E26)/(B1_Liability_Summary!K32-B1_Liability_Summary!E32),"0.0%")&amp;" / "&amp;TEXT((B1_Liability_Summary!K27-B1_Liability_Summary!E27)/(B1_Liability_Summary!K32-B1_Liability_Summary!E32),"0.0%")&amp;" / "&amp;TEXT((B1_Liability_Summary!K28-B1_Liability_Summary!E28)/(B1_Liability_Summary!K32-B1_Liability_Summary!E32),"0.0%")&amp;" / "&amp;TEXT((B1_Liability_Summary!K29-B1_Liability_Summary!E29)/(B1_Liability_Summary!K32-B1_Liability_Summary!E32),"0.0%")&amp;" / "&amp;TEXT((B1_Liability_Summary!K30-B1_Liability_Summary!E30)/(B1_Liability_Summary!K32-B1_Liability_Summary!E32),"0.0%")&amp;" / "&amp;TEXT((B1_Liability_Summary!K31-B1_Liability_Summary!E31)/(B1_Liability_Summary!K32-B1_Liability_Summary!E32),"0.0%")</f>
        <v>10.1% / 2.8% / 22.0% / 3.2% / 59.8% / 0.0% / 2.1% / 0.0%</v>
      </c>
    </row>
    <row r="41" customFormat="false" ht="15" hidden="false" customHeight="false" outlineLevel="0" collapsed="false">
      <c r="A41" s="10" t="n">
        <v>22</v>
      </c>
      <c r="B41" s="22" t="s">
        <v>231</v>
      </c>
      <c r="C41" s="22" t="s">
        <v>232</v>
      </c>
      <c r="D41" s="22" t="s">
        <v>233</v>
      </c>
      <c r="E41" s="22" t="s">
        <v>234</v>
      </c>
      <c r="F41" s="26" t="str">
        <f aca="false">TEXT((B1_Liability_Summary!J11+B1_Liability_Summary!J9)/B1_Liability_Summary!J15,"0.0%")&amp;" of balance in "&amp;TEXT((B1_Liability_Summary!I11+B1_Liability_Summary!I9)/B1_Liability_Summary!I15,"0.0%")&amp;" of accounts"</f>
        <v>56.3% of balance in 7.4% of accounts</v>
      </c>
    </row>
    <row r="42" customFormat="false" ht="15" hidden="false" customHeight="false" outlineLevel="0" collapsed="false">
      <c r="A42" s="10" t="n">
        <v>23</v>
      </c>
      <c r="B42" s="22" t="s">
        <v>231</v>
      </c>
      <c r="C42" s="22" t="s">
        <v>235</v>
      </c>
      <c r="D42" s="22" t="s">
        <v>236</v>
      </c>
      <c r="E42" s="22" t="s">
        <v>234</v>
      </c>
      <c r="F42" s="26" t="str">
        <f aca="false">TEXT(SUMPRODUCT((B1_Liability_Summary!J7:J14/B1_Liability_Summary!J15)^2)*10000,"#,##0")</f>
        <v>2,135</v>
      </c>
    </row>
    <row r="43" customFormat="false" ht="15" hidden="false" customHeight="false" outlineLevel="0" collapsed="false">
      <c r="A43" s="10" t="n">
        <v>24</v>
      </c>
      <c r="B43" s="22" t="s">
        <v>237</v>
      </c>
      <c r="C43" s="22" t="s">
        <v>238</v>
      </c>
      <c r="D43" s="22" t="s">
        <v>239</v>
      </c>
      <c r="E43" s="22" t="s">
        <v>199</v>
      </c>
      <c r="F43" s="26" t="str">
        <f aca="false">"CA "&amp;TEXT(B1_Liability_Summary!C20,"+0.0"" pp"";-0.0"" pp"";0.0"" pp""")&amp;"; Dep "&amp;TEXT(B1_Liability_Summary!E20,"+0.0"" pp"";-0.0"" pp"";0.0"" pp""")&amp;"; SA "&amp;TEXT(B1_Liability_Summary!G20,"+0.0"" pp"";-0.0"" pp"";0.0"" pp""")&amp;" — donut on another base"</f>
        <v>CA -3.6 pp; Dep -12.6 pp; SA +16.1 pp — donut on another base</v>
      </c>
    </row>
    <row r="44" customFormat="false" ht="15" hidden="false" customHeight="false" outlineLevel="0" collapsed="false">
      <c r="A44" s="10" t="n">
        <v>25</v>
      </c>
      <c r="B44" s="22" t="s">
        <v>237</v>
      </c>
      <c r="C44" s="22" t="s">
        <v>240</v>
      </c>
      <c r="D44" s="22" t="s">
        <v>241</v>
      </c>
      <c r="E44" s="22" t="s">
        <v>242</v>
      </c>
      <c r="F44" s="22" t="s">
        <v>243</v>
      </c>
    </row>
    <row r="45" customFormat="false" ht="15" hidden="false" customHeight="false" outlineLevel="0" collapsed="false">
      <c r="A45" s="10" t="n">
        <v>26</v>
      </c>
      <c r="B45" s="22" t="s">
        <v>237</v>
      </c>
      <c r="C45" s="22" t="s">
        <v>244</v>
      </c>
      <c r="D45" s="22" t="s">
        <v>245</v>
      </c>
      <c r="E45" s="22" t="s">
        <v>246</v>
      </c>
      <c r="F45" s="22" t="s">
        <v>247</v>
      </c>
    </row>
    <row r="47" customFormat="false" ht="15" hidden="false" customHeight="false" outlineLevel="0" collapsed="false">
      <c r="A47" s="4" t="s">
        <v>2</v>
      </c>
    </row>
  </sheetData>
  <mergeCells count="10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2026-10-12T09:02:04Z</dcterms:created>
  <dc:creator>openpyxl</dc:creator>
  <dc:description/>
  <dc:language>en-US</dc:language>
  <cp:lastModifiedBy/>
  <dcterms:modified xsi:type="dcterms:W3CDTF">2026-10-12T09:02:04Z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