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ME" sheetId="1" state="visible" r:id="rId3"/>
    <sheet name="B1_Rate_x_Maturity" sheetId="2" state="visible" r:id="rId4"/>
    <sheet name="B1_Metrics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<sst xmlns="http://schemas.openxmlformats.org/spreadsheetml/2006/main" count="366" uniqueCount="249">
  <si>
    <t xml:space="preserve">RBL Bank — Interest Rate Sensitivity: Deposits Maturity — page-wise metric extraction</t>
  </si>
  <si>
    <t xml:space="preserve">Source: 03_Interest_Rate_Sensitivity_Deposits_Maturity.pdf (1 page, 1 matrix; data to 15-May-2026) | ₹ Cr and account counts</t>
  </si>
  <si>
    <t xml:space="preserve">⚠ DRAFT ONLY — Requires review and approval by a qualified Alvarez and Marsal professional before use.</t>
  </si>
  <si>
    <t xml:space="preserve">Sheet map</t>
  </si>
  <si>
    <t xml:space="preserve">B1_Rate_x_Maturity</t>
  </si>
  <si>
    <t xml:space="preserve">Rate bucket × maturity bucket matrix (Amount and No. of Accounts) with totals, shares, ATS and rate/maturity-weighted derivations</t>
  </si>
  <si>
    <t xml:space="preserve">B1_Metrics</t>
  </si>
  <si>
    <t xml:space="preserve">Notation + exhaustive metrics</t>
  </si>
  <si>
    <t xml:space="preserve">Colour legend</t>
  </si>
  <si>
    <t xml:space="preserve">Blue text</t>
  </si>
  <si>
    <t xml:space="preserve">Hard-coded input transcribed from the PDF</t>
  </si>
  <si>
    <t xml:space="preserve">Blue italic on grey</t>
  </si>
  <si>
    <t xml:space="preserve">Budget / projected value (ᴾ) transcribed from the PDF</t>
  </si>
  <si>
    <t xml:space="preserve">Black text</t>
  </si>
  <si>
    <t xml:space="preserve">Formula on the same sheet</t>
  </si>
  <si>
    <t xml:space="preserve">Green text</t>
  </si>
  <si>
    <t xml:space="preserve">Link to another sheet</t>
  </si>
  <si>
    <t xml:space="preserve">Yellow fill</t>
  </si>
  <si>
    <t xml:space="preserve">Data flag to review</t>
  </si>
  <si>
    <t xml:space="preserve">Key assumptions (confirm with client)</t>
  </si>
  <si>
    <t xml:space="preserve">1</t>
  </si>
  <si>
    <t xml:space="preserve">Blank cells placed by column reconciliation to the printed Grand Total (rows with fewer than 12 values); all rows and columns now tie.</t>
  </si>
  <si>
    <t xml:space="preserve">2</t>
  </si>
  <si>
    <t xml:space="preserve">Rate-bucket midpoints used for the weighted-average rate proxy: 3.00 / 3.75 / 4.875 / 5.75 / 6.25 / 6.75 / 8.00 / 9.25 %. The two open-ended buckets ('Upto 3.5%', '&gt;9%') are judgement calls. Buckets 'Upto 3.5%' and '&gt;3.25% to 4.25%' overlap between 3.25% and 3.5% as printed.</t>
  </si>
  <si>
    <t xml:space="preserve">3</t>
  </si>
  <si>
    <t xml:space="preserve">Maturity midpoints in days: 3 / 10.5 / 30 / 68 / 135.5 / 210.5 / 302.5 / 547.5 / 912.5 / 1,460 / 2,190 (&gt; 5 Yrs set to 6 years). Null column carries ₹0 and is ignored.</t>
  </si>
  <si>
    <t xml:space="preserve">4</t>
  </si>
  <si>
    <t xml:space="preserve">The 7%–9% and 6.5%–7% buckets are printed out of ascending order; rows are re-ordered ascending here.</t>
  </si>
  <si>
    <t xml:space="preserve">5</t>
  </si>
  <si>
    <t xml:space="preserve">Data date 15-May-2026 differs from the MAB / Book Growth pages (Aug-2026); totals are not expected to tie across pages.</t>
  </si>
  <si>
    <t xml:space="preserve">Confidentiality</t>
  </si>
  <si>
    <t xml:space="preserve">Client-confidential RBL Bank data.</t>
  </si>
  <si>
    <t xml:space="preserve">Block 1 — Term deposits by rate bucket × contractual maturity bucket</t>
  </si>
  <si>
    <t xml:space="preserve">Source: Interest Rate Sensitivity – Deposits Maturity.pdf | ₹ Cr (Amount) and No. of Accounts | data to 15-May-2026</t>
  </si>
  <si>
    <t xml:space="preserve">A. Amount (₹ Cr) — source values blue; totals, shares and weighted maturity computed</t>
  </si>
  <si>
    <t xml:space="preserve">#</t>
  </si>
  <si>
    <t xml:space="preserve">Rate bucket</t>
  </si>
  <si>
    <t xml:space="preserve">Null</t>
  </si>
  <si>
    <t xml:space="preserve">Upto 6 Days</t>
  </si>
  <si>
    <t xml:space="preserve">7 To 14 Days</t>
  </si>
  <si>
    <t xml:space="preserve">15 To 45 Days</t>
  </si>
  <si>
    <t xml:space="preserve">46 To 90 Days</t>
  </si>
  <si>
    <t xml:space="preserve">91 To 180 Days</t>
  </si>
  <si>
    <t xml:space="preserve">181 To 240 Days</t>
  </si>
  <si>
    <t xml:space="preserve">241 To 364 Days</t>
  </si>
  <si>
    <t xml:space="preserve">1 To 2 Yrs</t>
  </si>
  <si>
    <t xml:space="preserve">2 To 3 Yrs</t>
  </si>
  <si>
    <t xml:space="preserve">3 To 5 Yrs</t>
  </si>
  <si>
    <t xml:space="preserve">&gt; 5 Yrs</t>
  </si>
  <si>
    <t xml:space="preserve">Printed total</t>
  </si>
  <si>
    <t xml:space="preserve">Σ maturity</t>
  </si>
  <si>
    <t xml:space="preserve">Gap</t>
  </si>
  <si>
    <t xml:space="preserve">Share of book</t>
  </si>
  <si>
    <t xml:space="preserve">Rate midpoint %</t>
  </si>
  <si>
    <t xml:space="preserve">Σ Amount × days</t>
  </si>
  <si>
    <t xml:space="preserve">Wtd avg maturity (days)</t>
  </si>
  <si>
    <t xml:space="preserve">&lt; 1 yr share of row</t>
  </si>
  <si>
    <t xml:space="preserve">Upto 3.5%</t>
  </si>
  <si>
    <t xml:space="preserve">&gt;3.25% to 4.25%</t>
  </si>
  <si>
    <t xml:space="preserve">&gt;4.25% to 5.5%</t>
  </si>
  <si>
    <t xml:space="preserve">5.5% to 6%</t>
  </si>
  <si>
    <t xml:space="preserve">6% to 6.5%</t>
  </si>
  <si>
    <t xml:space="preserve">6.5% to 7%</t>
  </si>
  <si>
    <t xml:space="preserve">7% to 9%</t>
  </si>
  <si>
    <t xml:space="preserve">&gt;9%</t>
  </si>
  <si>
    <t xml:space="preserve">Grand Total (printed)</t>
  </si>
  <si>
    <t xml:space="preserve">Σ rate buckets (computed) / gap vs printed</t>
  </si>
  <si>
    <t xml:space="preserve">Maturity midpoint (days) — assumption</t>
  </si>
  <si>
    <t xml:space="preserve">Share of book by maturity</t>
  </si>
  <si>
    <t xml:space="preserve">Cumulative share by maturity</t>
  </si>
  <si>
    <t xml:space="preserve">Σ Amount × rate midpoint (for weighted rate by maturity)</t>
  </si>
  <si>
    <t xml:space="preserve">Weighted avg rate by maturity bucket (%)</t>
  </si>
  <si>
    <t xml:space="preserve">Share of column in 7%–9% + &gt;9% buckets</t>
  </si>
  <si>
    <t xml:space="preserve">B. No. of Accounts — source values blue; totals and ATS computed</t>
  </si>
  <si>
    <t xml:space="preserve">Share of accounts</t>
  </si>
  <si>
    <t xml:space="preserve">ATS (₹ lakh) = Amount × 100 ÷ accounts</t>
  </si>
  <si>
    <t xml:space="preserve">Σ rate buckets gap vs printed</t>
  </si>
  <si>
    <t xml:space="preserve">Share of accounts by maturity</t>
  </si>
  <si>
    <t xml:space="preserve">ATS by maturity (₹ lakh)</t>
  </si>
  <si>
    <t xml:space="preserve">C. ATS matrix (₹ lakh) = Amount × 100 ÷ Accounts</t>
  </si>
  <si>
    <t xml:space="preserve">Data points to flag before metrics (live checks)</t>
  </si>
  <si>
    <t xml:space="preserve">Flag</t>
  </si>
  <si>
    <t xml:space="preserve">Check value (live)</t>
  </si>
  <si>
    <t xml:space="preserve">Unit</t>
  </si>
  <si>
    <t xml:space="preserve">Implication / action</t>
  </si>
  <si>
    <t xml:space="preserve">Row and column roll-ups to the printed Grand Total — max absolute gap (amount):</t>
  </si>
  <si>
    <t xml:space="preserve">₹ Cr</t>
  </si>
  <si>
    <t xml:space="preserve">Blank-cell placement reconciles; rounding only.</t>
  </si>
  <si>
    <t xml:space="preserve">83% of the book sits in the 7%–9% rate bucket:</t>
  </si>
  <si>
    <t xml:space="preserve">%</t>
  </si>
  <si>
    <t xml:space="preserve">Cost of funds is anchored at 7–9%; little low-cost TD.</t>
  </si>
  <si>
    <t xml:space="preserve">Rate buckets are printed out of ascending order (6.5–7% before 6–6.5%), and 'Upto 3.5%' overlaps '&gt;3.25% to 4.25%' between 3.25% and 3.5%. Share of book in these two lowest buckets:</t>
  </si>
  <si>
    <t xml:space="preserve">Bucket definitions to confirm; low-rate share is small either way.</t>
  </si>
  <si>
    <t xml:space="preserve">Only ₹316 Cr (0.3%) matures beyond 5 years; about three-quarters matures within 1 year.</t>
  </si>
  <si>
    <t xml:space="preserve">Repricing risk is front-loaded — most of the book reprices within 12 months.</t>
  </si>
  <si>
    <t xml:space="preserve">ATS in the 15–45 day bucket is ~3x the 1–2 year bucket: bulk money sits in short tenors, retail granularity in 1–2 yr.</t>
  </si>
  <si>
    <t xml:space="preserve">x</t>
  </si>
  <si>
    <t xml:space="preserve">Short-tenor buckets behave like wholesale deposits.</t>
  </si>
  <si>
    <t xml:space="preserve">Notation and exhaustive metrics table for this block: see sheet B1_Metrics</t>
  </si>
  <si>
    <t xml:space="preserve">10-question test set (3 Low / 4 Medium / 3 High) — expected answers are live formulas</t>
  </si>
  <si>
    <t xml:space="preserve">Level</t>
  </si>
  <si>
    <t xml:space="preserve">Question</t>
  </si>
  <si>
    <t xml:space="preserve">Calculation</t>
  </si>
  <si>
    <t xml:space="preserve">Expected answer (live)</t>
  </si>
  <si>
    <t xml:space="preserve">So what</t>
  </si>
  <si>
    <t xml:space="preserve">Low</t>
  </si>
  <si>
    <t xml:space="preserve">What is the total TD book on this page?</t>
  </si>
  <si>
    <t xml:space="preserve">Lookup</t>
  </si>
  <si>
    <t xml:space="preserve">How much matures in 1–2 years?</t>
  </si>
  <si>
    <t xml:space="preserve">How many accounts are in the 7%–9% bucket?</t>
  </si>
  <si>
    <t xml:space="preserve">count</t>
  </si>
  <si>
    <t xml:space="preserve">Medium</t>
  </si>
  <si>
    <t xml:space="preserve">What share of the book matures within 90 days?</t>
  </si>
  <si>
    <t xml:space="preserve">Σ(≤ 90 d) ÷ total</t>
  </si>
  <si>
    <t xml:space="preserve">What is the weighted average rate proxy for the whole book?</t>
  </si>
  <si>
    <t xml:space="preserve">Σ A × midpoint ÷ Σ A</t>
  </si>
  <si>
    <t xml:space="preserve">Assumption-driven (midpoints).</t>
  </si>
  <si>
    <t xml:space="preserve">What is the ATS of the 1–2 year bucket vs the 15–45 day bucket (₹ lakh)?</t>
  </si>
  <si>
    <t xml:space="preserve">A × 100 ÷ N</t>
  </si>
  <si>
    <t xml:space="preserve">What is the weighted average residual maturity of the book (days)?</t>
  </si>
  <si>
    <t xml:space="preserve">Σ A × days ÷ Σ A</t>
  </si>
  <si>
    <t xml:space="preserve">High</t>
  </si>
  <si>
    <t xml:space="preserve">How much of the ≤ 90-day money is priced at 7%+?</t>
  </si>
  <si>
    <t xml:space="preserve">(7–9% + &gt; 9%) ÷ column total, ≤ 90 d</t>
  </si>
  <si>
    <t xml:space="preserve">Short-tenor, high-rate money is the most expensive and the most flighty.</t>
  </si>
  <si>
    <t xml:space="preserve">If the 7%–9% bucket repriced down 50 bp on the portion maturing within 1 year, what is the annualised saving (₹ Cr)?</t>
  </si>
  <si>
    <t xml:space="preserve">Σ(7–9%, ≤ 364 d) × 0.5%</t>
  </si>
  <si>
    <t xml:space="preserve">Illustrative; shows the size of the repricing lever.</t>
  </si>
  <si>
    <t xml:space="preserve">Do the blank-cell placements reconcile both amount and account grand totals?</t>
  </si>
  <si>
    <t xml:space="preserve">Σ |gaps| (amount + accounts)</t>
  </si>
  <si>
    <t xml:space="preserve">Zero/rounding → placement validated.</t>
  </si>
  <si>
    <t xml:space="preserve">What this page cannot support (feeds the data request)</t>
  </si>
  <si>
    <t xml:space="preserve">Not derivable: actual contracted rates (only buckets), interest expense, behavioural vs contractual maturity, renewal rates, customer segment or branch split, premature-withdrawal history, NR vs domestic split, and interest-rate sensitivity gaps on the asset side.</t>
  </si>
  <si>
    <t xml:space="preserve">Rate × maturity matrix: notation and metrics</t>
  </si>
  <si>
    <t xml:space="preserve">Format: Notation → Exhaustive metrics table | Example column = live Excel formula on the block sheet (green = cross-sheet)</t>
  </si>
  <si>
    <t xml:space="preserve">Notation</t>
  </si>
  <si>
    <t xml:space="preserve">Symbol</t>
  </si>
  <si>
    <t xml:space="preserve">Meaning</t>
  </si>
  <si>
    <t xml:space="preserve">A(r,m)</t>
  </si>
  <si>
    <t xml:space="preserve">Term-deposit amount (₹ Cr) in rate bucket r and maturity bucket m</t>
  </si>
  <si>
    <t xml:space="preserve">N(r,m)</t>
  </si>
  <si>
    <t xml:space="preserve">Number of accounts in the same cell</t>
  </si>
  <si>
    <t xml:space="preserve">A(r) / A(m)</t>
  </si>
  <si>
    <t xml:space="preserve">Row / column totals; A = Grand Total = 92,798.82</t>
  </si>
  <si>
    <t xml:space="preserve">sh(r), sh(m)</t>
  </si>
  <si>
    <t xml:space="preserve">A(r) ÷ A, A(m) ÷ A</t>
  </si>
  <si>
    <t xml:space="preserve">mid_r</t>
  </si>
  <si>
    <t xml:space="preserve">Rate-bucket midpoint (%) — analyst assumption</t>
  </si>
  <si>
    <t xml:space="preserve">d_m</t>
  </si>
  <si>
    <t xml:space="preserve">Maturity-bucket midpoint in days — analyst assumption</t>
  </si>
  <si>
    <t xml:space="preserve">WAR</t>
  </si>
  <si>
    <t xml:space="preserve">Weighted average rate proxy = Σ A × mid_r ÷ Σ A</t>
  </si>
  <si>
    <t xml:space="preserve">WAM</t>
  </si>
  <si>
    <t xml:space="preserve">Weighted average maturity = Σ A × d_m ÷ Σ A (days)</t>
  </si>
  <si>
    <t xml:space="preserve">ATS</t>
  </si>
  <si>
    <t xml:space="preserve">Average ticket size = A × 100 ÷ N, ₹ lakh</t>
  </si>
  <si>
    <t xml:space="preserve">≤ 1 yr</t>
  </si>
  <si>
    <t xml:space="preserve">Maturity buckets up to 241–364 days</t>
  </si>
  <si>
    <t xml:space="preserve">Values are ₹ Cr (amount) and account counts; shares in %; ATS in ₹ lakh; midpoints are analyst assumptions.</t>
  </si>
  <si>
    <t xml:space="preserve">Exhaustive metrics table</t>
  </si>
  <si>
    <t xml:space="preserve">Metric family</t>
  </si>
  <si>
    <t xml:space="preserve">Pipeline-ready metric</t>
  </si>
  <si>
    <t xml:space="preserve">Definition / formula</t>
  </si>
  <si>
    <t xml:space="preserve">Applies to</t>
  </si>
  <si>
    <t xml:space="preserve">Example</t>
  </si>
  <si>
    <t xml:space="preserve">Fact lookup</t>
  </si>
  <si>
    <t xml:space="preserve">Cell amount</t>
  </si>
  <si>
    <t xml:space="preserve">8 × 12 cells</t>
  </si>
  <si>
    <t xml:space="preserve">Cell accounts</t>
  </si>
  <si>
    <t xml:space="preserve">Row totals</t>
  </si>
  <si>
    <t xml:space="preserve">A(r), N(r)</t>
  </si>
  <si>
    <t xml:space="preserve">8 buckets</t>
  </si>
  <si>
    <t xml:space="preserve">Column totals</t>
  </si>
  <si>
    <t xml:space="preserve">A(m), N(m)</t>
  </si>
  <si>
    <t xml:space="preserve">12 maturity buckets</t>
  </si>
  <si>
    <t xml:space="preserve">Roll-up check</t>
  </si>
  <si>
    <t xml:space="preserve">Rows to Grand Total</t>
  </si>
  <si>
    <t xml:space="preserve">A(r) − Σm A(r,m)</t>
  </si>
  <si>
    <t xml:space="preserve">8 rows</t>
  </si>
  <si>
    <t xml:space="preserve">Columns to Grand Total</t>
  </si>
  <si>
    <t xml:space="preserve">A(m) − Σr A(r,m)</t>
  </si>
  <si>
    <t xml:space="preserve">12 columns</t>
  </si>
  <si>
    <t xml:space="preserve">Accounts roll-up</t>
  </si>
  <si>
    <t xml:space="preserve">N(m) − Σr N(r,m)</t>
  </si>
  <si>
    <t xml:space="preserve">12 columns + 8 rows</t>
  </si>
  <si>
    <t xml:space="preserve">Mix &amp; share</t>
  </si>
  <si>
    <t xml:space="preserve">Rate-bucket share of book</t>
  </si>
  <si>
    <t xml:space="preserve">sh(r)</t>
  </si>
  <si>
    <t xml:space="preserve">Maturity-bucket share of book</t>
  </si>
  <si>
    <t xml:space="preserve">sh(m)</t>
  </si>
  <si>
    <t xml:space="preserve">11 buckets</t>
  </si>
  <si>
    <t xml:space="preserve">Cumulative maturity profile</t>
  </si>
  <si>
    <t xml:space="preserve">Σ sh(m) up to bucket</t>
  </si>
  <si>
    <t xml:space="preserve">≤ 1 yr share</t>
  </si>
  <si>
    <t xml:space="preserve">Σ A(m ≤ 364 d) ÷ A</t>
  </si>
  <si>
    <t xml:space="preserve">Book + each rate bucket</t>
  </si>
  <si>
    <t xml:space="preserve">≤ 90 d share</t>
  </si>
  <si>
    <t xml:space="preserve">Σ A(m ≤ 90 d) ÷ A</t>
  </si>
  <si>
    <t xml:space="preserve">Book</t>
  </si>
  <si>
    <t xml:space="preserve">High-rate share by maturity</t>
  </si>
  <si>
    <t xml:space="preserve">(A(7–9%) + A(&gt; 9%)) ÷ A(m)</t>
  </si>
  <si>
    <t xml:space="preserve">Low-rate share (≤ 5.5%)</t>
  </si>
  <si>
    <t xml:space="preserve">Σ sh(r ≤ 5.5%)</t>
  </si>
  <si>
    <t xml:space="preserve">Account share by maturity</t>
  </si>
  <si>
    <t xml:space="preserve">N(m) ÷ N</t>
  </si>
  <si>
    <t xml:space="preserve">Pricing</t>
  </si>
  <si>
    <t xml:space="preserve">Weighted average rate proxy</t>
  </si>
  <si>
    <t xml:space="preserve">WAR = Σ A × mid_r ÷ A</t>
  </si>
  <si>
    <t xml:space="preserve">Book + by maturity</t>
  </si>
  <si>
    <t xml:space="preserve">Rate midpoint</t>
  </si>
  <si>
    <t xml:space="preserve">mid_r (assumption)</t>
  </si>
  <si>
    <t xml:space="preserve">Illustrative 50 bp repricing saving on 7–9% ≤ 1 yr</t>
  </si>
  <si>
    <t xml:space="preserve">Σ A(7–9%, ≤ 364 d) × 0.005</t>
  </si>
  <si>
    <t xml:space="preserve">Illustrative</t>
  </si>
  <si>
    <t xml:space="preserve">Maturity</t>
  </si>
  <si>
    <t xml:space="preserve">Weighted average maturity</t>
  </si>
  <si>
    <t xml:space="preserve">WAM (days)</t>
  </si>
  <si>
    <t xml:space="preserve">Maturity midpoint</t>
  </si>
  <si>
    <t xml:space="preserve">d_m (assumption)</t>
  </si>
  <si>
    <t xml:space="preserve">12 buckets</t>
  </si>
  <si>
    <t xml:space="preserve">Ticket size</t>
  </si>
  <si>
    <t xml:space="preserve">ATS by rate bucket</t>
  </si>
  <si>
    <t xml:space="preserve">A(r) × 100 ÷ N(r)</t>
  </si>
  <si>
    <t xml:space="preserve">ATS by maturity bucket</t>
  </si>
  <si>
    <t xml:space="preserve">A(m) × 100 ÷ N(m)</t>
  </si>
  <si>
    <t xml:space="preserve">Book ATS</t>
  </si>
  <si>
    <t xml:space="preserve">ATS dispersion</t>
  </si>
  <si>
    <t xml:space="preserve">max ATS(m) ÷ min ATS(m)</t>
  </si>
  <si>
    <t xml:space="preserve">Cell ATS</t>
  </si>
  <si>
    <t xml:space="preserve">A(r,m) × 100 ÷ N(r,m)</t>
  </si>
  <si>
    <t xml:space="preserve">8 × 12</t>
  </si>
  <si>
    <t xml:space="preserve">Concentration</t>
  </si>
  <si>
    <t xml:space="preserve">Top bucket share (rate)</t>
  </si>
  <si>
    <t xml:space="preserve">max sh(r)</t>
  </si>
  <si>
    <t xml:space="preserve">Top-2 maturity buckets share</t>
  </si>
  <si>
    <t xml:space="preserve">Σ LARGE(sh(m), 2)</t>
  </si>
  <si>
    <t xml:space="preserve">HHI across maturity buckets</t>
  </si>
  <si>
    <t xml:space="preserve">Σ (100 × sh(m))²</t>
  </si>
  <si>
    <t xml:space="preserve">Data integrity</t>
  </si>
  <si>
    <t xml:space="preserve">Blank-cell placement</t>
  </si>
  <si>
    <t xml:space="preserve">Rows with &lt; 12 values placed by reconciliation</t>
  </si>
  <si>
    <t xml:space="preserve">3 rows</t>
  </si>
  <si>
    <t xml:space="preserve">Upto 3.5% (no &gt; 5 yr), 3.25–4.25% (no 3–5 / &gt; 5 yr), 4.25–5.5% (no &gt; 5 yr); all tie</t>
  </si>
  <si>
    <t xml:space="preserve">Bucket definition flags</t>
  </si>
  <si>
    <t xml:space="preserve">Overlap 'Upto 3.5%' / '&gt;3.25% to 4.25%'; print order; open-ended '&gt;9%'</t>
  </si>
  <si>
    <t xml:space="preserve">Page</t>
  </si>
  <si>
    <t xml:space="preserve">Confirm bucket boundaries; midpoints are assumptions</t>
  </si>
  <si>
    <t xml:space="preserve">Null column</t>
  </si>
  <si>
    <t xml:space="preserve">A = 0, N = 2</t>
  </si>
</sst>
</file>

<file path=xl/styles.xml><?xml version="1.0" encoding="utf-8"?>
<styleSheet xmlns="http://schemas.openxmlformats.org/spreadsheetml/2006/main">
  <numFmts count="11">
    <numFmt numFmtId="164" formatCode="General"/>
    <numFmt numFmtId="165" formatCode="#,##0.00;\(#,##0.00\);\-"/>
    <numFmt numFmtId="166" formatCode="0.0%;\-0.0%;0.0%"/>
    <numFmt numFmtId="167" formatCode="0.000"/>
    <numFmt numFmtId="168" formatCode="#,##0;\(#,##0\);\-"/>
    <numFmt numFmtId="169" formatCode="#,##0.0"/>
    <numFmt numFmtId="170" formatCode="0.0"/>
    <numFmt numFmtId="171" formatCode="0.00"/>
    <numFmt numFmtId="172" formatCode="#,##0"/>
    <numFmt numFmtId="173" formatCode="#,##0.00"/>
    <numFmt numFmtId="174" formatCode="0.00\x"/>
  </numFmts>
  <fonts count="1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3864"/>
      <name val="Arial"/>
      <family val="0"/>
      <charset val="1"/>
    </font>
    <font>
      <i val="true"/>
      <sz val="10"/>
      <color rgb="FF595959"/>
      <name val="Arial"/>
      <family val="0"/>
      <charset val="1"/>
    </font>
    <font>
      <b val="true"/>
      <sz val="10"/>
      <color rgb="FFC00000"/>
      <name val="Arial"/>
      <family val="0"/>
      <charset val="1"/>
    </font>
    <font>
      <b val="true"/>
      <sz val="11"/>
      <color rgb="FF1F3864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0000FF"/>
      <name val="Arial"/>
      <family val="0"/>
      <charset val="1"/>
    </font>
    <font>
      <sz val="10"/>
      <color rgb="FF000000"/>
      <name val="Arial"/>
      <family val="0"/>
      <charset val="1"/>
    </font>
    <font>
      <i val="true"/>
      <sz val="10"/>
      <name val="Arial"/>
      <family val="0"/>
      <charset val="1"/>
    </font>
    <font>
      <sz val="10"/>
      <color rgb="FF008000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D9E1F2"/>
        <bgColor rgb="FFCCFFFF"/>
      </patternFill>
    </fill>
    <fill>
      <patternFill patternType="solid">
        <fgColor rgb="FF1F3864"/>
        <bgColor rgb="FF333333"/>
      </patternFill>
    </fill>
    <fill>
      <patternFill patternType="solid">
        <fgColor rgb="FFFFF2CC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0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3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74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4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110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3" customFormat="false" ht="15" hidden="false" customHeight="false" outlineLevel="0" collapsed="false">
      <c r="A3" s="3" t="s">
        <v>2</v>
      </c>
    </row>
    <row r="5" customFormat="false" ht="15" hidden="false" customHeight="false" outlineLevel="0" collapsed="false">
      <c r="A5" s="4" t="s">
        <v>3</v>
      </c>
      <c r="B5" s="5"/>
    </row>
    <row r="6" customFormat="false" ht="15" hidden="false" customHeight="false" outlineLevel="0" collapsed="false">
      <c r="A6" s="6" t="s">
        <v>4</v>
      </c>
      <c r="B6" s="7" t="s">
        <v>5</v>
      </c>
    </row>
    <row r="7" customFormat="false" ht="15" hidden="false" customHeight="false" outlineLevel="0" collapsed="false">
      <c r="A7" s="6" t="s">
        <v>6</v>
      </c>
      <c r="B7" s="7" t="s">
        <v>7</v>
      </c>
    </row>
    <row r="8" customFormat="false" ht="15" hidden="false" customHeight="false" outlineLevel="0" collapsed="false">
      <c r="A8" s="6"/>
      <c r="B8" s="7"/>
    </row>
    <row r="9" customFormat="false" ht="15" hidden="false" customHeight="false" outlineLevel="0" collapsed="false">
      <c r="A9" s="4" t="s">
        <v>8</v>
      </c>
      <c r="B9" s="5"/>
    </row>
    <row r="10" customFormat="false" ht="15" hidden="false" customHeight="false" outlineLevel="0" collapsed="false">
      <c r="A10" s="6" t="s">
        <v>9</v>
      </c>
      <c r="B10" s="7" t="s">
        <v>10</v>
      </c>
    </row>
    <row r="11" customFormat="false" ht="15" hidden="false" customHeight="false" outlineLevel="0" collapsed="false">
      <c r="A11" s="6" t="s">
        <v>11</v>
      </c>
      <c r="B11" s="7" t="s">
        <v>12</v>
      </c>
    </row>
    <row r="12" customFormat="false" ht="15" hidden="false" customHeight="false" outlineLevel="0" collapsed="false">
      <c r="A12" s="6" t="s">
        <v>13</v>
      </c>
      <c r="B12" s="7" t="s">
        <v>14</v>
      </c>
    </row>
    <row r="13" customFormat="false" ht="15" hidden="false" customHeight="false" outlineLevel="0" collapsed="false">
      <c r="A13" s="6" t="s">
        <v>15</v>
      </c>
      <c r="B13" s="7" t="s">
        <v>16</v>
      </c>
    </row>
    <row r="14" customFormat="false" ht="15" hidden="false" customHeight="false" outlineLevel="0" collapsed="false">
      <c r="A14" s="6" t="s">
        <v>17</v>
      </c>
      <c r="B14" s="7" t="s">
        <v>18</v>
      </c>
    </row>
    <row r="15" customFormat="false" ht="15" hidden="false" customHeight="false" outlineLevel="0" collapsed="false">
      <c r="A15" s="6"/>
      <c r="B15" s="7"/>
    </row>
    <row r="16" customFormat="false" ht="15" hidden="false" customHeight="false" outlineLevel="0" collapsed="false">
      <c r="A16" s="4" t="s">
        <v>19</v>
      </c>
      <c r="B16" s="5"/>
    </row>
    <row r="17" customFormat="false" ht="15" hidden="false" customHeight="false" outlineLevel="0" collapsed="false">
      <c r="A17" s="6" t="s">
        <v>20</v>
      </c>
      <c r="B17" s="7" t="s">
        <v>21</v>
      </c>
    </row>
    <row r="18" customFormat="false" ht="35.05" hidden="false" customHeight="false" outlineLevel="0" collapsed="false">
      <c r="A18" s="6" t="s">
        <v>22</v>
      </c>
      <c r="B18" s="7" t="s">
        <v>23</v>
      </c>
    </row>
    <row r="19" customFormat="false" ht="23.85" hidden="false" customHeight="false" outlineLevel="0" collapsed="false">
      <c r="A19" s="6" t="s">
        <v>24</v>
      </c>
      <c r="B19" s="7" t="s">
        <v>25</v>
      </c>
    </row>
    <row r="20" customFormat="false" ht="15" hidden="false" customHeight="false" outlineLevel="0" collapsed="false">
      <c r="A20" s="6" t="s">
        <v>26</v>
      </c>
      <c r="B20" s="7" t="s">
        <v>27</v>
      </c>
    </row>
    <row r="21" customFormat="false" ht="15" hidden="false" customHeight="false" outlineLevel="0" collapsed="false">
      <c r="A21" s="6" t="s">
        <v>28</v>
      </c>
      <c r="B21" s="7" t="s">
        <v>29</v>
      </c>
    </row>
    <row r="22" customFormat="false" ht="15" hidden="false" customHeight="false" outlineLevel="0" collapsed="false">
      <c r="A22" s="6" t="s">
        <v>30</v>
      </c>
      <c r="B22" s="7" t="s">
        <v>31</v>
      </c>
    </row>
    <row r="24" customFormat="false" ht="15" hidden="false" customHeight="false" outlineLevel="0" collapsed="false">
      <c r="A24" s="3" t="s">
        <v>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V7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6" topLeftCell="C7" activePane="bottomRight" state="frozen"/>
      <selection pane="topLeft" activeCell="A1" activeCellId="0" sqref="A1"/>
      <selection pane="topRight" activeCell="C1" activeCellId="0" sqref="C1"/>
      <selection pane="bottomLeft" activeCell="A7" activeCellId="0" sqref="A7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40"/>
    <col collapsed="false" customWidth="true" hidden="false" outlineLevel="0" max="22" min="3" style="0" width="12"/>
  </cols>
  <sheetData>
    <row r="1" customFormat="false" ht="17.35" hidden="false" customHeight="false" outlineLevel="0" collapsed="false">
      <c r="A1" s="1" t="s">
        <v>32</v>
      </c>
    </row>
    <row r="2" customFormat="false" ht="15" hidden="false" customHeight="false" outlineLevel="0" collapsed="false">
      <c r="A2" s="2" t="s">
        <v>33</v>
      </c>
    </row>
    <row r="3" customFormat="false" ht="15" hidden="false" customHeight="false" outlineLevel="0" collapsed="false">
      <c r="A3" s="3" t="s">
        <v>2</v>
      </c>
    </row>
    <row r="5" customFormat="false" ht="15" hidden="false" customHeight="false" outlineLevel="0" collapsed="false">
      <c r="A5" s="4" t="s">
        <v>34</v>
      </c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</row>
    <row r="6" customFormat="false" ht="35.05" hidden="false" customHeight="false" outlineLevel="0" collapsed="false">
      <c r="A6" s="8" t="s">
        <v>35</v>
      </c>
      <c r="B6" s="8" t="s">
        <v>36</v>
      </c>
      <c r="C6" s="8" t="s">
        <v>37</v>
      </c>
      <c r="D6" s="8" t="s">
        <v>38</v>
      </c>
      <c r="E6" s="8" t="s">
        <v>39</v>
      </c>
      <c r="F6" s="8" t="s">
        <v>40</v>
      </c>
      <c r="G6" s="8" t="s">
        <v>41</v>
      </c>
      <c r="H6" s="8" t="s">
        <v>42</v>
      </c>
      <c r="I6" s="8" t="s">
        <v>43</v>
      </c>
      <c r="J6" s="8" t="s">
        <v>44</v>
      </c>
      <c r="K6" s="8" t="s">
        <v>45</v>
      </c>
      <c r="L6" s="8" t="s">
        <v>46</v>
      </c>
      <c r="M6" s="8" t="s">
        <v>47</v>
      </c>
      <c r="N6" s="8" t="s">
        <v>48</v>
      </c>
      <c r="O6" s="8" t="s">
        <v>49</v>
      </c>
      <c r="P6" s="8" t="s">
        <v>50</v>
      </c>
      <c r="Q6" s="8" t="s">
        <v>51</v>
      </c>
      <c r="R6" s="8" t="s">
        <v>52</v>
      </c>
      <c r="S6" s="8" t="s">
        <v>53</v>
      </c>
      <c r="T6" s="8" t="s">
        <v>54</v>
      </c>
      <c r="U6" s="8" t="s">
        <v>55</v>
      </c>
      <c r="V6" s="8" t="s">
        <v>56</v>
      </c>
    </row>
    <row r="7" customFormat="false" ht="15" hidden="false" customHeight="false" outlineLevel="0" collapsed="false">
      <c r="A7" s="9" t="n">
        <v>1</v>
      </c>
      <c r="B7" s="9" t="s">
        <v>57</v>
      </c>
      <c r="C7" s="10" t="n">
        <v>0</v>
      </c>
      <c r="D7" s="10" t="n">
        <v>112.25</v>
      </c>
      <c r="E7" s="10" t="n">
        <v>106.74</v>
      </c>
      <c r="F7" s="10" t="n">
        <v>19.53</v>
      </c>
      <c r="G7" s="10" t="n">
        <v>27.56</v>
      </c>
      <c r="H7" s="10" t="n">
        <v>65.9</v>
      </c>
      <c r="I7" s="10" t="n">
        <v>9.9</v>
      </c>
      <c r="J7" s="10" t="n">
        <v>15.79</v>
      </c>
      <c r="K7" s="10" t="n">
        <v>33.8</v>
      </c>
      <c r="L7" s="10" t="n">
        <v>0</v>
      </c>
      <c r="M7" s="10" t="n">
        <v>0.03</v>
      </c>
      <c r="N7" s="10"/>
      <c r="O7" s="10" t="n">
        <v>391.5</v>
      </c>
      <c r="P7" s="11" t="n">
        <f aca="false">SUM(C7:N7)</f>
        <v>391.5</v>
      </c>
      <c r="Q7" s="11" t="n">
        <f aca="false">O7-P7</f>
        <v>0</v>
      </c>
      <c r="R7" s="12" t="n">
        <f aca="false">O7/$O$15</f>
        <v>0.00421880364427048</v>
      </c>
      <c r="S7" s="13" t="n">
        <v>3</v>
      </c>
      <c r="T7" s="14" t="n">
        <f aca="false">SUMPRODUCT(C7:N7,$C$17:$N$17)</f>
        <v>38256.675</v>
      </c>
      <c r="U7" s="15" t="n">
        <f aca="false">T7/P7</f>
        <v>97.7181992337165</v>
      </c>
      <c r="V7" s="12" t="n">
        <f aca="false">SUM(D7:J7)/P7</f>
        <v>0.913588761174968</v>
      </c>
    </row>
    <row r="8" customFormat="false" ht="15" hidden="false" customHeight="false" outlineLevel="0" collapsed="false">
      <c r="A8" s="9" t="n">
        <v>2</v>
      </c>
      <c r="B8" s="9" t="s">
        <v>58</v>
      </c>
      <c r="C8" s="10"/>
      <c r="D8" s="10" t="n">
        <v>494</v>
      </c>
      <c r="E8" s="10" t="n">
        <v>533.93</v>
      </c>
      <c r="F8" s="10" t="n">
        <v>1339.56</v>
      </c>
      <c r="G8" s="10" t="n">
        <v>426.22</v>
      </c>
      <c r="H8" s="10" t="n">
        <v>75.36</v>
      </c>
      <c r="I8" s="10" t="n">
        <v>234.11</v>
      </c>
      <c r="J8" s="10" t="n">
        <v>154.45</v>
      </c>
      <c r="K8" s="10" t="n">
        <v>20.48</v>
      </c>
      <c r="L8" s="10" t="n">
        <v>0.61</v>
      </c>
      <c r="M8" s="10"/>
      <c r="N8" s="10"/>
      <c r="O8" s="10" t="n">
        <v>3278.73</v>
      </c>
      <c r="P8" s="11" t="n">
        <f aca="false">SUM(C8:N8)</f>
        <v>3278.72</v>
      </c>
      <c r="Q8" s="11" t="n">
        <f aca="false">O8-P8</f>
        <v>0.00999999999976353</v>
      </c>
      <c r="R8" s="12" t="n">
        <f aca="false">O8/$O$15</f>
        <v>0.0353315915008402</v>
      </c>
      <c r="S8" s="13" t="n">
        <v>3.75</v>
      </c>
      <c r="T8" s="14" t="n">
        <f aca="false">SUMPRODUCT(C8:N8,$C$17:$N$17)</f>
        <v>194240.01</v>
      </c>
      <c r="U8" s="15" t="n">
        <f aca="false">T8/P8</f>
        <v>59.2426343207105</v>
      </c>
      <c r="V8" s="12" t="n">
        <f aca="false">SUM(D8:J8)/P8</f>
        <v>0.993567611750927</v>
      </c>
    </row>
    <row r="9" customFormat="false" ht="15" hidden="false" customHeight="false" outlineLevel="0" collapsed="false">
      <c r="A9" s="9" t="n">
        <v>3</v>
      </c>
      <c r="B9" s="9" t="s">
        <v>59</v>
      </c>
      <c r="C9" s="10"/>
      <c r="D9" s="10" t="n">
        <v>256.29</v>
      </c>
      <c r="E9" s="10" t="n">
        <v>102.9</v>
      </c>
      <c r="F9" s="10" t="n">
        <v>1470.92</v>
      </c>
      <c r="G9" s="10" t="n">
        <v>485.76</v>
      </c>
      <c r="H9" s="10" t="n">
        <v>165.78</v>
      </c>
      <c r="I9" s="10" t="n">
        <v>23.82</v>
      </c>
      <c r="J9" s="10" t="n">
        <v>148.49</v>
      </c>
      <c r="K9" s="10" t="n">
        <v>269.26</v>
      </c>
      <c r="L9" s="10" t="n">
        <v>45.3</v>
      </c>
      <c r="M9" s="10" t="n">
        <v>203.67</v>
      </c>
      <c r="N9" s="10"/>
      <c r="O9" s="10" t="n">
        <v>3172.19</v>
      </c>
      <c r="P9" s="11" t="n">
        <f aca="false">SUM(C9:N9)</f>
        <v>3172.19</v>
      </c>
      <c r="Q9" s="11" t="n">
        <f aca="false">O9-P9</f>
        <v>0</v>
      </c>
      <c r="R9" s="12" t="n">
        <f aca="false">O9/$O$15</f>
        <v>0.0341835165576459</v>
      </c>
      <c r="S9" s="13" t="n">
        <v>4.875</v>
      </c>
      <c r="T9" s="14" t="n">
        <f aca="false">SUMPRODUCT(C9:N9,$C$17:$N$17)</f>
        <v>637518.425</v>
      </c>
      <c r="U9" s="15" t="n">
        <f aca="false">T9/P9</f>
        <v>200.971072035408</v>
      </c>
      <c r="V9" s="12" t="n">
        <f aca="false">SUM(D9:J9)/P9</f>
        <v>0.836633366853814</v>
      </c>
    </row>
    <row r="10" customFormat="false" ht="15" hidden="false" customHeight="false" outlineLevel="0" collapsed="false">
      <c r="A10" s="9" t="n">
        <v>4</v>
      </c>
      <c r="B10" s="9" t="s">
        <v>60</v>
      </c>
      <c r="C10" s="10"/>
      <c r="D10" s="10" t="n">
        <v>13.78</v>
      </c>
      <c r="E10" s="10" t="n">
        <v>16.73</v>
      </c>
      <c r="F10" s="10" t="n">
        <v>169.75</v>
      </c>
      <c r="G10" s="10" t="n">
        <v>138.53</v>
      </c>
      <c r="H10" s="10" t="n">
        <v>476.53</v>
      </c>
      <c r="I10" s="10" t="n">
        <v>43.17</v>
      </c>
      <c r="J10" s="10" t="n">
        <v>15.36</v>
      </c>
      <c r="K10" s="10" t="n">
        <v>168.98</v>
      </c>
      <c r="L10" s="10" t="n">
        <v>511.68</v>
      </c>
      <c r="M10" s="10" t="n">
        <v>490.11</v>
      </c>
      <c r="N10" s="10" t="n">
        <v>9.41</v>
      </c>
      <c r="O10" s="10" t="n">
        <v>2054.05</v>
      </c>
      <c r="P10" s="11" t="n">
        <f aca="false">SUM(C10:N10)</f>
        <v>2054.03</v>
      </c>
      <c r="Q10" s="11" t="n">
        <f aca="false">O10-P10</f>
        <v>0.0200000000004366</v>
      </c>
      <c r="R10" s="12" t="n">
        <f aca="false">O10/$O$15</f>
        <v>0.0221344409336239</v>
      </c>
      <c r="S10" s="13" t="n">
        <v>5.75</v>
      </c>
      <c r="T10" s="14" t="n">
        <f aca="false">SUMPRODUCT(C10:N10,$C$17:$N$17)</f>
        <v>1388626.095</v>
      </c>
      <c r="U10" s="15" t="n">
        <f aca="false">T10/P10</f>
        <v>676.04956840942</v>
      </c>
      <c r="V10" s="12" t="n">
        <f aca="false">SUM(D10:J10)/P10</f>
        <v>0.425431955716324</v>
      </c>
    </row>
    <row r="11" customFormat="false" ht="15" hidden="false" customHeight="false" outlineLevel="0" collapsed="false">
      <c r="A11" s="9" t="n">
        <v>5</v>
      </c>
      <c r="B11" s="9" t="s">
        <v>61</v>
      </c>
      <c r="C11" s="10"/>
      <c r="D11" s="10" t="n">
        <v>65.05</v>
      </c>
      <c r="E11" s="10" t="n">
        <v>100.08</v>
      </c>
      <c r="F11" s="10" t="n">
        <v>58.77</v>
      </c>
      <c r="G11" s="10" t="n">
        <v>284.64</v>
      </c>
      <c r="H11" s="10" t="n">
        <v>214.88</v>
      </c>
      <c r="I11" s="10" t="n">
        <v>138.09</v>
      </c>
      <c r="J11" s="10" t="n">
        <v>129.05</v>
      </c>
      <c r="K11" s="10" t="n">
        <v>159.9</v>
      </c>
      <c r="L11" s="10" t="n">
        <v>97.27</v>
      </c>
      <c r="M11" s="10" t="n">
        <v>4.88</v>
      </c>
      <c r="N11" s="10" t="n">
        <v>15.06</v>
      </c>
      <c r="O11" s="10" t="n">
        <v>1267.68</v>
      </c>
      <c r="P11" s="11" t="n">
        <f aca="false">SUM(C11:N11)</f>
        <v>1267.67</v>
      </c>
      <c r="Q11" s="11" t="n">
        <f aca="false">O11-P11</f>
        <v>0.0100000000002183</v>
      </c>
      <c r="R11" s="12" t="n">
        <f aca="false">O11/$O$15</f>
        <v>0.0136605185281451</v>
      </c>
      <c r="S11" s="13" t="n">
        <v>6.25</v>
      </c>
      <c r="T11" s="14" t="n">
        <f aca="false">SUMPRODUCT(C11:N11,$C$17:$N$17)</f>
        <v>335996.745</v>
      </c>
      <c r="U11" s="15" t="n">
        <f aca="false">T11/P11</f>
        <v>265.050640150828</v>
      </c>
      <c r="V11" s="12" t="n">
        <f aca="false">SUM(D11:J11)/P11</f>
        <v>0.781402099915593</v>
      </c>
    </row>
    <row r="12" customFormat="false" ht="15" hidden="false" customHeight="false" outlineLevel="0" collapsed="false">
      <c r="A12" s="9" t="n">
        <v>6</v>
      </c>
      <c r="B12" s="9" t="s">
        <v>62</v>
      </c>
      <c r="C12" s="10"/>
      <c r="D12" s="10" t="n">
        <v>63.53</v>
      </c>
      <c r="E12" s="10" t="n">
        <v>107.7</v>
      </c>
      <c r="F12" s="10" t="n">
        <v>253.39</v>
      </c>
      <c r="G12" s="10" t="n">
        <v>1333.98</v>
      </c>
      <c r="H12" s="10" t="n">
        <v>2221.55</v>
      </c>
      <c r="I12" s="10" t="n">
        <v>663.4</v>
      </c>
      <c r="J12" s="10" t="n">
        <v>454.95</v>
      </c>
      <c r="K12" s="10" t="n">
        <v>229.05</v>
      </c>
      <c r="L12" s="10" t="n">
        <v>57.32</v>
      </c>
      <c r="M12" s="10" t="n">
        <v>46.54</v>
      </c>
      <c r="N12" s="10" t="n">
        <v>80.03</v>
      </c>
      <c r="O12" s="10" t="n">
        <v>5511.44</v>
      </c>
      <c r="P12" s="11" t="n">
        <f aca="false">SUM(C12:N12)</f>
        <v>5511.44</v>
      </c>
      <c r="Q12" s="11" t="n">
        <f aca="false">O12-P12</f>
        <v>0</v>
      </c>
      <c r="R12" s="12" t="n">
        <f aca="false">O12/$O$15</f>
        <v>0.0593912724321279</v>
      </c>
      <c r="S12" s="13" t="n">
        <v>6.75</v>
      </c>
      <c r="T12" s="14" t="n">
        <f aca="false">SUMPRODUCT(C12:N12,$C$17:$N$17)</f>
        <v>1098845.355</v>
      </c>
      <c r="U12" s="15" t="n">
        <f aca="false">T12/P12</f>
        <v>199.375363788774</v>
      </c>
      <c r="V12" s="12" t="n">
        <f aca="false">SUM(D12:J12)/P12</f>
        <v>0.925075842248124</v>
      </c>
    </row>
    <row r="13" customFormat="false" ht="15" hidden="false" customHeight="false" outlineLevel="0" collapsed="false">
      <c r="A13" s="9" t="n">
        <v>7</v>
      </c>
      <c r="B13" s="9" t="s">
        <v>63</v>
      </c>
      <c r="C13" s="10"/>
      <c r="D13" s="10" t="n">
        <v>951.02</v>
      </c>
      <c r="E13" s="10" t="n">
        <v>1570.34</v>
      </c>
      <c r="F13" s="10" t="n">
        <v>7177.88</v>
      </c>
      <c r="G13" s="10" t="n">
        <v>5943.63</v>
      </c>
      <c r="H13" s="10" t="n">
        <v>13584.3</v>
      </c>
      <c r="I13" s="10" t="n">
        <v>8337.26</v>
      </c>
      <c r="J13" s="10" t="n">
        <v>19837.96</v>
      </c>
      <c r="K13" s="10" t="n">
        <v>15859.19</v>
      </c>
      <c r="L13" s="10" t="n">
        <v>3323.2</v>
      </c>
      <c r="M13" s="10" t="n">
        <v>253.77</v>
      </c>
      <c r="N13" s="10" t="n">
        <v>208.67</v>
      </c>
      <c r="O13" s="10" t="n">
        <v>77047.21</v>
      </c>
      <c r="P13" s="11" t="n">
        <f aca="false">SUM(C13:N13)</f>
        <v>77047.22</v>
      </c>
      <c r="Q13" s="11" t="n">
        <f aca="false">O13-P13</f>
        <v>-0.00999999999476131</v>
      </c>
      <c r="R13" s="12" t="n">
        <f aca="false">O13/$O$15</f>
        <v>0.830260664952421</v>
      </c>
      <c r="S13" s="13" t="n">
        <v>8</v>
      </c>
      <c r="T13" s="14" t="n">
        <f aca="false">SUMPRODUCT(C13:N13,$C$17:$N$17)</f>
        <v>22778311.675</v>
      </c>
      <c r="U13" s="15" t="n">
        <f aca="false">T13/P13</f>
        <v>295.640928705799</v>
      </c>
      <c r="V13" s="12" t="n">
        <f aca="false">SUM(D13:J13)/P13</f>
        <v>0.745028697985469</v>
      </c>
    </row>
    <row r="14" customFormat="false" ht="15" hidden="false" customHeight="false" outlineLevel="0" collapsed="false">
      <c r="A14" s="9" t="n">
        <v>8</v>
      </c>
      <c r="B14" s="9" t="s">
        <v>64</v>
      </c>
      <c r="C14" s="10" t="n">
        <v>0</v>
      </c>
      <c r="D14" s="10" t="n">
        <v>1.4</v>
      </c>
      <c r="E14" s="10" t="n">
        <v>2.8</v>
      </c>
      <c r="F14" s="10" t="n">
        <v>24.16</v>
      </c>
      <c r="G14" s="10" t="n">
        <v>13.29</v>
      </c>
      <c r="H14" s="10" t="n">
        <v>16.12</v>
      </c>
      <c r="I14" s="10" t="n">
        <v>4.11</v>
      </c>
      <c r="J14" s="10" t="n">
        <v>3.66</v>
      </c>
      <c r="K14" s="10" t="n">
        <v>0.83</v>
      </c>
      <c r="L14" s="10" t="n">
        <v>6.29</v>
      </c>
      <c r="M14" s="10" t="n">
        <v>0.34</v>
      </c>
      <c r="N14" s="10" t="n">
        <v>3.02</v>
      </c>
      <c r="O14" s="10" t="n">
        <v>76.02</v>
      </c>
      <c r="P14" s="11" t="n">
        <f aca="false">SUM(C14:N14)</f>
        <v>76.02</v>
      </c>
      <c r="Q14" s="11" t="n">
        <f aca="false">O14-P14</f>
        <v>0</v>
      </c>
      <c r="R14" s="12" t="n">
        <f aca="false">O14/$O$15</f>
        <v>0.000819191450925777</v>
      </c>
      <c r="S14" s="13" t="n">
        <v>9.25</v>
      </c>
      <c r="T14" s="14" t="n">
        <f aca="false">SUMPRODUCT(C14:N14,$C$17:$N$17)</f>
        <v>19122.935</v>
      </c>
      <c r="U14" s="15" t="n">
        <f aca="false">T14/P14</f>
        <v>251.551368061037</v>
      </c>
      <c r="V14" s="12" t="n">
        <f aca="false">SUM(D14:J14)/P14</f>
        <v>0.862141541699553</v>
      </c>
    </row>
    <row r="15" customFormat="false" ht="15" hidden="false" customHeight="false" outlineLevel="0" collapsed="false">
      <c r="B15" s="16" t="s">
        <v>65</v>
      </c>
      <c r="C15" s="10" t="n">
        <v>0</v>
      </c>
      <c r="D15" s="10" t="n">
        <v>1957.33</v>
      </c>
      <c r="E15" s="10" t="n">
        <v>2541.23</v>
      </c>
      <c r="F15" s="10" t="n">
        <v>10513.97</v>
      </c>
      <c r="G15" s="10" t="n">
        <v>8653.6</v>
      </c>
      <c r="H15" s="10" t="n">
        <v>16820.42</v>
      </c>
      <c r="I15" s="10" t="n">
        <v>9453.86</v>
      </c>
      <c r="J15" s="10" t="n">
        <v>20759.71</v>
      </c>
      <c r="K15" s="10" t="n">
        <v>16741.5</v>
      </c>
      <c r="L15" s="10" t="n">
        <v>4041.67</v>
      </c>
      <c r="M15" s="10" t="n">
        <v>999.34</v>
      </c>
      <c r="N15" s="10" t="n">
        <v>316.19</v>
      </c>
      <c r="O15" s="10" t="n">
        <v>92798.82</v>
      </c>
      <c r="P15" s="11" t="n">
        <f aca="false">SUM(C15:N15)</f>
        <v>92798.82</v>
      </c>
      <c r="Q15" s="11" t="n">
        <f aca="false">O15-P15</f>
        <v>0</v>
      </c>
      <c r="T15" s="14" t="n">
        <f aca="false">SUMPRODUCT(C15:N15,C17:N17)</f>
        <v>26490923.145</v>
      </c>
      <c r="U15" s="15" t="n">
        <f aca="false">T15/P15</f>
        <v>285.466163740013</v>
      </c>
      <c r="V15" s="12" t="n">
        <f aca="false">SUM(D15:J15)/P15</f>
        <v>0.761864428879591</v>
      </c>
    </row>
    <row r="16" customFormat="false" ht="15" hidden="false" customHeight="false" outlineLevel="0" collapsed="false">
      <c r="B16" s="9" t="s">
        <v>66</v>
      </c>
      <c r="C16" s="11" t="n">
        <f aca="false">C15-SUM(C7:C14)</f>
        <v>0</v>
      </c>
      <c r="D16" s="11" t="n">
        <f aca="false">D15-SUM(D7:D14)</f>
        <v>0.00999999999999091</v>
      </c>
      <c r="E16" s="11" t="n">
        <f aca="false">E15-SUM(E7:E14)</f>
        <v>0.0100000000002183</v>
      </c>
      <c r="F16" s="11" t="n">
        <f aca="false">F15-SUM(F7:F14)</f>
        <v>0.00999999999839929</v>
      </c>
      <c r="G16" s="11" t="n">
        <f aca="false">G15-SUM(G7:G14)</f>
        <v>-0.0100000000002183</v>
      </c>
      <c r="H16" s="11" t="n">
        <f aca="false">H15-SUM(H7:H14)</f>
        <v>0</v>
      </c>
      <c r="I16" s="11" t="n">
        <f aca="false">I15-SUM(I7:I14)</f>
        <v>0</v>
      </c>
      <c r="J16" s="11" t="n">
        <f aca="false">J15-SUM(J7:J14)</f>
        <v>0</v>
      </c>
      <c r="K16" s="11" t="n">
        <f aca="false">K15-SUM(K7:K14)</f>
        <v>0.00999999999839929</v>
      </c>
      <c r="L16" s="11" t="n">
        <f aca="false">L15-SUM(L7:L14)</f>
        <v>0</v>
      </c>
      <c r="M16" s="11" t="n">
        <f aca="false">M15-SUM(M7:M14)</f>
        <v>0</v>
      </c>
      <c r="N16" s="11" t="n">
        <f aca="false">N15-SUM(N7:N14)</f>
        <v>0</v>
      </c>
      <c r="O16" s="11" t="n">
        <f aca="false">O15-SUM(O7:O14)</f>
        <v>0</v>
      </c>
    </row>
    <row r="17" customFormat="false" ht="15" hidden="false" customHeight="false" outlineLevel="0" collapsed="false">
      <c r="B17" s="9" t="s">
        <v>67</v>
      </c>
      <c r="C17" s="17" t="n">
        <v>0</v>
      </c>
      <c r="D17" s="17" t="n">
        <v>3</v>
      </c>
      <c r="E17" s="17" t="n">
        <v>10.5</v>
      </c>
      <c r="F17" s="17" t="n">
        <v>30</v>
      </c>
      <c r="G17" s="17" t="n">
        <v>68</v>
      </c>
      <c r="H17" s="17" t="n">
        <v>135.5</v>
      </c>
      <c r="I17" s="17" t="n">
        <v>210.5</v>
      </c>
      <c r="J17" s="17" t="n">
        <v>302.5</v>
      </c>
      <c r="K17" s="17" t="n">
        <v>547.5</v>
      </c>
      <c r="L17" s="17" t="n">
        <v>912.5</v>
      </c>
      <c r="M17" s="17" t="n">
        <v>1460</v>
      </c>
      <c r="N17" s="17" t="n">
        <v>2190</v>
      </c>
    </row>
    <row r="18" customFormat="false" ht="15" hidden="false" customHeight="false" outlineLevel="0" collapsed="false">
      <c r="B18" s="9" t="s">
        <v>68</v>
      </c>
      <c r="C18" s="12" t="n">
        <f aca="false">C15/$O$15</f>
        <v>0</v>
      </c>
      <c r="D18" s="12" t="n">
        <f aca="false">D15/$O$15</f>
        <v>0.0210921863015069</v>
      </c>
      <c r="E18" s="12" t="n">
        <f aca="false">E15/$O$15</f>
        <v>0.0273842921709565</v>
      </c>
      <c r="F18" s="12" t="n">
        <f aca="false">F15/$O$15</f>
        <v>0.113298531166668</v>
      </c>
      <c r="G18" s="12" t="n">
        <f aca="false">G15/$O$15</f>
        <v>0.09325118573706</v>
      </c>
      <c r="H18" s="12" t="n">
        <f aca="false">H15/$O$15</f>
        <v>0.181256830636424</v>
      </c>
      <c r="I18" s="12" t="n">
        <f aca="false">I15/$O$15</f>
        <v>0.101874786769918</v>
      </c>
      <c r="J18" s="12" t="n">
        <f aca="false">J15/$O$15</f>
        <v>0.223706616097058</v>
      </c>
      <c r="K18" s="12" t="n">
        <f aca="false">K15/$O$15</f>
        <v>0.180406388788133</v>
      </c>
      <c r="L18" s="12" t="n">
        <f aca="false">L15/$O$15</f>
        <v>0.0435530322476083</v>
      </c>
      <c r="M18" s="12" t="n">
        <f aca="false">M15/$O$15</f>
        <v>0.0107688869319675</v>
      </c>
      <c r="N18" s="12" t="n">
        <f aca="false">N15/$O$15</f>
        <v>0.00340726315269957</v>
      </c>
    </row>
    <row r="19" customFormat="false" ht="15" hidden="false" customHeight="false" outlineLevel="0" collapsed="false">
      <c r="B19" s="9" t="s">
        <v>69</v>
      </c>
      <c r="C19" s="12" t="n">
        <f aca="false">SUM($C$15:C15)/$O$15</f>
        <v>0</v>
      </c>
      <c r="D19" s="12" t="n">
        <f aca="false">SUM($C$15:D15)/$O$15</f>
        <v>0.0210921863015069</v>
      </c>
      <c r="E19" s="12" t="n">
        <f aca="false">SUM($C$15:E15)/$O$15</f>
        <v>0.0484764784724633</v>
      </c>
      <c r="F19" s="12" t="n">
        <f aca="false">SUM($C$15:F15)/$O$15</f>
        <v>0.161775009639131</v>
      </c>
      <c r="G19" s="12" t="n">
        <f aca="false">SUM($C$15:G15)/$O$15</f>
        <v>0.255026195376191</v>
      </c>
      <c r="H19" s="12" t="n">
        <f aca="false">SUM($C$15:H15)/$O$15</f>
        <v>0.436283026012615</v>
      </c>
      <c r="I19" s="12" t="n">
        <f aca="false">SUM($C$15:I15)/$O$15</f>
        <v>0.538157812782533</v>
      </c>
      <c r="J19" s="12" t="n">
        <f aca="false">SUM($C$15:J15)/$O$15</f>
        <v>0.761864428879591</v>
      </c>
      <c r="K19" s="12" t="n">
        <f aca="false">SUM($C$15:K15)/$O$15</f>
        <v>0.942270817667725</v>
      </c>
      <c r="L19" s="12" t="n">
        <f aca="false">SUM($C$15:L15)/$O$15</f>
        <v>0.985823849915333</v>
      </c>
      <c r="M19" s="12" t="n">
        <f aca="false">SUM($C$15:M15)/$O$15</f>
        <v>0.9965927368473</v>
      </c>
      <c r="N19" s="12" t="n">
        <f aca="false">SUM($C$15:N15)/$O$15</f>
        <v>1</v>
      </c>
    </row>
    <row r="20" customFormat="false" ht="15" hidden="false" customHeight="false" outlineLevel="0" collapsed="false">
      <c r="B20" s="9" t="s">
        <v>70</v>
      </c>
      <c r="C20" s="14" t="n">
        <f aca="false">SUMPRODUCT(C7:C14,$S$7:$S$14)</f>
        <v>0</v>
      </c>
      <c r="D20" s="14" t="n">
        <f aca="false">SUMPRODUCT(D7:D14,$S$7:$S$14)</f>
        <v>11974.39875</v>
      </c>
      <c r="E20" s="14" t="n">
        <f aca="false">SUMPRODUCT(E7:E14,$S$7:$S$14)</f>
        <v>16861.3875</v>
      </c>
      <c r="F20" s="14" t="n">
        <f aca="false">SUMPRODUCT(F7:F14,$S$7:$S$14)</f>
        <v>72952.9525</v>
      </c>
      <c r="G20" s="14" t="n">
        <f aca="false">SUMPRODUCT(G7:G14,$S$7:$S$14)</f>
        <v>63300.97</v>
      </c>
      <c r="H20" s="14" t="n">
        <f aca="false">SUMPRODUCT(H7:H14,$S$7:$S$14)</f>
        <v>129190.4975</v>
      </c>
      <c r="I20" s="14" t="n">
        <f aca="false">SUMPRODUCT(I7:I14,$S$7:$S$14)</f>
        <v>73349.0725</v>
      </c>
      <c r="J20" s="14" t="n">
        <f aca="false">SUMPRODUCT(J7:J14,$S$7:$S$14)</f>
        <v>164053.77625</v>
      </c>
      <c r="K20" s="14" t="n">
        <f aca="false">SUMPRODUCT(K7:K14,$S$7:$S$14)</f>
        <v>131889.1375</v>
      </c>
      <c r="L20" s="14" t="n">
        <f aca="false">SUMPRODUCT(L7:L14,$S$7:$S$14)</f>
        <v>30803.915</v>
      </c>
      <c r="M20" s="14" t="n">
        <f aca="false">SUMPRODUCT(M7:M14,$S$7:$S$14)</f>
        <v>6189.06375</v>
      </c>
      <c r="N20" s="14" t="n">
        <f aca="false">SUMPRODUCT(N7:N14,$S$7:$S$14)</f>
        <v>2385.73</v>
      </c>
      <c r="O20" s="14" t="n">
        <f aca="false">SUMPRODUCT(O7:O14,$S$7:$S$14)</f>
        <v>702951.03625</v>
      </c>
    </row>
    <row r="21" customFormat="false" ht="15" hidden="false" customHeight="false" outlineLevel="0" collapsed="false">
      <c r="B21" s="16" t="s">
        <v>71</v>
      </c>
      <c r="C21" s="18" t="str">
        <f aca="false">IF(C15=0,"",C20/C15)</f>
        <v/>
      </c>
      <c r="D21" s="18" t="n">
        <f aca="false">IF(D15=0,"",D20/D15)</f>
        <v>6.11772095150026</v>
      </c>
      <c r="E21" s="18" t="n">
        <f aca="false">IF(E15=0,"",E20/E15)</f>
        <v>6.63512846141436</v>
      </c>
      <c r="F21" s="18" t="n">
        <f aca="false">IF(F15=0,"",F20/F15)</f>
        <v>6.93866850485592</v>
      </c>
      <c r="G21" s="18" t="n">
        <f aca="false">IF(G15=0,"",G20/G15)</f>
        <v>7.31498682629195</v>
      </c>
      <c r="H21" s="18" t="n">
        <f aca="false">IF(H15=0,"",H20/H15)</f>
        <v>7.68057500942307</v>
      </c>
      <c r="I21" s="18" t="n">
        <f aca="false">IF(I15=0,"",I20/I15)</f>
        <v>7.75863747717863</v>
      </c>
      <c r="J21" s="18" t="n">
        <f aca="false">IF(J15=0,"",J20/J15)</f>
        <v>7.90250809139434</v>
      </c>
      <c r="K21" s="18" t="n">
        <f aca="false">IF(K15=0,"",K20/K15)</f>
        <v>7.87797613714422</v>
      </c>
      <c r="L21" s="18" t="n">
        <f aca="false">IF(L15=0,"",L20/L15)</f>
        <v>7.6215809306549</v>
      </c>
      <c r="M21" s="18" t="n">
        <f aca="false">IF(M15=0,"",M20/M15)</f>
        <v>6.19315122981168</v>
      </c>
      <c r="N21" s="18" t="n">
        <f aca="false">IF(N15=0,"",N20/N15)</f>
        <v>7.54524178500269</v>
      </c>
      <c r="O21" s="18" t="n">
        <f aca="false">IF(O15=0,"",O20/O15)</f>
        <v>7.57499972790602</v>
      </c>
    </row>
    <row r="22" customFormat="false" ht="15" hidden="false" customHeight="false" outlineLevel="0" collapsed="false">
      <c r="B22" s="9" t="s">
        <v>72</v>
      </c>
      <c r="C22" s="12" t="str">
        <f aca="false">IF(C15=0,"",(C13+C14)/C15)</f>
        <v/>
      </c>
      <c r="D22" s="12" t="n">
        <f aca="false">IF(D15=0,"",(D13+D14)/D15)</f>
        <v>0.486591428118917</v>
      </c>
      <c r="E22" s="12" t="n">
        <f aca="false">IF(E15=0,"",(E13+E14)/E15)</f>
        <v>0.619046682118502</v>
      </c>
      <c r="F22" s="12" t="n">
        <f aca="false">IF(F15=0,"",(F13+F14)/F15)</f>
        <v>0.684997198964806</v>
      </c>
      <c r="G22" s="12" t="n">
        <f aca="false">IF(G15=0,"",(G13+G14)/G15)</f>
        <v>0.688374780438199</v>
      </c>
      <c r="H22" s="12" t="n">
        <f aca="false">IF(H15=0,"",(H13+H14)/H15)</f>
        <v>0.808566016781983</v>
      </c>
      <c r="I22" s="12" t="n">
        <f aca="false">IF(I15=0,"",(I13+I14)/I15)</f>
        <v>0.882324256970169</v>
      </c>
      <c r="J22" s="12" t="n">
        <f aca="false">IF(J15=0,"",(J13+J14)/J15)</f>
        <v>0.955775393779586</v>
      </c>
      <c r="K22" s="12" t="n">
        <f aca="false">IF(K15=0,"",(K13+K14)/K15)</f>
        <v>0.947347609234537</v>
      </c>
      <c r="L22" s="12" t="n">
        <f aca="false">IF(L15=0,"",(L13+L14)/L15)</f>
        <v>0.823790660791208</v>
      </c>
      <c r="M22" s="12" t="n">
        <f aca="false">IF(M15=0,"",(M13+M14)/M15)</f>
        <v>0.25427782336342</v>
      </c>
      <c r="N22" s="12" t="n">
        <f aca="false">IF(N15=0,"",(N13+N14)/N15)</f>
        <v>0.669502514311016</v>
      </c>
      <c r="O22" s="12" t="n">
        <f aca="false">IF(O15=0,"",(O13+O14)/O15)</f>
        <v>0.831079856403347</v>
      </c>
    </row>
    <row r="24" customFormat="false" ht="15" hidden="false" customHeight="false" outlineLevel="0" collapsed="false">
      <c r="A24" s="4" t="s">
        <v>73</v>
      </c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</row>
    <row r="25" customFormat="false" ht="46.25" hidden="false" customHeight="false" outlineLevel="0" collapsed="false">
      <c r="A25" s="8" t="s">
        <v>35</v>
      </c>
      <c r="B25" s="8" t="s">
        <v>36</v>
      </c>
      <c r="C25" s="8" t="s">
        <v>37</v>
      </c>
      <c r="D25" s="8" t="s">
        <v>38</v>
      </c>
      <c r="E25" s="8" t="s">
        <v>39</v>
      </c>
      <c r="F25" s="8" t="s">
        <v>40</v>
      </c>
      <c r="G25" s="8" t="s">
        <v>41</v>
      </c>
      <c r="H25" s="8" t="s">
        <v>42</v>
      </c>
      <c r="I25" s="8" t="s">
        <v>43</v>
      </c>
      <c r="J25" s="8" t="s">
        <v>44</v>
      </c>
      <c r="K25" s="8" t="s">
        <v>45</v>
      </c>
      <c r="L25" s="8" t="s">
        <v>46</v>
      </c>
      <c r="M25" s="8" t="s">
        <v>47</v>
      </c>
      <c r="N25" s="8" t="s">
        <v>48</v>
      </c>
      <c r="O25" s="8" t="s">
        <v>49</v>
      </c>
      <c r="P25" s="8" t="s">
        <v>50</v>
      </c>
      <c r="Q25" s="8" t="s">
        <v>51</v>
      </c>
      <c r="R25" s="8" t="s">
        <v>74</v>
      </c>
      <c r="S25" s="8" t="s">
        <v>75</v>
      </c>
    </row>
    <row r="26" customFormat="false" ht="15" hidden="false" customHeight="false" outlineLevel="0" collapsed="false">
      <c r="A26" s="9" t="n">
        <v>1</v>
      </c>
      <c r="B26" s="9" t="s">
        <v>57</v>
      </c>
      <c r="C26" s="19" t="n">
        <v>1</v>
      </c>
      <c r="D26" s="19" t="n">
        <v>24</v>
      </c>
      <c r="E26" s="19" t="n">
        <v>28</v>
      </c>
      <c r="F26" s="19" t="n">
        <v>32</v>
      </c>
      <c r="G26" s="19" t="n">
        <v>50</v>
      </c>
      <c r="H26" s="19" t="n">
        <v>71</v>
      </c>
      <c r="I26" s="19" t="n">
        <v>14</v>
      </c>
      <c r="J26" s="19" t="n">
        <v>31</v>
      </c>
      <c r="K26" s="19" t="n">
        <v>69</v>
      </c>
      <c r="L26" s="19" t="n">
        <v>1</v>
      </c>
      <c r="M26" s="19" t="n">
        <v>1</v>
      </c>
      <c r="N26" s="19"/>
      <c r="O26" s="19" t="n">
        <v>322</v>
      </c>
      <c r="P26" s="20" t="n">
        <f aca="false">SUM(C26:N26)</f>
        <v>322</v>
      </c>
      <c r="Q26" s="20" t="n">
        <f aca="false">O26-P26</f>
        <v>0</v>
      </c>
      <c r="R26" s="12" t="n">
        <f aca="false">O26/$O$34</f>
        <v>0.000498859749144812</v>
      </c>
      <c r="S26" s="21" t="n">
        <f aca="false">O7*100/O26</f>
        <v>121.583850931677</v>
      </c>
    </row>
    <row r="27" customFormat="false" ht="15" hidden="false" customHeight="false" outlineLevel="0" collapsed="false">
      <c r="A27" s="9" t="n">
        <v>2</v>
      </c>
      <c r="B27" s="9" t="s">
        <v>58</v>
      </c>
      <c r="C27" s="19"/>
      <c r="D27" s="19" t="n">
        <v>1009</v>
      </c>
      <c r="E27" s="19" t="n">
        <v>1222</v>
      </c>
      <c r="F27" s="19" t="n">
        <v>1457</v>
      </c>
      <c r="G27" s="19" t="n">
        <v>268</v>
      </c>
      <c r="H27" s="19" t="n">
        <v>162</v>
      </c>
      <c r="I27" s="19" t="n">
        <v>64</v>
      </c>
      <c r="J27" s="19" t="n">
        <v>516</v>
      </c>
      <c r="K27" s="19" t="n">
        <v>26</v>
      </c>
      <c r="L27" s="19" t="n">
        <v>4</v>
      </c>
      <c r="M27" s="19"/>
      <c r="N27" s="19"/>
      <c r="O27" s="19" t="n">
        <v>4728</v>
      </c>
      <c r="P27" s="20" t="n">
        <f aca="false">SUM(C27:N27)</f>
        <v>4728</v>
      </c>
      <c r="Q27" s="20" t="n">
        <f aca="false">O27-P27</f>
        <v>0</v>
      </c>
      <c r="R27" s="12" t="n">
        <f aca="false">O27/$O$34</f>
        <v>0.00732487234148034</v>
      </c>
      <c r="S27" s="21" t="n">
        <f aca="false">O8*100/O27</f>
        <v>69.3470812182741</v>
      </c>
    </row>
    <row r="28" customFormat="false" ht="15" hidden="false" customHeight="false" outlineLevel="0" collapsed="false">
      <c r="A28" s="9" t="n">
        <v>3</v>
      </c>
      <c r="B28" s="9" t="s">
        <v>59</v>
      </c>
      <c r="C28" s="19"/>
      <c r="D28" s="19" t="n">
        <v>719</v>
      </c>
      <c r="E28" s="19" t="n">
        <v>994</v>
      </c>
      <c r="F28" s="19" t="n">
        <v>3824</v>
      </c>
      <c r="G28" s="19" t="n">
        <v>4545</v>
      </c>
      <c r="H28" s="19" t="n">
        <v>1048</v>
      </c>
      <c r="I28" s="19" t="n">
        <v>68</v>
      </c>
      <c r="J28" s="19" t="n">
        <v>239</v>
      </c>
      <c r="K28" s="19" t="n">
        <v>475</v>
      </c>
      <c r="L28" s="19" t="n">
        <v>83</v>
      </c>
      <c r="M28" s="19" t="n">
        <v>223</v>
      </c>
      <c r="N28" s="19"/>
      <c r="O28" s="19" t="n">
        <v>12218</v>
      </c>
      <c r="P28" s="20" t="n">
        <f aca="false">SUM(C28:N28)</f>
        <v>12218</v>
      </c>
      <c r="Q28" s="20" t="n">
        <f aca="false">O28-P28</f>
        <v>0</v>
      </c>
      <c r="R28" s="12" t="n">
        <f aca="false">O28/$O$34</f>
        <v>0.0189287838976749</v>
      </c>
      <c r="S28" s="21" t="n">
        <f aca="false">O9*100/O28</f>
        <v>25.9632509412342</v>
      </c>
    </row>
    <row r="29" customFormat="false" ht="15" hidden="false" customHeight="false" outlineLevel="0" collapsed="false">
      <c r="A29" s="9" t="n">
        <v>4</v>
      </c>
      <c r="B29" s="9" t="s">
        <v>60</v>
      </c>
      <c r="C29" s="19"/>
      <c r="D29" s="19" t="n">
        <v>279</v>
      </c>
      <c r="E29" s="19" t="n">
        <v>505</v>
      </c>
      <c r="F29" s="19" t="n">
        <v>2012</v>
      </c>
      <c r="G29" s="19" t="n">
        <v>3336</v>
      </c>
      <c r="H29" s="19" t="n">
        <v>9702</v>
      </c>
      <c r="I29" s="19" t="n">
        <v>600</v>
      </c>
      <c r="J29" s="19" t="n">
        <v>63</v>
      </c>
      <c r="K29" s="19" t="n">
        <v>325</v>
      </c>
      <c r="L29" s="19" t="n">
        <v>754</v>
      </c>
      <c r="M29" s="19" t="n">
        <v>806</v>
      </c>
      <c r="N29" s="19" t="n">
        <v>311</v>
      </c>
      <c r="O29" s="19" t="n">
        <v>18693</v>
      </c>
      <c r="P29" s="20" t="n">
        <f aca="false">SUM(C29:N29)</f>
        <v>18693</v>
      </c>
      <c r="Q29" s="20" t="n">
        <f aca="false">O29-P29</f>
        <v>0</v>
      </c>
      <c r="R29" s="12" t="n">
        <f aca="false">O29/$O$34</f>
        <v>0.0289602027663477</v>
      </c>
      <c r="S29" s="21" t="n">
        <f aca="false">O10*100/O29</f>
        <v>10.98833788049</v>
      </c>
    </row>
    <row r="30" customFormat="false" ht="15" hidden="false" customHeight="false" outlineLevel="0" collapsed="false">
      <c r="A30" s="9" t="n">
        <v>5</v>
      </c>
      <c r="B30" s="9" t="s">
        <v>61</v>
      </c>
      <c r="C30" s="19"/>
      <c r="D30" s="19" t="n">
        <v>65</v>
      </c>
      <c r="E30" s="19" t="n">
        <v>113</v>
      </c>
      <c r="F30" s="19" t="n">
        <v>432</v>
      </c>
      <c r="G30" s="19" t="n">
        <v>789</v>
      </c>
      <c r="H30" s="19" t="n">
        <v>2823</v>
      </c>
      <c r="I30" s="19" t="n">
        <v>1670</v>
      </c>
      <c r="J30" s="19" t="n">
        <v>2223</v>
      </c>
      <c r="K30" s="19" t="n">
        <v>457</v>
      </c>
      <c r="L30" s="19" t="n">
        <v>232</v>
      </c>
      <c r="M30" s="19" t="n">
        <v>167</v>
      </c>
      <c r="N30" s="19" t="n">
        <v>326</v>
      </c>
      <c r="O30" s="19" t="n">
        <v>9297</v>
      </c>
      <c r="P30" s="20" t="n">
        <f aca="false">SUM(C30:N30)</f>
        <v>9297</v>
      </c>
      <c r="Q30" s="20" t="n">
        <f aca="false">O30-P30</f>
        <v>0</v>
      </c>
      <c r="R30" s="12" t="n">
        <f aca="false">O30/$O$34</f>
        <v>0.0144034133161469</v>
      </c>
      <c r="S30" s="21" t="n">
        <f aca="false">O11*100/O30</f>
        <v>13.6353662471765</v>
      </c>
    </row>
    <row r="31" customFormat="false" ht="15" hidden="false" customHeight="false" outlineLevel="0" collapsed="false">
      <c r="A31" s="9" t="n">
        <v>6</v>
      </c>
      <c r="B31" s="9" t="s">
        <v>62</v>
      </c>
      <c r="C31" s="19"/>
      <c r="D31" s="19" t="n">
        <v>114</v>
      </c>
      <c r="E31" s="19" t="n">
        <v>165</v>
      </c>
      <c r="F31" s="19" t="n">
        <v>832</v>
      </c>
      <c r="G31" s="19" t="n">
        <v>1441</v>
      </c>
      <c r="H31" s="19" t="n">
        <v>1365</v>
      </c>
      <c r="I31" s="19" t="n">
        <v>481</v>
      </c>
      <c r="J31" s="19" t="n">
        <v>590</v>
      </c>
      <c r="K31" s="19" t="n">
        <v>1275</v>
      </c>
      <c r="L31" s="19" t="n">
        <v>32</v>
      </c>
      <c r="M31" s="19" t="n">
        <v>1635</v>
      </c>
      <c r="N31" s="19" t="n">
        <v>1119</v>
      </c>
      <c r="O31" s="19" t="n">
        <v>9049</v>
      </c>
      <c r="P31" s="20" t="n">
        <f aca="false">SUM(C31:N31)</f>
        <v>9049</v>
      </c>
      <c r="Q31" s="20" t="n">
        <f aca="false">O31-P31</f>
        <v>0</v>
      </c>
      <c r="R31" s="12" t="n">
        <f aca="false">O31/$O$34</f>
        <v>0.0140191983540727</v>
      </c>
      <c r="S31" s="21" t="n">
        <f aca="false">O12*100/O31</f>
        <v>60.9066195159686</v>
      </c>
    </row>
    <row r="32" customFormat="false" ht="15" hidden="false" customHeight="false" outlineLevel="0" collapsed="false">
      <c r="A32" s="9" t="n">
        <v>7</v>
      </c>
      <c r="B32" s="9" t="s">
        <v>63</v>
      </c>
      <c r="C32" s="19"/>
      <c r="D32" s="19" t="n">
        <v>7172</v>
      </c>
      <c r="E32" s="19" t="n">
        <v>8706</v>
      </c>
      <c r="F32" s="19" t="n">
        <v>35726</v>
      </c>
      <c r="G32" s="19" t="n">
        <v>43933</v>
      </c>
      <c r="H32" s="19" t="n">
        <v>94810</v>
      </c>
      <c r="I32" s="19" t="n">
        <v>47789</v>
      </c>
      <c r="J32" s="19" t="n">
        <v>95708</v>
      </c>
      <c r="K32" s="19" t="n">
        <v>199141</v>
      </c>
      <c r="L32" s="19" t="n">
        <v>45590</v>
      </c>
      <c r="M32" s="19" t="n">
        <v>6163</v>
      </c>
      <c r="N32" s="19" t="n">
        <v>4400</v>
      </c>
      <c r="O32" s="19" t="n">
        <v>589138</v>
      </c>
      <c r="P32" s="20" t="n">
        <f aca="false">SUM(C32:N32)</f>
        <v>589138</v>
      </c>
      <c r="Q32" s="20" t="n">
        <f aca="false">O32-P32</f>
        <v>0</v>
      </c>
      <c r="R32" s="12" t="n">
        <f aca="false">O32/$O$34</f>
        <v>0.912724331961727</v>
      </c>
      <c r="S32" s="21" t="n">
        <f aca="false">O13*100/O32</f>
        <v>13.0779562683107</v>
      </c>
    </row>
    <row r="33" customFormat="false" ht="15" hidden="false" customHeight="false" outlineLevel="0" collapsed="false">
      <c r="A33" s="9" t="n">
        <v>8</v>
      </c>
      <c r="B33" s="9" t="s">
        <v>64</v>
      </c>
      <c r="C33" s="19" t="n">
        <v>1</v>
      </c>
      <c r="D33" s="19" t="n">
        <v>82</v>
      </c>
      <c r="E33" s="19" t="n">
        <v>97</v>
      </c>
      <c r="F33" s="19" t="n">
        <v>544</v>
      </c>
      <c r="G33" s="19" t="n">
        <v>535</v>
      </c>
      <c r="H33" s="19" t="n">
        <v>440</v>
      </c>
      <c r="I33" s="19" t="n">
        <v>93</v>
      </c>
      <c r="J33" s="19" t="n">
        <v>63</v>
      </c>
      <c r="K33" s="19" t="n">
        <v>49</v>
      </c>
      <c r="L33" s="19" t="n">
        <v>7</v>
      </c>
      <c r="M33" s="19" t="n">
        <v>6</v>
      </c>
      <c r="N33" s="19" t="n">
        <v>110</v>
      </c>
      <c r="O33" s="19" t="n">
        <v>2027</v>
      </c>
      <c r="P33" s="20" t="n">
        <f aca="false">SUM(C33:N33)</f>
        <v>2027</v>
      </c>
      <c r="Q33" s="20" t="n">
        <f aca="false">O33-P33</f>
        <v>0</v>
      </c>
      <c r="R33" s="12" t="n">
        <f aca="false">O33/$O$34</f>
        <v>0.00314033761340538</v>
      </c>
      <c r="S33" s="21" t="n">
        <f aca="false">O14*100/O33</f>
        <v>3.7503700049334</v>
      </c>
    </row>
    <row r="34" customFormat="false" ht="15" hidden="false" customHeight="false" outlineLevel="0" collapsed="false">
      <c r="B34" s="16" t="s">
        <v>65</v>
      </c>
      <c r="C34" s="19" t="n">
        <v>2</v>
      </c>
      <c r="D34" s="19" t="n">
        <v>9464</v>
      </c>
      <c r="E34" s="19" t="n">
        <v>11830</v>
      </c>
      <c r="F34" s="19" t="n">
        <v>44859</v>
      </c>
      <c r="G34" s="19" t="n">
        <v>54897</v>
      </c>
      <c r="H34" s="19" t="n">
        <v>110421</v>
      </c>
      <c r="I34" s="19" t="n">
        <v>50779</v>
      </c>
      <c r="J34" s="19" t="n">
        <v>99433</v>
      </c>
      <c r="K34" s="19" t="n">
        <v>201817</v>
      </c>
      <c r="L34" s="19" t="n">
        <v>46703</v>
      </c>
      <c r="M34" s="19" t="n">
        <v>9001</v>
      </c>
      <c r="N34" s="19" t="n">
        <v>6266</v>
      </c>
      <c r="O34" s="19" t="n">
        <v>645472</v>
      </c>
      <c r="P34" s="20" t="n">
        <f aca="false">SUM(C34:N34)</f>
        <v>645472</v>
      </c>
      <c r="Q34" s="20" t="n">
        <f aca="false">O34-P34</f>
        <v>0</v>
      </c>
      <c r="S34" s="21" t="n">
        <f aca="false">O15*100/O34</f>
        <v>14.3768931882405</v>
      </c>
    </row>
    <row r="35" customFormat="false" ht="15" hidden="false" customHeight="false" outlineLevel="0" collapsed="false">
      <c r="B35" s="9" t="s">
        <v>76</v>
      </c>
      <c r="C35" s="20" t="n">
        <f aca="false">C34-SUM(C26:C33)</f>
        <v>0</v>
      </c>
      <c r="D35" s="20" t="n">
        <f aca="false">D34-SUM(D26:D33)</f>
        <v>0</v>
      </c>
      <c r="E35" s="20" t="n">
        <f aca="false">E34-SUM(E26:E33)</f>
        <v>0</v>
      </c>
      <c r="F35" s="20" t="n">
        <f aca="false">F34-SUM(F26:F33)</f>
        <v>0</v>
      </c>
      <c r="G35" s="20" t="n">
        <f aca="false">G34-SUM(G26:G33)</f>
        <v>0</v>
      </c>
      <c r="H35" s="20" t="n">
        <f aca="false">H34-SUM(H26:H33)</f>
        <v>0</v>
      </c>
      <c r="I35" s="20" t="n">
        <f aca="false">I34-SUM(I26:I33)</f>
        <v>0</v>
      </c>
      <c r="J35" s="20" t="n">
        <f aca="false">J34-SUM(J26:J33)</f>
        <v>0</v>
      </c>
      <c r="K35" s="20" t="n">
        <f aca="false">K34-SUM(K26:K33)</f>
        <v>0</v>
      </c>
      <c r="L35" s="20" t="n">
        <f aca="false">L34-SUM(L26:L33)</f>
        <v>0</v>
      </c>
      <c r="M35" s="20" t="n">
        <f aca="false">M34-SUM(M26:M33)</f>
        <v>0</v>
      </c>
      <c r="N35" s="20" t="n">
        <f aca="false">N34-SUM(N26:N33)</f>
        <v>0</v>
      </c>
      <c r="O35" s="20" t="n">
        <f aca="false">O34-SUM(O26:O33)</f>
        <v>0</v>
      </c>
    </row>
    <row r="36" customFormat="false" ht="15" hidden="false" customHeight="false" outlineLevel="0" collapsed="false">
      <c r="B36" s="9" t="s">
        <v>77</v>
      </c>
      <c r="C36" s="12" t="n">
        <f aca="false">C34/$O$34</f>
        <v>3.09850775866343E-006</v>
      </c>
      <c r="D36" s="12" t="n">
        <f aca="false">D34/$O$34</f>
        <v>0.0146621387139953</v>
      </c>
      <c r="E36" s="12" t="n">
        <f aca="false">E34/$O$34</f>
        <v>0.0183276733924942</v>
      </c>
      <c r="F36" s="12" t="n">
        <f aca="false">F34/$O$34</f>
        <v>0.0694979797729414</v>
      </c>
      <c r="G36" s="12" t="n">
        <f aca="false">G34/$O$34</f>
        <v>0.0850493902136731</v>
      </c>
      <c r="H36" s="12" t="n">
        <f aca="false">H34/$O$34</f>
        <v>0.171070162609687</v>
      </c>
      <c r="I36" s="12" t="n">
        <f aca="false">I34/$O$34</f>
        <v>0.0786695627385851</v>
      </c>
      <c r="J36" s="12" t="n">
        <f aca="false">J34/$O$34</f>
        <v>0.15404696098359</v>
      </c>
      <c r="K36" s="12" t="n">
        <f aca="false">K34/$O$34</f>
        <v>0.312665770165089</v>
      </c>
      <c r="L36" s="12" t="n">
        <f aca="false">L34/$O$34</f>
        <v>0.072354803926429</v>
      </c>
      <c r="M36" s="12" t="n">
        <f aca="false">M34/$O$34</f>
        <v>0.0139448341678648</v>
      </c>
      <c r="N36" s="12" t="n">
        <f aca="false">N34/$O$34</f>
        <v>0.00970762480789252</v>
      </c>
    </row>
    <row r="37" customFormat="false" ht="15" hidden="false" customHeight="false" outlineLevel="0" collapsed="false">
      <c r="B37" s="16" t="s">
        <v>78</v>
      </c>
      <c r="C37" s="21" t="n">
        <f aca="false">IF(C34=0,"",C15*100/C34)</f>
        <v>0</v>
      </c>
      <c r="D37" s="21" t="n">
        <f aca="false">IF(D34=0,"",D15*100/D34)</f>
        <v>20.6818469991547</v>
      </c>
      <c r="E37" s="21" t="n">
        <f aca="false">IF(E34=0,"",E15*100/E34)</f>
        <v>21.4812341504649</v>
      </c>
      <c r="F37" s="21" t="n">
        <f aca="false">IF(F34=0,"",F15*100/F34)</f>
        <v>23.4378162687532</v>
      </c>
      <c r="G37" s="21" t="n">
        <f aca="false">IF(G34=0,"",G15*100/G34)</f>
        <v>15.7633386159535</v>
      </c>
      <c r="H37" s="21" t="n">
        <f aca="false">IF(H34=0,"",H15*100/H34)</f>
        <v>15.2329901015205</v>
      </c>
      <c r="I37" s="21" t="n">
        <f aca="false">IF(I34=0,"",I15*100/I34)</f>
        <v>18.6176569054137</v>
      </c>
      <c r="J37" s="21" t="n">
        <f aca="false">IF(J34=0,"",J15*100/J34)</f>
        <v>20.8780887632878</v>
      </c>
      <c r="K37" s="21" t="n">
        <f aca="false">IF(K34=0,"",K15*100/K34)</f>
        <v>8.29538641442495</v>
      </c>
      <c r="L37" s="21" t="n">
        <f aca="false">IF(L34=0,"",L15*100/L34)</f>
        <v>8.65398368413164</v>
      </c>
      <c r="M37" s="21" t="n">
        <f aca="false">IF(M34=0,"",M15*100/M34)</f>
        <v>11.1025441617598</v>
      </c>
      <c r="N37" s="21" t="n">
        <f aca="false">IF(N34=0,"",N15*100/N34)</f>
        <v>5.04612192786467</v>
      </c>
    </row>
    <row r="39" customFormat="false" ht="15" hidden="false" customHeight="false" outlineLevel="0" collapsed="false">
      <c r="A39" s="4" t="s">
        <v>79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</row>
    <row r="40" customFormat="false" ht="23.85" hidden="false" customHeight="false" outlineLevel="0" collapsed="false">
      <c r="A40" s="8" t="s">
        <v>35</v>
      </c>
      <c r="B40" s="8" t="s">
        <v>36</v>
      </c>
      <c r="C40" s="8" t="s">
        <v>37</v>
      </c>
      <c r="D40" s="8" t="s">
        <v>38</v>
      </c>
      <c r="E40" s="8" t="s">
        <v>39</v>
      </c>
      <c r="F40" s="8" t="s">
        <v>40</v>
      </c>
      <c r="G40" s="8" t="s">
        <v>41</v>
      </c>
      <c r="H40" s="8" t="s">
        <v>42</v>
      </c>
      <c r="I40" s="8" t="s">
        <v>43</v>
      </c>
      <c r="J40" s="8" t="s">
        <v>44</v>
      </c>
      <c r="K40" s="8" t="s">
        <v>45</v>
      </c>
      <c r="L40" s="8" t="s">
        <v>46</v>
      </c>
      <c r="M40" s="8" t="s">
        <v>47</v>
      </c>
      <c r="N40" s="8" t="s">
        <v>48</v>
      </c>
    </row>
    <row r="41" customFormat="false" ht="15" hidden="false" customHeight="false" outlineLevel="0" collapsed="false">
      <c r="A41" s="9" t="n">
        <v>1</v>
      </c>
      <c r="B41" s="9" t="s">
        <v>57</v>
      </c>
      <c r="C41" s="21" t="n">
        <f aca="false">IF(OR(C26="",C26=0),"",C7*100/C26)</f>
        <v>0</v>
      </c>
      <c r="D41" s="21" t="n">
        <f aca="false">IF(OR(D26="",D26=0),"",D7*100/D26)</f>
        <v>467.708333333333</v>
      </c>
      <c r="E41" s="21" t="n">
        <f aca="false">IF(OR(E26="",E26=0),"",E7*100/E26)</f>
        <v>381.214285714286</v>
      </c>
      <c r="F41" s="21" t="n">
        <f aca="false">IF(OR(F26="",F26=0),"",F7*100/F26)</f>
        <v>61.03125</v>
      </c>
      <c r="G41" s="21" t="n">
        <f aca="false">IF(OR(G26="",G26=0),"",G7*100/G26)</f>
        <v>55.12</v>
      </c>
      <c r="H41" s="21" t="n">
        <f aca="false">IF(OR(H26="",H26=0),"",H7*100/H26)</f>
        <v>92.8169014084507</v>
      </c>
      <c r="I41" s="21" t="n">
        <f aca="false">IF(OR(I26="",I26=0),"",I7*100/I26)</f>
        <v>70.7142857142857</v>
      </c>
      <c r="J41" s="21" t="n">
        <f aca="false">IF(OR(J26="",J26=0),"",J7*100/J26)</f>
        <v>50.9354838709677</v>
      </c>
      <c r="K41" s="21" t="n">
        <f aca="false">IF(OR(K26="",K26=0),"",K7*100/K26)</f>
        <v>48.9855072463768</v>
      </c>
      <c r="L41" s="21" t="n">
        <f aca="false">IF(OR(L26="",L26=0),"",L7*100/L26)</f>
        <v>0</v>
      </c>
      <c r="M41" s="21" t="n">
        <f aca="false">IF(OR(M26="",M26=0),"",M7*100/M26)</f>
        <v>3</v>
      </c>
      <c r="N41" s="21" t="str">
        <f aca="false">IF(OR(N26="",N26=0),"",N7*100/N26)</f>
        <v/>
      </c>
    </row>
    <row r="42" customFormat="false" ht="15" hidden="false" customHeight="false" outlineLevel="0" collapsed="false">
      <c r="A42" s="9" t="n">
        <v>2</v>
      </c>
      <c r="B42" s="9" t="s">
        <v>58</v>
      </c>
      <c r="C42" s="21" t="str">
        <f aca="false">IF(OR(C27="",C27=0),"",C8*100/C27)</f>
        <v/>
      </c>
      <c r="D42" s="21" t="n">
        <f aca="false">IF(OR(D27="",D27=0),"",D8*100/D27)</f>
        <v>48.9593657086224</v>
      </c>
      <c r="E42" s="21" t="n">
        <f aca="false">IF(OR(E27="",E27=0),"",E8*100/E27)</f>
        <v>43.6931260229133</v>
      </c>
      <c r="F42" s="21" t="n">
        <f aca="false">IF(OR(F27="",F27=0),"",F8*100/F27)</f>
        <v>91.939601921757</v>
      </c>
      <c r="G42" s="21" t="n">
        <f aca="false">IF(OR(G27="",G27=0),"",G8*100/G27)</f>
        <v>159.037313432836</v>
      </c>
      <c r="H42" s="21" t="n">
        <f aca="false">IF(OR(H27="",H27=0),"",H8*100/H27)</f>
        <v>46.5185185185185</v>
      </c>
      <c r="I42" s="21" t="n">
        <f aca="false">IF(OR(I27="",I27=0),"",I8*100/I27)</f>
        <v>365.796875</v>
      </c>
      <c r="J42" s="21" t="n">
        <f aca="false">IF(OR(J27="",J27=0),"",J8*100/J27)</f>
        <v>29.9321705426357</v>
      </c>
      <c r="K42" s="21" t="n">
        <f aca="false">IF(OR(K27="",K27=0),"",K8*100/K27)</f>
        <v>78.7692307692308</v>
      </c>
      <c r="L42" s="21" t="n">
        <f aca="false">IF(OR(L27="",L27=0),"",L8*100/L27)</f>
        <v>15.25</v>
      </c>
      <c r="M42" s="21" t="str">
        <f aca="false">IF(OR(M27="",M27=0),"",M8*100/M27)</f>
        <v/>
      </c>
      <c r="N42" s="21" t="str">
        <f aca="false">IF(OR(N27="",N27=0),"",N8*100/N27)</f>
        <v/>
      </c>
    </row>
    <row r="43" customFormat="false" ht="15" hidden="false" customHeight="false" outlineLevel="0" collapsed="false">
      <c r="A43" s="9" t="n">
        <v>3</v>
      </c>
      <c r="B43" s="9" t="s">
        <v>59</v>
      </c>
      <c r="C43" s="21" t="str">
        <f aca="false">IF(OR(C28="",C28=0),"",C9*100/C28)</f>
        <v/>
      </c>
      <c r="D43" s="21" t="n">
        <f aca="false">IF(OR(D28="",D28=0),"",D9*100/D28)</f>
        <v>35.6453407510431</v>
      </c>
      <c r="E43" s="21" t="n">
        <f aca="false">IF(OR(E28="",E28=0),"",E9*100/E28)</f>
        <v>10.3521126760563</v>
      </c>
      <c r="F43" s="21" t="n">
        <f aca="false">IF(OR(F28="",F28=0),"",F9*100/F28)</f>
        <v>38.4654811715481</v>
      </c>
      <c r="G43" s="21" t="n">
        <f aca="false">IF(OR(G28="",G28=0),"",G9*100/G28)</f>
        <v>10.6877887788779</v>
      </c>
      <c r="H43" s="21" t="n">
        <f aca="false">IF(OR(H28="",H28=0),"",H9*100/H28)</f>
        <v>15.8187022900763</v>
      </c>
      <c r="I43" s="21" t="n">
        <f aca="false">IF(OR(I28="",I28=0),"",I9*100/I28)</f>
        <v>35.0294117647059</v>
      </c>
      <c r="J43" s="21" t="n">
        <f aca="false">IF(OR(J28="",J28=0),"",J9*100/J28)</f>
        <v>62.1297071129707</v>
      </c>
      <c r="K43" s="21" t="n">
        <f aca="false">IF(OR(K28="",K28=0),"",K9*100/K28)</f>
        <v>56.6863157894737</v>
      </c>
      <c r="L43" s="21" t="n">
        <f aca="false">IF(OR(L28="",L28=0),"",L9*100/L28)</f>
        <v>54.5783132530121</v>
      </c>
      <c r="M43" s="21" t="n">
        <f aca="false">IF(OR(M28="",M28=0),"",M9*100/M28)</f>
        <v>91.3318385650224</v>
      </c>
      <c r="N43" s="21" t="str">
        <f aca="false">IF(OR(N28="",N28=0),"",N9*100/N28)</f>
        <v/>
      </c>
    </row>
    <row r="44" customFormat="false" ht="15" hidden="false" customHeight="false" outlineLevel="0" collapsed="false">
      <c r="A44" s="9" t="n">
        <v>4</v>
      </c>
      <c r="B44" s="9" t="s">
        <v>60</v>
      </c>
      <c r="C44" s="21" t="str">
        <f aca="false">IF(OR(C29="",C29=0),"",C10*100/C29)</f>
        <v/>
      </c>
      <c r="D44" s="21" t="n">
        <f aca="false">IF(OR(D29="",D29=0),"",D10*100/D29)</f>
        <v>4.93906810035842</v>
      </c>
      <c r="E44" s="21" t="n">
        <f aca="false">IF(OR(E29="",E29=0),"",E10*100/E29)</f>
        <v>3.31287128712871</v>
      </c>
      <c r="F44" s="21" t="n">
        <f aca="false">IF(OR(F29="",F29=0),"",F10*100/F29)</f>
        <v>8.4368787276342</v>
      </c>
      <c r="G44" s="21" t="n">
        <f aca="false">IF(OR(G29="",G29=0),"",G10*100/G29)</f>
        <v>4.15257793764988</v>
      </c>
      <c r="H44" s="21" t="n">
        <f aca="false">IF(OR(H29="",H29=0),"",H10*100/H29)</f>
        <v>4.91166769738198</v>
      </c>
      <c r="I44" s="21" t="n">
        <f aca="false">IF(OR(I29="",I29=0),"",I10*100/I29)</f>
        <v>7.195</v>
      </c>
      <c r="J44" s="21" t="n">
        <f aca="false">IF(OR(J29="",J29=0),"",J10*100/J29)</f>
        <v>24.3809523809524</v>
      </c>
      <c r="K44" s="21" t="n">
        <f aca="false">IF(OR(K29="",K29=0),"",K10*100/K29)</f>
        <v>51.9938461538462</v>
      </c>
      <c r="L44" s="21" t="n">
        <f aca="false">IF(OR(L29="",L29=0),"",L10*100/L29)</f>
        <v>67.8620689655172</v>
      </c>
      <c r="M44" s="21" t="n">
        <f aca="false">IF(OR(M29="",M29=0),"",M10*100/M29)</f>
        <v>60.8076923076923</v>
      </c>
      <c r="N44" s="21" t="n">
        <f aca="false">IF(OR(N29="",N29=0),"",N10*100/N29)</f>
        <v>3.02572347266881</v>
      </c>
    </row>
    <row r="45" customFormat="false" ht="15" hidden="false" customHeight="false" outlineLevel="0" collapsed="false">
      <c r="A45" s="9" t="n">
        <v>5</v>
      </c>
      <c r="B45" s="9" t="s">
        <v>61</v>
      </c>
      <c r="C45" s="21" t="str">
        <f aca="false">IF(OR(C30="",C30=0),"",C11*100/C30)</f>
        <v/>
      </c>
      <c r="D45" s="21" t="n">
        <f aca="false">IF(OR(D30="",D30=0),"",D11*100/D30)</f>
        <v>100.076923076923</v>
      </c>
      <c r="E45" s="21" t="n">
        <f aca="false">IF(OR(E30="",E30=0),"",E11*100/E30)</f>
        <v>88.5663716814159</v>
      </c>
      <c r="F45" s="21" t="n">
        <f aca="false">IF(OR(F30="",F30=0),"",F11*100/F30)</f>
        <v>13.6041666666667</v>
      </c>
      <c r="G45" s="21" t="n">
        <f aca="false">IF(OR(G30="",G30=0),"",G11*100/G30)</f>
        <v>36.0760456273764</v>
      </c>
      <c r="H45" s="21" t="n">
        <f aca="false">IF(OR(H30="",H30=0),"",H11*100/H30)</f>
        <v>7.61176053843429</v>
      </c>
      <c r="I45" s="21" t="n">
        <f aca="false">IF(OR(I30="",I30=0),"",I11*100/I30)</f>
        <v>8.2688622754491</v>
      </c>
      <c r="J45" s="21" t="n">
        <f aca="false">IF(OR(J30="",J30=0),"",J11*100/J30)</f>
        <v>5.80521817363923</v>
      </c>
      <c r="K45" s="21" t="n">
        <f aca="false">IF(OR(K30="",K30=0),"",K11*100/K30)</f>
        <v>34.9890590809628</v>
      </c>
      <c r="L45" s="21" t="n">
        <f aca="false">IF(OR(L30="",L30=0),"",L11*100/L30)</f>
        <v>41.926724137931</v>
      </c>
      <c r="M45" s="21" t="n">
        <f aca="false">IF(OR(M30="",M30=0),"",M11*100/M30)</f>
        <v>2.92215568862275</v>
      </c>
      <c r="N45" s="21" t="n">
        <f aca="false">IF(OR(N30="",N30=0),"",N11*100/N30)</f>
        <v>4.61963190184049</v>
      </c>
    </row>
    <row r="46" customFormat="false" ht="15" hidden="false" customHeight="false" outlineLevel="0" collapsed="false">
      <c r="A46" s="9" t="n">
        <v>6</v>
      </c>
      <c r="B46" s="9" t="s">
        <v>62</v>
      </c>
      <c r="C46" s="21" t="str">
        <f aca="false">IF(OR(C31="",C31=0),"",C12*100/C31)</f>
        <v/>
      </c>
      <c r="D46" s="21" t="n">
        <f aca="false">IF(OR(D31="",D31=0),"",D12*100/D31)</f>
        <v>55.7280701754386</v>
      </c>
      <c r="E46" s="21" t="n">
        <f aca="false">IF(OR(E31="",E31=0),"",E12*100/E31)</f>
        <v>65.2727272727273</v>
      </c>
      <c r="F46" s="21" t="n">
        <f aca="false">IF(OR(F31="",F31=0),"",F12*100/F31)</f>
        <v>30.4555288461538</v>
      </c>
      <c r="G46" s="21" t="n">
        <f aca="false">IF(OR(G31="",G31=0),"",G12*100/G31)</f>
        <v>92.5732130464955</v>
      </c>
      <c r="H46" s="21" t="n">
        <f aca="false">IF(OR(H31="",H31=0),"",H12*100/H31)</f>
        <v>162.750915750916</v>
      </c>
      <c r="I46" s="21" t="n">
        <f aca="false">IF(OR(I31="",I31=0),"",I12*100/I31)</f>
        <v>137.920997920998</v>
      </c>
      <c r="J46" s="21" t="n">
        <f aca="false">IF(OR(J31="",J31=0),"",J12*100/J31)</f>
        <v>77.1101694915254</v>
      </c>
      <c r="K46" s="21" t="n">
        <f aca="false">IF(OR(K31="",K31=0),"",K12*100/K31)</f>
        <v>17.9647058823529</v>
      </c>
      <c r="L46" s="21" t="n">
        <f aca="false">IF(OR(L31="",L31=0),"",L12*100/L31)</f>
        <v>179.125</v>
      </c>
      <c r="M46" s="21" t="n">
        <f aca="false">IF(OR(M31="",M31=0),"",M12*100/M31)</f>
        <v>2.84648318042813</v>
      </c>
      <c r="N46" s="21" t="n">
        <f aca="false">IF(OR(N31="",N31=0),"",N12*100/N31)</f>
        <v>7.15192135835568</v>
      </c>
    </row>
    <row r="47" customFormat="false" ht="15" hidden="false" customHeight="false" outlineLevel="0" collapsed="false">
      <c r="A47" s="9" t="n">
        <v>7</v>
      </c>
      <c r="B47" s="9" t="s">
        <v>63</v>
      </c>
      <c r="C47" s="21" t="str">
        <f aca="false">IF(OR(C32="",C32=0),"",C13*100/C32)</f>
        <v/>
      </c>
      <c r="D47" s="21" t="n">
        <f aca="false">IF(OR(D32="",D32=0),"",D13*100/D32)</f>
        <v>13.2601784718349</v>
      </c>
      <c r="E47" s="21" t="n">
        <f aca="false">IF(OR(E32="",E32=0),"",E13*100/E32)</f>
        <v>18.0374454399265</v>
      </c>
      <c r="F47" s="21" t="n">
        <f aca="false">IF(OR(F32="",F32=0),"",F13*100/F32)</f>
        <v>20.0914739965291</v>
      </c>
      <c r="G47" s="21" t="n">
        <f aca="false">IF(OR(G32="",G32=0),"",G13*100/G32)</f>
        <v>13.5288507500057</v>
      </c>
      <c r="H47" s="21" t="n">
        <f aca="false">IF(OR(H32="",H32=0),"",H13*100/H32)</f>
        <v>14.3279189958865</v>
      </c>
      <c r="I47" s="21" t="n">
        <f aca="false">IF(OR(I32="",I32=0),"",I13*100/I32)</f>
        <v>17.4459812927661</v>
      </c>
      <c r="J47" s="21" t="n">
        <f aca="false">IF(OR(J32="",J32=0),"",J13*100/J32)</f>
        <v>20.7275880804113</v>
      </c>
      <c r="K47" s="21" t="n">
        <f aca="false">IF(OR(K32="",K32=0),"",K13*100/K32)</f>
        <v>7.96379951893382</v>
      </c>
      <c r="L47" s="21" t="n">
        <f aca="false">IF(OR(L32="",L32=0),"",L13*100/L32)</f>
        <v>7.28931783285808</v>
      </c>
      <c r="M47" s="21" t="n">
        <f aca="false">IF(OR(M32="",M32=0),"",M13*100/M32)</f>
        <v>4.11763751419763</v>
      </c>
      <c r="N47" s="21" t="n">
        <f aca="false">IF(OR(N32="",N32=0),"",N13*100/N32)</f>
        <v>4.7425</v>
      </c>
    </row>
    <row r="48" customFormat="false" ht="15" hidden="false" customHeight="false" outlineLevel="0" collapsed="false">
      <c r="A48" s="9" t="n">
        <v>8</v>
      </c>
      <c r="B48" s="9" t="s">
        <v>64</v>
      </c>
      <c r="C48" s="21" t="n">
        <f aca="false">IF(OR(C33="",C33=0),"",C14*100/C33)</f>
        <v>0</v>
      </c>
      <c r="D48" s="21" t="n">
        <f aca="false">IF(OR(D33="",D33=0),"",D14*100/D33)</f>
        <v>1.70731707317073</v>
      </c>
      <c r="E48" s="21" t="n">
        <f aca="false">IF(OR(E33="",E33=0),"",E14*100/E33)</f>
        <v>2.88659793814433</v>
      </c>
      <c r="F48" s="21" t="n">
        <f aca="false">IF(OR(F33="",F33=0),"",F14*100/F33)</f>
        <v>4.44117647058824</v>
      </c>
      <c r="G48" s="21" t="n">
        <f aca="false">IF(OR(G33="",G33=0),"",G14*100/G33)</f>
        <v>2.48411214953271</v>
      </c>
      <c r="H48" s="21" t="n">
        <f aca="false">IF(OR(H33="",H33=0),"",H14*100/H33)</f>
        <v>3.66363636363636</v>
      </c>
      <c r="I48" s="21" t="n">
        <f aca="false">IF(OR(I33="",I33=0),"",I14*100/I33)</f>
        <v>4.41935483870968</v>
      </c>
      <c r="J48" s="21" t="n">
        <f aca="false">IF(OR(J33="",J33=0),"",J14*100/J33)</f>
        <v>5.80952380952381</v>
      </c>
      <c r="K48" s="21" t="n">
        <f aca="false">IF(OR(K33="",K33=0),"",K14*100/K33)</f>
        <v>1.69387755102041</v>
      </c>
      <c r="L48" s="21" t="n">
        <f aca="false">IF(OR(L33="",L33=0),"",L14*100/L33)</f>
        <v>89.8571428571429</v>
      </c>
      <c r="M48" s="21" t="n">
        <f aca="false">IF(OR(M33="",M33=0),"",M14*100/M33)</f>
        <v>5.66666666666667</v>
      </c>
      <c r="N48" s="21" t="n">
        <f aca="false">IF(OR(N33="",N33=0),"",N14*100/N33)</f>
        <v>2.74545454545455</v>
      </c>
    </row>
    <row r="50" customFormat="false" ht="15" hidden="false" customHeight="false" outlineLevel="0" collapsed="false">
      <c r="A50" s="4" t="s">
        <v>80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</row>
    <row r="51" customFormat="false" ht="23.85" hidden="false" customHeight="false" outlineLevel="0" collapsed="false">
      <c r="A51" s="8" t="s">
        <v>35</v>
      </c>
      <c r="B51" s="8" t="s">
        <v>81</v>
      </c>
      <c r="C51" s="8" t="s">
        <v>82</v>
      </c>
      <c r="D51" s="8" t="s">
        <v>83</v>
      </c>
      <c r="E51" s="8" t="s">
        <v>84</v>
      </c>
    </row>
    <row r="52" customFormat="false" ht="46.25" hidden="false" customHeight="false" outlineLevel="0" collapsed="false">
      <c r="A52" s="9" t="n">
        <v>1</v>
      </c>
      <c r="B52" s="22" t="s">
        <v>85</v>
      </c>
      <c r="C52" s="11" t="n">
        <f aca="false">MAX(ABS(MIN(Q7:Q15,C16:O16)),MAX(Q7:Q15,C16:O16))</f>
        <v>0.0200000000004366</v>
      </c>
      <c r="D52" s="9" t="s">
        <v>86</v>
      </c>
      <c r="E52" s="23" t="s">
        <v>87</v>
      </c>
    </row>
    <row r="53" customFormat="false" ht="46.25" hidden="false" customHeight="false" outlineLevel="0" collapsed="false">
      <c r="A53" s="9" t="n">
        <v>2</v>
      </c>
      <c r="B53" s="22" t="s">
        <v>88</v>
      </c>
      <c r="C53" s="12" t="n">
        <f aca="false">R13</f>
        <v>0.830260664952421</v>
      </c>
      <c r="D53" s="9" t="s">
        <v>89</v>
      </c>
      <c r="E53" s="23" t="s">
        <v>90</v>
      </c>
    </row>
    <row r="54" customFormat="false" ht="68.65" hidden="false" customHeight="false" outlineLevel="0" collapsed="false">
      <c r="A54" s="9" t="n">
        <v>3</v>
      </c>
      <c r="B54" s="22" t="s">
        <v>91</v>
      </c>
      <c r="C54" s="12" t="n">
        <f aca="false">R7+R8</f>
        <v>0.0395503951451107</v>
      </c>
      <c r="D54" s="9" t="s">
        <v>89</v>
      </c>
      <c r="E54" s="23" t="s">
        <v>92</v>
      </c>
    </row>
    <row r="55" customFormat="false" ht="68.65" hidden="false" customHeight="false" outlineLevel="0" collapsed="false">
      <c r="A55" s="9" t="n">
        <v>4</v>
      </c>
      <c r="B55" s="22" t="s">
        <v>93</v>
      </c>
      <c r="C55" s="12" t="n">
        <f aca="false">J19</f>
        <v>0.761864428879591</v>
      </c>
      <c r="D55" s="9" t="s">
        <v>89</v>
      </c>
      <c r="E55" s="23" t="s">
        <v>94</v>
      </c>
    </row>
    <row r="56" customFormat="false" ht="57.45" hidden="false" customHeight="false" outlineLevel="0" collapsed="false">
      <c r="A56" s="9" t="n">
        <v>5</v>
      </c>
      <c r="B56" s="22" t="s">
        <v>95</v>
      </c>
      <c r="C56" s="24" t="n">
        <f aca="false">F37/K37</f>
        <v>2.82540379650029</v>
      </c>
      <c r="D56" s="9" t="s">
        <v>96</v>
      </c>
      <c r="E56" s="23" t="s">
        <v>97</v>
      </c>
    </row>
    <row r="58" customFormat="false" ht="15" hidden="false" customHeight="false" outlineLevel="0" collapsed="false">
      <c r="A58" s="4" t="s">
        <v>98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</row>
    <row r="60" customFormat="false" ht="15" hidden="false" customHeight="false" outlineLevel="0" collapsed="false">
      <c r="A60" s="4" t="s">
        <v>99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</row>
    <row r="61" customFormat="false" ht="23.85" hidden="false" customHeight="false" outlineLevel="0" collapsed="false">
      <c r="A61" s="8" t="s">
        <v>35</v>
      </c>
      <c r="B61" s="8" t="s">
        <v>100</v>
      </c>
      <c r="C61" s="8" t="s">
        <v>101</v>
      </c>
      <c r="D61" s="8" t="s">
        <v>102</v>
      </c>
      <c r="E61" s="8" t="s">
        <v>103</v>
      </c>
      <c r="F61" s="8" t="s">
        <v>83</v>
      </c>
      <c r="G61" s="8" t="s">
        <v>104</v>
      </c>
    </row>
    <row r="62" customFormat="false" ht="35.05" hidden="false" customHeight="false" outlineLevel="0" collapsed="false">
      <c r="A62" s="9" t="n">
        <v>1</v>
      </c>
      <c r="B62" s="16" t="s">
        <v>105</v>
      </c>
      <c r="C62" s="23" t="s">
        <v>106</v>
      </c>
      <c r="D62" s="23" t="s">
        <v>107</v>
      </c>
      <c r="E62" s="11" t="n">
        <f aca="false">O15</f>
        <v>92798.82</v>
      </c>
      <c r="F62" s="9" t="s">
        <v>86</v>
      </c>
      <c r="G62" s="23"/>
    </row>
    <row r="63" customFormat="false" ht="35.05" hidden="false" customHeight="false" outlineLevel="0" collapsed="false">
      <c r="A63" s="9" t="n">
        <v>2</v>
      </c>
      <c r="B63" s="16" t="s">
        <v>105</v>
      </c>
      <c r="C63" s="23" t="s">
        <v>108</v>
      </c>
      <c r="D63" s="23" t="s">
        <v>107</v>
      </c>
      <c r="E63" s="11" t="n">
        <f aca="false">K15</f>
        <v>16741.5</v>
      </c>
      <c r="F63" s="9" t="s">
        <v>86</v>
      </c>
      <c r="G63" s="23"/>
    </row>
    <row r="64" customFormat="false" ht="46.25" hidden="false" customHeight="false" outlineLevel="0" collapsed="false">
      <c r="A64" s="9" t="n">
        <v>3</v>
      </c>
      <c r="B64" s="16" t="s">
        <v>105</v>
      </c>
      <c r="C64" s="23" t="s">
        <v>109</v>
      </c>
      <c r="D64" s="23" t="s">
        <v>107</v>
      </c>
      <c r="E64" s="20" t="n">
        <f aca="false">O32</f>
        <v>589138</v>
      </c>
      <c r="F64" s="9" t="s">
        <v>110</v>
      </c>
      <c r="G64" s="23"/>
    </row>
    <row r="65" customFormat="false" ht="57.45" hidden="false" customHeight="false" outlineLevel="0" collapsed="false">
      <c r="A65" s="9" t="n">
        <v>4</v>
      </c>
      <c r="B65" s="16" t="s">
        <v>111</v>
      </c>
      <c r="C65" s="23" t="s">
        <v>112</v>
      </c>
      <c r="D65" s="23" t="s">
        <v>113</v>
      </c>
      <c r="E65" s="12" t="n">
        <f aca="false">G19</f>
        <v>0.255026195376191</v>
      </c>
      <c r="F65" s="9" t="s">
        <v>89</v>
      </c>
      <c r="G65" s="23"/>
    </row>
    <row r="66" customFormat="false" ht="57.45" hidden="false" customHeight="false" outlineLevel="0" collapsed="false">
      <c r="A66" s="9" t="n">
        <v>5</v>
      </c>
      <c r="B66" s="16" t="s">
        <v>111</v>
      </c>
      <c r="C66" s="23" t="s">
        <v>114</v>
      </c>
      <c r="D66" s="23" t="s">
        <v>115</v>
      </c>
      <c r="E66" s="18" t="n">
        <f aca="false">O21</f>
        <v>7.57499972790602</v>
      </c>
      <c r="F66" s="9"/>
      <c r="G66" s="23" t="s">
        <v>116</v>
      </c>
    </row>
    <row r="67" customFormat="false" ht="68.65" hidden="false" customHeight="false" outlineLevel="0" collapsed="false">
      <c r="A67" s="9" t="n">
        <v>6</v>
      </c>
      <c r="B67" s="16" t="s">
        <v>111</v>
      </c>
      <c r="C67" s="23" t="s">
        <v>117</v>
      </c>
      <c r="D67" s="23" t="s">
        <v>118</v>
      </c>
      <c r="E67" s="24" t="n">
        <f aca="false">K37/F37</f>
        <v>0.353931711013717</v>
      </c>
      <c r="F67" s="9" t="s">
        <v>96</v>
      </c>
      <c r="G67" s="23"/>
    </row>
    <row r="68" customFormat="false" ht="68.65" hidden="false" customHeight="false" outlineLevel="0" collapsed="false">
      <c r="A68" s="9" t="n">
        <v>7</v>
      </c>
      <c r="B68" s="16" t="s">
        <v>111</v>
      </c>
      <c r="C68" s="23" t="s">
        <v>119</v>
      </c>
      <c r="D68" s="23" t="s">
        <v>120</v>
      </c>
      <c r="E68" s="15" t="n">
        <f aca="false">U15</f>
        <v>285.466163740013</v>
      </c>
      <c r="F68" s="9"/>
      <c r="G68" s="23"/>
    </row>
    <row r="69" customFormat="false" ht="79.85" hidden="false" customHeight="false" outlineLevel="0" collapsed="false">
      <c r="A69" s="9" t="n">
        <v>8</v>
      </c>
      <c r="B69" s="16" t="s">
        <v>121</v>
      </c>
      <c r="C69" s="23" t="s">
        <v>122</v>
      </c>
      <c r="D69" s="23" t="s">
        <v>123</v>
      </c>
      <c r="E69" s="12" t="n">
        <f aca="false">SUMPRODUCT(D13:G14)/SUM(D15:G15)</f>
        <v>0.662741225540467</v>
      </c>
      <c r="F69" s="9" t="s">
        <v>89</v>
      </c>
      <c r="G69" s="23" t="s">
        <v>124</v>
      </c>
    </row>
    <row r="70" customFormat="false" ht="113.4" hidden="false" customHeight="false" outlineLevel="0" collapsed="false">
      <c r="A70" s="9" t="n">
        <v>9</v>
      </c>
      <c r="B70" s="16" t="s">
        <v>121</v>
      </c>
      <c r="C70" s="23" t="s">
        <v>125</v>
      </c>
      <c r="D70" s="23" t="s">
        <v>126</v>
      </c>
      <c r="E70" s="11" t="n">
        <f aca="false">SUM(D13:J13)*0.005</f>
        <v>287.01195</v>
      </c>
      <c r="F70" s="9" t="s">
        <v>86</v>
      </c>
      <c r="G70" s="23" t="s">
        <v>127</v>
      </c>
    </row>
    <row r="71" customFormat="false" ht="79.85" hidden="false" customHeight="false" outlineLevel="0" collapsed="false">
      <c r="A71" s="9" t="n">
        <v>10</v>
      </c>
      <c r="B71" s="16" t="s">
        <v>121</v>
      </c>
      <c r="C71" s="23" t="s">
        <v>128</v>
      </c>
      <c r="D71" s="23" t="s">
        <v>129</v>
      </c>
      <c r="E71" s="11" t="n">
        <f aca="false">SUMPRODUCT(ABS(C16:O16))+SUMPRODUCT(ABS(C35:O35))</f>
        <v>0.049999999997226</v>
      </c>
      <c r="F71" s="9" t="s">
        <v>86</v>
      </c>
      <c r="G71" s="23" t="s">
        <v>130</v>
      </c>
    </row>
    <row r="73" customFormat="false" ht="15" hidden="false" customHeight="false" outlineLevel="0" collapsed="false">
      <c r="A73" s="4" t="s">
        <v>131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</row>
    <row r="74" customFormat="false" ht="69.75" hidden="false" customHeight="true" outlineLevel="0" collapsed="false">
      <c r="A74" s="25" t="s">
        <v>132</v>
      </c>
      <c r="B74" s="25"/>
      <c r="C74" s="25"/>
      <c r="D74" s="25"/>
      <c r="E74" s="25"/>
      <c r="F74" s="25"/>
      <c r="G74" s="25"/>
      <c r="H74" s="25"/>
      <c r="I74" s="25"/>
      <c r="J74" s="25"/>
      <c r="K74" s="25"/>
      <c r="L74" s="25"/>
      <c r="M74" s="25"/>
      <c r="N74" s="25"/>
      <c r="O74" s="25"/>
      <c r="P74" s="25"/>
      <c r="Q74" s="25"/>
      <c r="R74" s="25"/>
      <c r="S74" s="25"/>
      <c r="T74" s="25"/>
      <c r="U74" s="25"/>
      <c r="V74" s="25"/>
    </row>
    <row r="76" customFormat="false" ht="15" hidden="false" customHeight="false" outlineLevel="0" collapsed="false">
      <c r="A76" s="3" t="s">
        <v>2</v>
      </c>
    </row>
  </sheetData>
  <mergeCells count="1">
    <mergeCell ref="A74:V7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5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20"/>
    <col collapsed="false" customWidth="true" hidden="false" outlineLevel="0" max="3" min="3" style="0" width="36"/>
    <col collapsed="false" customWidth="true" hidden="false" outlineLevel="0" max="4" min="4" style="0" width="44"/>
    <col collapsed="false" customWidth="true" hidden="false" outlineLevel="0" max="5" min="5" style="0" width="24"/>
    <col collapsed="false" customWidth="true" hidden="false" outlineLevel="0" max="6" min="6" style="0" width="78"/>
  </cols>
  <sheetData>
    <row r="1" customFormat="false" ht="17.35" hidden="false" customHeight="false" outlineLevel="0" collapsed="false">
      <c r="A1" s="1" t="s">
        <v>133</v>
      </c>
    </row>
    <row r="2" customFormat="false" ht="15" hidden="false" customHeight="false" outlineLevel="0" collapsed="false">
      <c r="A2" s="2" t="s">
        <v>134</v>
      </c>
    </row>
    <row r="3" customFormat="false" ht="15" hidden="false" customHeight="false" outlineLevel="0" collapsed="false">
      <c r="A3" s="3" t="s">
        <v>2</v>
      </c>
    </row>
    <row r="5" customFormat="false" ht="15" hidden="false" customHeight="false" outlineLevel="0" collapsed="false">
      <c r="A5" s="4" t="s">
        <v>135</v>
      </c>
      <c r="B5" s="5"/>
      <c r="C5" s="5"/>
      <c r="D5" s="5"/>
      <c r="E5" s="5"/>
      <c r="F5" s="5"/>
    </row>
    <row r="6" customFormat="false" ht="15" hidden="false" customHeight="false" outlineLevel="0" collapsed="false">
      <c r="B6" s="26" t="s">
        <v>136</v>
      </c>
      <c r="C6" s="26" t="s">
        <v>137</v>
      </c>
      <c r="D6" s="26"/>
      <c r="E6" s="26"/>
      <c r="F6" s="26"/>
    </row>
    <row r="7" customFormat="false" ht="15" hidden="false" customHeight="true" outlineLevel="0" collapsed="false">
      <c r="B7" s="16" t="s">
        <v>138</v>
      </c>
      <c r="C7" s="23" t="s">
        <v>139</v>
      </c>
      <c r="D7" s="23"/>
      <c r="E7" s="23"/>
      <c r="F7" s="23"/>
    </row>
    <row r="8" customFormat="false" ht="15" hidden="false" customHeight="true" outlineLevel="0" collapsed="false">
      <c r="B8" s="16" t="s">
        <v>140</v>
      </c>
      <c r="C8" s="23" t="s">
        <v>141</v>
      </c>
      <c r="D8" s="23"/>
      <c r="E8" s="23"/>
      <c r="F8" s="23"/>
    </row>
    <row r="9" customFormat="false" ht="15" hidden="false" customHeight="true" outlineLevel="0" collapsed="false">
      <c r="B9" s="16" t="s">
        <v>142</v>
      </c>
      <c r="C9" s="23" t="s">
        <v>143</v>
      </c>
      <c r="D9" s="23"/>
      <c r="E9" s="23"/>
      <c r="F9" s="23"/>
    </row>
    <row r="10" customFormat="false" ht="15" hidden="false" customHeight="true" outlineLevel="0" collapsed="false">
      <c r="B10" s="16" t="s">
        <v>144</v>
      </c>
      <c r="C10" s="23" t="s">
        <v>145</v>
      </c>
      <c r="D10" s="23"/>
      <c r="E10" s="23"/>
      <c r="F10" s="23"/>
    </row>
    <row r="11" customFormat="false" ht="15" hidden="false" customHeight="true" outlineLevel="0" collapsed="false">
      <c r="B11" s="16" t="s">
        <v>146</v>
      </c>
      <c r="C11" s="23" t="s">
        <v>147</v>
      </c>
      <c r="D11" s="23"/>
      <c r="E11" s="23"/>
      <c r="F11" s="23"/>
    </row>
    <row r="12" customFormat="false" ht="15" hidden="false" customHeight="true" outlineLevel="0" collapsed="false">
      <c r="B12" s="16" t="s">
        <v>148</v>
      </c>
      <c r="C12" s="23" t="s">
        <v>149</v>
      </c>
      <c r="D12" s="23"/>
      <c r="E12" s="23"/>
      <c r="F12" s="23"/>
    </row>
    <row r="13" customFormat="false" ht="15" hidden="false" customHeight="true" outlineLevel="0" collapsed="false">
      <c r="B13" s="16" t="s">
        <v>150</v>
      </c>
      <c r="C13" s="23" t="s">
        <v>151</v>
      </c>
      <c r="D13" s="23"/>
      <c r="E13" s="23"/>
      <c r="F13" s="23"/>
    </row>
    <row r="14" customFormat="false" ht="15" hidden="false" customHeight="true" outlineLevel="0" collapsed="false">
      <c r="B14" s="16" t="s">
        <v>152</v>
      </c>
      <c r="C14" s="23" t="s">
        <v>153</v>
      </c>
      <c r="D14" s="23"/>
      <c r="E14" s="23"/>
      <c r="F14" s="23"/>
    </row>
    <row r="15" customFormat="false" ht="15" hidden="false" customHeight="true" outlineLevel="0" collapsed="false">
      <c r="B15" s="16" t="s">
        <v>154</v>
      </c>
      <c r="C15" s="23" t="s">
        <v>155</v>
      </c>
      <c r="D15" s="23"/>
      <c r="E15" s="23"/>
      <c r="F15" s="23"/>
    </row>
    <row r="16" customFormat="false" ht="15" hidden="false" customHeight="true" outlineLevel="0" collapsed="false">
      <c r="B16" s="16" t="s">
        <v>156</v>
      </c>
      <c r="C16" s="23" t="s">
        <v>157</v>
      </c>
      <c r="D16" s="23"/>
      <c r="E16" s="23"/>
      <c r="F16" s="23"/>
    </row>
    <row r="17" customFormat="false" ht="15" hidden="false" customHeight="false" outlineLevel="0" collapsed="false">
      <c r="B17" s="27" t="s">
        <v>158</v>
      </c>
    </row>
    <row r="19" customFormat="false" ht="15" hidden="false" customHeight="false" outlineLevel="0" collapsed="false">
      <c r="A19" s="4" t="s">
        <v>159</v>
      </c>
      <c r="B19" s="5"/>
      <c r="C19" s="5"/>
      <c r="D19" s="5"/>
      <c r="E19" s="5"/>
      <c r="F19" s="5"/>
    </row>
    <row r="20" customFormat="false" ht="15" hidden="false" customHeight="false" outlineLevel="0" collapsed="false">
      <c r="A20" s="8" t="s">
        <v>35</v>
      </c>
      <c r="B20" s="8" t="s">
        <v>160</v>
      </c>
      <c r="C20" s="8" t="s">
        <v>161</v>
      </c>
      <c r="D20" s="8" t="s">
        <v>162</v>
      </c>
      <c r="E20" s="8" t="s">
        <v>163</v>
      </c>
      <c r="F20" s="8" t="s">
        <v>164</v>
      </c>
    </row>
    <row r="21" customFormat="false" ht="15" hidden="false" customHeight="false" outlineLevel="0" collapsed="false">
      <c r="A21" s="9" t="n">
        <v>1</v>
      </c>
      <c r="B21" s="23" t="s">
        <v>165</v>
      </c>
      <c r="C21" s="23" t="s">
        <v>166</v>
      </c>
      <c r="D21" s="23" t="s">
        <v>138</v>
      </c>
      <c r="E21" s="23" t="s">
        <v>167</v>
      </c>
      <c r="F21" s="28" t="str">
        <f aca="false">"7%–9% × 241–364 d "&amp;TEXT(B1_Rate_x_Maturity!J13,"#,##0.00;-#,##0.00;0.00")&amp;"; 7%–9% × 1–2 yr "&amp;TEXT(B1_Rate_x_Maturity!K13,"#,##0.00;-#,##0.00;0.00")</f>
        <v>7%–9% × 241–364 d 19,837.96; 7%–9% × 1–2 yr 15,859.19</v>
      </c>
    </row>
    <row r="22" customFormat="false" ht="15" hidden="false" customHeight="false" outlineLevel="0" collapsed="false">
      <c r="A22" s="9" t="n">
        <v>2</v>
      </c>
      <c r="B22" s="23" t="s">
        <v>165</v>
      </c>
      <c r="C22" s="23" t="s">
        <v>168</v>
      </c>
      <c r="D22" s="23" t="s">
        <v>140</v>
      </c>
      <c r="E22" s="23" t="s">
        <v>167</v>
      </c>
      <c r="F22" s="28" t="str">
        <f aca="false">"7%–9% × 1–2 yr "&amp;TEXT(B1_Rate_x_Maturity!K32,"#,##0")&amp;"; 7%–9% × 91–180 d "&amp;TEXT(B1_Rate_x_Maturity!H32,"#,##0")</f>
        <v>7%–9% × 1–2 yr 199,141; 7%–9% × 91–180 d 94,810</v>
      </c>
    </row>
    <row r="23" customFormat="false" ht="15" hidden="false" customHeight="false" outlineLevel="0" collapsed="false">
      <c r="A23" s="9" t="n">
        <v>3</v>
      </c>
      <c r="B23" s="23" t="s">
        <v>165</v>
      </c>
      <c r="C23" s="23" t="s">
        <v>169</v>
      </c>
      <c r="D23" s="23" t="s">
        <v>170</v>
      </c>
      <c r="E23" s="23" t="s">
        <v>171</v>
      </c>
      <c r="F23" s="28" t="str">
        <f aca="false">TEXT(B1_Rate_x_Maturity!O7,"#,##0.00;-#,##0.00;0.00")&amp;" / "&amp;TEXT(B1_Rate_x_Maturity!O8,"#,##0.00;-#,##0.00;0.00")&amp;" / "&amp;TEXT(B1_Rate_x_Maturity!O9,"#,##0.00;-#,##0.00;0.00")&amp;" / "&amp;TEXT(B1_Rate_x_Maturity!O10,"#,##0.00;-#,##0.00;0.00")&amp;" / "&amp;TEXT(B1_Rate_x_Maturity!O11,"#,##0.00;-#,##0.00;0.00")&amp;" / "&amp;TEXT(B1_Rate_x_Maturity!O12,"#,##0.00;-#,##0.00;0.00")&amp;" / "&amp;TEXT(B1_Rate_x_Maturity!O13,"#,##0.00;-#,##0.00;0.00")&amp;" / "&amp;TEXT(B1_Rate_x_Maturity!O14,"#,##0.00;-#,##0.00;0.00")</f>
        <v>391.50 / 3,278.73 / 3,172.19 / 2,054.05 / 1,267.68 / 5,511.44 / 77,047.21 / 76.02</v>
      </c>
    </row>
    <row r="24" customFormat="false" ht="23.85" hidden="false" customHeight="false" outlineLevel="0" collapsed="false">
      <c r="A24" s="9" t="n">
        <v>4</v>
      </c>
      <c r="B24" s="23" t="s">
        <v>165</v>
      </c>
      <c r="C24" s="23" t="s">
        <v>172</v>
      </c>
      <c r="D24" s="23" t="s">
        <v>173</v>
      </c>
      <c r="E24" s="23" t="s">
        <v>174</v>
      </c>
      <c r="F24" s="28" t="str">
        <f aca="false">TEXT(B1_Rate_x_Maturity!D15,"#,##0.00;-#,##0.00;0.00")&amp;" / "&amp;TEXT(B1_Rate_x_Maturity!E15,"#,##0.00;-#,##0.00;0.00")&amp;" / "&amp;TEXT(B1_Rate_x_Maturity!F15,"#,##0.00;-#,##0.00;0.00")&amp;" / "&amp;TEXT(B1_Rate_x_Maturity!G15,"#,##0.00;-#,##0.00;0.00")&amp;" / "&amp;TEXT(B1_Rate_x_Maturity!H15,"#,##0.00;-#,##0.00;0.00")&amp;" / "&amp;TEXT(B1_Rate_x_Maturity!I15,"#,##0.00;-#,##0.00;0.00")&amp;" / "&amp;TEXT(B1_Rate_x_Maturity!J15,"#,##0.00;-#,##0.00;0.00")&amp;" / "&amp;TEXT(B1_Rate_x_Maturity!K15,"#,##0.00;-#,##0.00;0.00")&amp;" / "&amp;TEXT(B1_Rate_x_Maturity!L15,"#,##0.00;-#,##0.00;0.00")&amp;" / "&amp;TEXT(B1_Rate_x_Maturity!M15,"#,##0.00;-#,##0.00;0.00")&amp;" / "&amp;TEXT(B1_Rate_x_Maturity!N15,"#,##0.00;-#,##0.00;0.00")</f>
        <v>1,957.33 / 2,541.23 / 10,513.97 / 8,653.60 / 16,820.42 / 9,453.86 / 20,759.71 / 16,741.50 / 4,041.67 / 999.34 / 316.19</v>
      </c>
    </row>
    <row r="25" customFormat="false" ht="15" hidden="false" customHeight="false" outlineLevel="0" collapsed="false">
      <c r="A25" s="9" t="n">
        <v>5</v>
      </c>
      <c r="B25" s="23" t="s">
        <v>175</v>
      </c>
      <c r="C25" s="23" t="s">
        <v>176</v>
      </c>
      <c r="D25" s="23" t="s">
        <v>177</v>
      </c>
      <c r="E25" s="23" t="s">
        <v>178</v>
      </c>
      <c r="F25" s="28" t="str">
        <f aca="false">TEXT(B1_Rate_x_Maturity!Q7,"#,##0.00;-#,##0.00;0.00")&amp;" / "&amp;TEXT(B1_Rate_x_Maturity!Q8,"#,##0.00;-#,##0.00;0.00")&amp;" / "&amp;TEXT(B1_Rate_x_Maturity!Q9,"#,##0.00;-#,##0.00;0.00")&amp;" / "&amp;TEXT(B1_Rate_x_Maturity!Q10,"#,##0.00;-#,##0.00;0.00")&amp;" / "&amp;TEXT(B1_Rate_x_Maturity!Q11,"#,##0.00;-#,##0.00;0.00")&amp;" / "&amp;TEXT(B1_Rate_x_Maturity!Q12,"#,##0.00;-#,##0.00;0.00")&amp;" / "&amp;TEXT(B1_Rate_x_Maturity!Q13,"#,##0.00;-#,##0.00;0.00")&amp;" / "&amp;TEXT(B1_Rate_x_Maturity!Q14,"#,##0.00;-#,##0.00;0.00")</f>
        <v>0.00 / 0.01 / 0.00 / 0.02 / 0.01 / 0.00 / -0.01 / 0.00</v>
      </c>
    </row>
    <row r="26" customFormat="false" ht="15" hidden="false" customHeight="false" outlineLevel="0" collapsed="false">
      <c r="A26" s="9" t="n">
        <v>6</v>
      </c>
      <c r="B26" s="23" t="s">
        <v>175</v>
      </c>
      <c r="C26" s="23" t="s">
        <v>179</v>
      </c>
      <c r="D26" s="23" t="s">
        <v>180</v>
      </c>
      <c r="E26" s="23" t="s">
        <v>181</v>
      </c>
      <c r="F26" s="28" t="str">
        <f aca="false">"max |gap| "&amp;TEXT(MAX(ABS(MIN(B1_Rate_x_Maturity!C16:O16)),MAX(B1_Rate_x_Maturity!C16:O16)),"#,##0.00;-#,##0.00;0.00")</f>
        <v>max |gap| 0.01</v>
      </c>
    </row>
    <row r="27" customFormat="false" ht="15" hidden="false" customHeight="false" outlineLevel="0" collapsed="false">
      <c r="A27" s="9" t="n">
        <v>7</v>
      </c>
      <c r="B27" s="23" t="s">
        <v>175</v>
      </c>
      <c r="C27" s="23" t="s">
        <v>182</v>
      </c>
      <c r="D27" s="23" t="s">
        <v>183</v>
      </c>
      <c r="E27" s="23" t="s">
        <v>184</v>
      </c>
      <c r="F27" s="28" t="str">
        <f aca="false">"Σ |gaps| "&amp;TEXT(SUMPRODUCT(ABS(B1_Rate_x_Maturity!C35:O35))+SUMPRODUCT(ABS(B1_Rate_x_Maturity!Q26:Q33)),"#,##0")</f>
        <v>Σ |gaps| 0</v>
      </c>
    </row>
    <row r="28" customFormat="false" ht="15" hidden="false" customHeight="false" outlineLevel="0" collapsed="false">
      <c r="A28" s="9" t="n">
        <v>8</v>
      </c>
      <c r="B28" s="23" t="s">
        <v>185</v>
      </c>
      <c r="C28" s="23" t="s">
        <v>186</v>
      </c>
      <c r="D28" s="23" t="s">
        <v>187</v>
      </c>
      <c r="E28" s="23" t="s">
        <v>171</v>
      </c>
      <c r="F28" s="28" t="str">
        <f aca="false">TEXT(B1_Rate_x_Maturity!R7,"0.0%")&amp;" / "&amp;TEXT(B1_Rate_x_Maturity!R8,"0.0%")&amp;" / "&amp;TEXT(B1_Rate_x_Maturity!R9,"0.0%")&amp;" / "&amp;TEXT(B1_Rate_x_Maturity!R10,"0.0%")&amp;" / "&amp;TEXT(B1_Rate_x_Maturity!R11,"0.0%")&amp;" / "&amp;TEXT(B1_Rate_x_Maturity!R12,"0.0%")&amp;" / "&amp;TEXT(B1_Rate_x_Maturity!R13,"0.0%")&amp;" / "&amp;TEXT(B1_Rate_x_Maturity!R14,"0.0%")</f>
        <v>0.4% / 3.5% / 3.4% / 2.2% / 1.4% / 5.9% / 83.0% / 0.1%</v>
      </c>
    </row>
    <row r="29" customFormat="false" ht="15" hidden="false" customHeight="false" outlineLevel="0" collapsed="false">
      <c r="A29" s="9" t="n">
        <v>9</v>
      </c>
      <c r="B29" s="23" t="s">
        <v>185</v>
      </c>
      <c r="C29" s="23" t="s">
        <v>188</v>
      </c>
      <c r="D29" s="23" t="s">
        <v>189</v>
      </c>
      <c r="E29" s="23" t="s">
        <v>190</v>
      </c>
      <c r="F29" s="28" t="str">
        <f aca="false">TEXT(B1_Rate_x_Maturity!D18,"0.0%")&amp;" / "&amp;TEXT(B1_Rate_x_Maturity!E18,"0.0%")&amp;" / "&amp;TEXT(B1_Rate_x_Maturity!F18,"0.0%")&amp;" / "&amp;TEXT(B1_Rate_x_Maturity!G18,"0.0%")&amp;" / "&amp;TEXT(B1_Rate_x_Maturity!H18,"0.0%")&amp;" / "&amp;TEXT(B1_Rate_x_Maturity!I18,"0.0%")&amp;" / "&amp;TEXT(B1_Rate_x_Maturity!J18,"0.0%")&amp;" / "&amp;TEXT(B1_Rate_x_Maturity!K18,"0.0%")&amp;" / "&amp;TEXT(B1_Rate_x_Maturity!L18,"0.0%")&amp;" / "&amp;TEXT(B1_Rate_x_Maturity!M18,"0.0%")&amp;" / "&amp;TEXT(B1_Rate_x_Maturity!N18,"0.0%")</f>
        <v>2.1% / 2.7% / 11.3% / 9.3% / 18.1% / 10.2% / 22.4% / 18.0% / 4.4% / 1.1% / 0.3%</v>
      </c>
    </row>
    <row r="30" customFormat="false" ht="15" hidden="false" customHeight="false" outlineLevel="0" collapsed="false">
      <c r="A30" s="9" t="n">
        <v>10</v>
      </c>
      <c r="B30" s="23" t="s">
        <v>185</v>
      </c>
      <c r="C30" s="23" t="s">
        <v>191</v>
      </c>
      <c r="D30" s="23" t="s">
        <v>192</v>
      </c>
      <c r="E30" s="23" t="s">
        <v>190</v>
      </c>
      <c r="F30" s="28" t="str">
        <f aca="false">TEXT(B1_Rate_x_Maturity!D19,"0.0%")&amp;" / "&amp;TEXT(B1_Rate_x_Maturity!E19,"0.0%")&amp;" / "&amp;TEXT(B1_Rate_x_Maturity!F19,"0.0%")&amp;" / "&amp;TEXT(B1_Rate_x_Maturity!G19,"0.0%")&amp;" / "&amp;TEXT(B1_Rate_x_Maturity!H19,"0.0%")&amp;" / "&amp;TEXT(B1_Rate_x_Maturity!I19,"0.0%")&amp;" / "&amp;TEXT(B1_Rate_x_Maturity!J19,"0.0%")&amp;" / "&amp;TEXT(B1_Rate_x_Maturity!K19,"0.0%")&amp;" / "&amp;TEXT(B1_Rate_x_Maturity!L19,"0.0%")&amp;" / "&amp;TEXT(B1_Rate_x_Maturity!M19,"0.0%")&amp;" / "&amp;TEXT(B1_Rate_x_Maturity!N19,"0.0%")</f>
        <v>2.1% / 4.8% / 16.2% / 25.5% / 43.6% / 53.8% / 76.2% / 94.2% / 98.6% / 99.7% / 100.0%</v>
      </c>
    </row>
    <row r="31" customFormat="false" ht="15" hidden="false" customHeight="false" outlineLevel="0" collapsed="false">
      <c r="A31" s="9" t="n">
        <v>11</v>
      </c>
      <c r="B31" s="23" t="s">
        <v>185</v>
      </c>
      <c r="C31" s="23" t="s">
        <v>193</v>
      </c>
      <c r="D31" s="23" t="s">
        <v>194</v>
      </c>
      <c r="E31" s="23" t="s">
        <v>195</v>
      </c>
      <c r="F31" s="28" t="str">
        <f aca="false">"Book "&amp;TEXT(B1_Rate_x_Maturity!V15,"0.0%")&amp;"; 7%–9% "&amp;TEXT(B1_Rate_x_Maturity!V13,"0.0%")&amp;"; 5.5%–6% "&amp;TEXT(B1_Rate_x_Maturity!V10,"0.0%")</f>
        <v>Book 76.2%; 7%–9% 74.5%; 5.5%–6% 42.5%</v>
      </c>
    </row>
    <row r="32" customFormat="false" ht="15" hidden="false" customHeight="false" outlineLevel="0" collapsed="false">
      <c r="A32" s="9" t="n">
        <v>12</v>
      </c>
      <c r="B32" s="23" t="s">
        <v>185</v>
      </c>
      <c r="C32" s="23" t="s">
        <v>196</v>
      </c>
      <c r="D32" s="23" t="s">
        <v>197</v>
      </c>
      <c r="E32" s="23" t="s">
        <v>198</v>
      </c>
      <c r="F32" s="28" t="str">
        <f aca="false">TEXT(B1_Rate_x_Maturity!G19,"0.0%")</f>
        <v>25.5%</v>
      </c>
    </row>
    <row r="33" customFormat="false" ht="15" hidden="false" customHeight="false" outlineLevel="0" collapsed="false">
      <c r="A33" s="9" t="n">
        <v>13</v>
      </c>
      <c r="B33" s="23" t="s">
        <v>185</v>
      </c>
      <c r="C33" s="23" t="s">
        <v>199</v>
      </c>
      <c r="D33" s="23" t="s">
        <v>200</v>
      </c>
      <c r="E33" s="23" t="s">
        <v>190</v>
      </c>
      <c r="F33" s="28" t="str">
        <f aca="false">TEXT(B1_Rate_x_Maturity!D22,"0.0%")&amp;" / "&amp;TEXT(B1_Rate_x_Maturity!E22,"0.0%")&amp;" / "&amp;TEXT(B1_Rate_x_Maturity!F22,"0.0%")&amp;" / "&amp;TEXT(B1_Rate_x_Maturity!G22,"0.0%")&amp;" / "&amp;TEXT(B1_Rate_x_Maturity!H22,"0.0%")&amp;" / "&amp;TEXT(B1_Rate_x_Maturity!I22,"0.0%")&amp;" / "&amp;TEXT(B1_Rate_x_Maturity!J22,"0.0%")&amp;" / "&amp;TEXT(B1_Rate_x_Maturity!K22,"0.0%")&amp;" / "&amp;TEXT(B1_Rate_x_Maturity!L22,"0.0%")&amp;" / "&amp;TEXT(B1_Rate_x_Maturity!M22,"0.0%")&amp;" / "&amp;TEXT(B1_Rate_x_Maturity!N22,"0.0%")</f>
        <v>48.7% / 61.9% / 68.5% / 68.8% / 80.9% / 88.2% / 95.6% / 94.7% / 82.4% / 25.4% / 67.0%</v>
      </c>
    </row>
    <row r="34" customFormat="false" ht="15" hidden="false" customHeight="false" outlineLevel="0" collapsed="false">
      <c r="A34" s="9" t="n">
        <v>14</v>
      </c>
      <c r="B34" s="23" t="s">
        <v>185</v>
      </c>
      <c r="C34" s="23" t="s">
        <v>201</v>
      </c>
      <c r="D34" s="23" t="s">
        <v>202</v>
      </c>
      <c r="E34" s="23" t="s">
        <v>198</v>
      </c>
      <c r="F34" s="28" t="str">
        <f aca="false">TEXT(B1_Rate_x_Maturity!R7+B1_Rate_x_Maturity!R8+B1_Rate_x_Maturity!R9,"0.0%")</f>
        <v>7.4%</v>
      </c>
    </row>
    <row r="35" customFormat="false" ht="15" hidden="false" customHeight="false" outlineLevel="0" collapsed="false">
      <c r="A35" s="9" t="n">
        <v>15</v>
      </c>
      <c r="B35" s="23" t="s">
        <v>185</v>
      </c>
      <c r="C35" s="23" t="s">
        <v>203</v>
      </c>
      <c r="D35" s="23" t="s">
        <v>204</v>
      </c>
      <c r="E35" s="23" t="s">
        <v>190</v>
      </c>
      <c r="F35" s="28" t="str">
        <f aca="false">TEXT(B1_Rate_x_Maturity!D36,"0.0%")&amp;" / "&amp;TEXT(B1_Rate_x_Maturity!E36,"0.0%")&amp;" / "&amp;TEXT(B1_Rate_x_Maturity!F36,"0.0%")&amp;" / "&amp;TEXT(B1_Rate_x_Maturity!G36,"0.0%")&amp;" / "&amp;TEXT(B1_Rate_x_Maturity!H36,"0.0%")&amp;" / "&amp;TEXT(B1_Rate_x_Maturity!I36,"0.0%")&amp;" / "&amp;TEXT(B1_Rate_x_Maturity!J36,"0.0%")&amp;" / "&amp;TEXT(B1_Rate_x_Maturity!K36,"0.0%")&amp;" / "&amp;TEXT(B1_Rate_x_Maturity!L36,"0.0%")&amp;" / "&amp;TEXT(B1_Rate_x_Maturity!M36,"0.0%")&amp;" / "&amp;TEXT(B1_Rate_x_Maturity!N36,"0.0%")</f>
        <v>1.5% / 1.8% / 6.9% / 8.5% / 17.1% / 7.9% / 15.4% / 31.3% / 7.2% / 1.4% / 1.0%</v>
      </c>
    </row>
    <row r="36" customFormat="false" ht="15" hidden="false" customHeight="false" outlineLevel="0" collapsed="false">
      <c r="A36" s="9" t="n">
        <v>16</v>
      </c>
      <c r="B36" s="23" t="s">
        <v>205</v>
      </c>
      <c r="C36" s="23" t="s">
        <v>206</v>
      </c>
      <c r="D36" s="23" t="s">
        <v>207</v>
      </c>
      <c r="E36" s="23" t="s">
        <v>208</v>
      </c>
      <c r="F36" s="28" t="str">
        <f aca="false">"Book "&amp;TEXT(B1_Rate_x_Maturity!O21,"0.00")&amp;"%; by maturity "&amp;TEXT(B1_Rate_x_Maturity!D21,"0.00")&amp;" / "&amp;TEXT(B1_Rate_x_Maturity!E21,"0.00")&amp;" / "&amp;TEXT(B1_Rate_x_Maturity!F21,"0.00")&amp;" / "&amp;TEXT(B1_Rate_x_Maturity!G21,"0.00")&amp;" / "&amp;TEXT(B1_Rate_x_Maturity!H21,"0.00")&amp;" / "&amp;TEXT(B1_Rate_x_Maturity!I21,"0.00")&amp;" / "&amp;TEXT(B1_Rate_x_Maturity!J21,"0.00")&amp;" / "&amp;TEXT(B1_Rate_x_Maturity!K21,"0.00")&amp;" / "&amp;TEXT(B1_Rate_x_Maturity!L21,"0.00")&amp;" / "&amp;TEXT(B1_Rate_x_Maturity!M21,"0.00")&amp;" / "&amp;TEXT(B1_Rate_x_Maturity!N21,"0.00")</f>
        <v>Book 7.57%; by maturity 6.12 / 6.64 / 6.94 / 7.31 / 7.68 / 7.76 / 7.90 / 7.88 / 7.62 / 6.19 / 7.55</v>
      </c>
    </row>
    <row r="37" customFormat="false" ht="15" hidden="false" customHeight="false" outlineLevel="0" collapsed="false">
      <c r="A37" s="9" t="n">
        <v>17</v>
      </c>
      <c r="B37" s="23" t="s">
        <v>205</v>
      </c>
      <c r="C37" s="23" t="s">
        <v>209</v>
      </c>
      <c r="D37" s="23" t="s">
        <v>210</v>
      </c>
      <c r="E37" s="23" t="s">
        <v>171</v>
      </c>
      <c r="F37" s="28" t="str">
        <f aca="false">TEXT(B1_Rate_x_Maturity!S7,"0.000")&amp;" / "&amp;TEXT(B1_Rate_x_Maturity!S8,"0.000")&amp;" / "&amp;TEXT(B1_Rate_x_Maturity!S9,"0.000")&amp;" / "&amp;TEXT(B1_Rate_x_Maturity!S10,"0.000")&amp;" / "&amp;TEXT(B1_Rate_x_Maturity!S11,"0.000")&amp;" / "&amp;TEXT(B1_Rate_x_Maturity!S12,"0.000")&amp;" / "&amp;TEXT(B1_Rate_x_Maturity!S13,"0.000")&amp;" / "&amp;TEXT(B1_Rate_x_Maturity!S14,"0.000")</f>
        <v>3.000 / 3.750 / 4.875 / 5.750 / 6.250 / 6.750 / 8.000 / 9.250</v>
      </c>
    </row>
    <row r="38" customFormat="false" ht="23.85" hidden="false" customHeight="false" outlineLevel="0" collapsed="false">
      <c r="A38" s="9" t="n">
        <v>18</v>
      </c>
      <c r="B38" s="23" t="s">
        <v>205</v>
      </c>
      <c r="C38" s="23" t="s">
        <v>211</v>
      </c>
      <c r="D38" s="23" t="s">
        <v>212</v>
      </c>
      <c r="E38" s="23" t="s">
        <v>213</v>
      </c>
      <c r="F38" s="28" t="str">
        <f aca="false">TEXT(SUM(B1_Rate_x_Maturity!D13:J13)*0.005,"#,##0.00;-#,##0.00;0.00")&amp;" per year"</f>
        <v>287.01 per year</v>
      </c>
    </row>
    <row r="39" customFormat="false" ht="15" hidden="false" customHeight="false" outlineLevel="0" collapsed="false">
      <c r="A39" s="9" t="n">
        <v>19</v>
      </c>
      <c r="B39" s="23" t="s">
        <v>214</v>
      </c>
      <c r="C39" s="23" t="s">
        <v>215</v>
      </c>
      <c r="D39" s="23" t="s">
        <v>216</v>
      </c>
      <c r="E39" s="23" t="s">
        <v>195</v>
      </c>
      <c r="F39" s="28" t="str">
        <f aca="false">"Book "&amp;TEXT(B1_Rate_x_Maturity!U15,"#,##0.0")&amp;" days; by bucket "&amp;TEXT(B1_Rate_x_Maturity!U7,"#,##0.0")&amp;" / "&amp;TEXT(B1_Rate_x_Maturity!U8,"#,##0.0")&amp;" / "&amp;TEXT(B1_Rate_x_Maturity!U9,"#,##0.0")&amp;" / "&amp;TEXT(B1_Rate_x_Maturity!U10,"#,##0.0")&amp;" / "&amp;TEXT(B1_Rate_x_Maturity!U11,"#,##0.0")&amp;" / "&amp;TEXT(B1_Rate_x_Maturity!U12,"#,##0.0")&amp;" / "&amp;TEXT(B1_Rate_x_Maturity!U13,"#,##0.0")&amp;" / "&amp;TEXT(B1_Rate_x_Maturity!U14,"#,##0.0")</f>
        <v>Book 285.5 days; by bucket 97.7 / 59.2 / 201.0 / 676.0 / 265.1 / 199.4 / 295.6 / 251.6</v>
      </c>
    </row>
    <row r="40" customFormat="false" ht="15" hidden="false" customHeight="false" outlineLevel="0" collapsed="false">
      <c r="A40" s="9" t="n">
        <v>20</v>
      </c>
      <c r="B40" s="23" t="s">
        <v>214</v>
      </c>
      <c r="C40" s="23" t="s">
        <v>217</v>
      </c>
      <c r="D40" s="23" t="s">
        <v>218</v>
      </c>
      <c r="E40" s="23" t="s">
        <v>219</v>
      </c>
      <c r="F40" s="28" t="str">
        <f aca="false">TEXT(B1_Rate_x_Maturity!D17,"#,##0.0")&amp;" / "&amp;TEXT(B1_Rate_x_Maturity!E17,"#,##0.0")&amp;" / "&amp;TEXT(B1_Rate_x_Maturity!F17,"#,##0.0")&amp;" / "&amp;TEXT(B1_Rate_x_Maturity!G17,"#,##0.0")&amp;" / "&amp;TEXT(B1_Rate_x_Maturity!H17,"#,##0.0")&amp;" / "&amp;TEXT(B1_Rate_x_Maturity!I17,"#,##0.0")&amp;" / "&amp;TEXT(B1_Rate_x_Maturity!J17,"#,##0.0")&amp;" / "&amp;TEXT(B1_Rate_x_Maturity!K17,"#,##0.0")&amp;" / "&amp;TEXT(B1_Rate_x_Maturity!L17,"#,##0.0")&amp;" / "&amp;TEXT(B1_Rate_x_Maturity!M17,"#,##0.0")&amp;" / "&amp;TEXT(B1_Rate_x_Maturity!N17,"#,##0.0")</f>
        <v>3.0 / 10.5 / 30.0 / 68.0 / 135.5 / 210.5 / 302.5 / 547.5 / 912.5 / 1,460.0 / 2,190.0</v>
      </c>
    </row>
    <row r="41" customFormat="false" ht="15" hidden="false" customHeight="false" outlineLevel="0" collapsed="false">
      <c r="A41" s="9" t="n">
        <v>21</v>
      </c>
      <c r="B41" s="23" t="s">
        <v>220</v>
      </c>
      <c r="C41" s="23" t="s">
        <v>221</v>
      </c>
      <c r="D41" s="23" t="s">
        <v>222</v>
      </c>
      <c r="E41" s="23" t="s">
        <v>171</v>
      </c>
      <c r="F41" s="28" t="str">
        <f aca="false">TEXT(B1_Rate_x_Maturity!S26,"#,##0.00")&amp;" / "&amp;TEXT(B1_Rate_x_Maturity!S27,"#,##0.00")&amp;" / "&amp;TEXT(B1_Rate_x_Maturity!S28,"#,##0.00")&amp;" / "&amp;TEXT(B1_Rate_x_Maturity!S29,"#,##0.00")&amp;" / "&amp;TEXT(B1_Rate_x_Maturity!S30,"#,##0.00")&amp;" / "&amp;TEXT(B1_Rate_x_Maturity!S31,"#,##0.00")&amp;" / "&amp;TEXT(B1_Rate_x_Maturity!S32,"#,##0.00")&amp;" / "&amp;TEXT(B1_Rate_x_Maturity!S33,"#,##0.00")&amp;" ₹ lakh"</f>
        <v>121.58 / 69.35 / 25.96 / 10.99 / 13.64 / 60.91 / 13.08 / 3.75 ₹ lakh</v>
      </c>
    </row>
    <row r="42" customFormat="false" ht="15" hidden="false" customHeight="false" outlineLevel="0" collapsed="false">
      <c r="A42" s="9" t="n">
        <v>22</v>
      </c>
      <c r="B42" s="23" t="s">
        <v>220</v>
      </c>
      <c r="C42" s="23" t="s">
        <v>223</v>
      </c>
      <c r="D42" s="23" t="s">
        <v>224</v>
      </c>
      <c r="E42" s="23" t="s">
        <v>190</v>
      </c>
      <c r="F42" s="28" t="str">
        <f aca="false">TEXT(B1_Rate_x_Maturity!D37,"#,##0.00")&amp;" / "&amp;TEXT(B1_Rate_x_Maturity!E37,"#,##0.00")&amp;" / "&amp;TEXT(B1_Rate_x_Maturity!F37,"#,##0.00")&amp;" / "&amp;TEXT(B1_Rate_x_Maturity!G37,"#,##0.00")&amp;" / "&amp;TEXT(B1_Rate_x_Maturity!H37,"#,##0.00")&amp;" / "&amp;TEXT(B1_Rate_x_Maturity!I37,"#,##0.00")&amp;" / "&amp;TEXT(B1_Rate_x_Maturity!J37,"#,##0.00")&amp;" / "&amp;TEXT(B1_Rate_x_Maturity!K37,"#,##0.00")&amp;" / "&amp;TEXT(B1_Rate_x_Maturity!L37,"#,##0.00")&amp;" / "&amp;TEXT(B1_Rate_x_Maturity!M37,"#,##0.00")&amp;" / "&amp;TEXT(B1_Rate_x_Maturity!N37,"#,##0.00")&amp;" ₹ lakh"</f>
        <v>20.68 / 21.48 / 23.44 / 15.76 / 15.23 / 18.62 / 20.88 / 8.30 / 8.65 / 11.10 / 5.05 ₹ lakh</v>
      </c>
    </row>
    <row r="43" customFormat="false" ht="15" hidden="false" customHeight="false" outlineLevel="0" collapsed="false">
      <c r="A43" s="9" t="n">
        <v>23</v>
      </c>
      <c r="B43" s="23" t="s">
        <v>220</v>
      </c>
      <c r="C43" s="23" t="s">
        <v>225</v>
      </c>
      <c r="D43" s="23" t="s">
        <v>118</v>
      </c>
      <c r="E43" s="23" t="s">
        <v>198</v>
      </c>
      <c r="F43" s="28" t="str">
        <f aca="false">TEXT(B1_Rate_x_Maturity!S34,"#,##0.00")&amp;" ₹ lakh"</f>
        <v>14.38 ₹ lakh</v>
      </c>
    </row>
    <row r="44" customFormat="false" ht="15" hidden="false" customHeight="false" outlineLevel="0" collapsed="false">
      <c r="A44" s="9" t="n">
        <v>24</v>
      </c>
      <c r="B44" s="23" t="s">
        <v>220</v>
      </c>
      <c r="C44" s="23" t="s">
        <v>226</v>
      </c>
      <c r="D44" s="23" t="s">
        <v>227</v>
      </c>
      <c r="E44" s="23" t="s">
        <v>190</v>
      </c>
      <c r="F44" s="28" t="str">
        <f aca="false">TEXT(MAX(B1_Rate_x_Maturity!D37:N37)/MIN(B1_Rate_x_Maturity!D37:N37),"0.00""x""")</f>
        <v>4.64x</v>
      </c>
    </row>
    <row r="45" customFormat="false" ht="15" hidden="false" customHeight="false" outlineLevel="0" collapsed="false">
      <c r="A45" s="9" t="n">
        <v>25</v>
      </c>
      <c r="B45" s="23" t="s">
        <v>220</v>
      </c>
      <c r="C45" s="23" t="s">
        <v>228</v>
      </c>
      <c r="D45" s="23" t="s">
        <v>229</v>
      </c>
      <c r="E45" s="23" t="s">
        <v>230</v>
      </c>
      <c r="F45" s="28" t="str">
        <f aca="false">"7%–9% × 7–14 d "&amp;TEXT(B1_Rate_x_Maturity!E47,"#,##0.00")&amp;"; 7%–9% × 1–2 yr "&amp;TEXT(B1_Rate_x_Maturity!K47,"#,##0.00")&amp;" ₹ lakh"</f>
        <v>7%–9% × 7–14 d 18.04; 7%–9% × 1–2 yr 7.96 ₹ lakh</v>
      </c>
    </row>
    <row r="46" customFormat="false" ht="15" hidden="false" customHeight="false" outlineLevel="0" collapsed="false">
      <c r="A46" s="9" t="n">
        <v>26</v>
      </c>
      <c r="B46" s="23" t="s">
        <v>231</v>
      </c>
      <c r="C46" s="23" t="s">
        <v>232</v>
      </c>
      <c r="D46" s="23" t="s">
        <v>233</v>
      </c>
      <c r="E46" s="23" t="s">
        <v>171</v>
      </c>
      <c r="F46" s="28" t="str">
        <f aca="false">TEXT(MAX(B1_Rate_x_Maturity!R7:R14),"0.0%")&amp;" (7%–9%)"</f>
        <v>83.0% (7%–9%)</v>
      </c>
    </row>
    <row r="47" customFormat="false" ht="15" hidden="false" customHeight="false" outlineLevel="0" collapsed="false">
      <c r="A47" s="9" t="n">
        <v>27</v>
      </c>
      <c r="B47" s="23" t="s">
        <v>231</v>
      </c>
      <c r="C47" s="23" t="s">
        <v>234</v>
      </c>
      <c r="D47" s="23" t="s">
        <v>235</v>
      </c>
      <c r="E47" s="23" t="s">
        <v>190</v>
      </c>
      <c r="F47" s="28" t="str">
        <f aca="false">TEXT(SUMPRODUCT(LARGE(B1_Rate_x_Maturity!D18:N18,{1,2})),"0.0%")</f>
        <v>40.5%</v>
      </c>
    </row>
    <row r="48" customFormat="false" ht="15" hidden="false" customHeight="false" outlineLevel="0" collapsed="false">
      <c r="A48" s="9" t="n">
        <v>28</v>
      </c>
      <c r="B48" s="23" t="s">
        <v>231</v>
      </c>
      <c r="C48" s="23" t="s">
        <v>236</v>
      </c>
      <c r="D48" s="23" t="s">
        <v>237</v>
      </c>
      <c r="E48" s="23" t="s">
        <v>190</v>
      </c>
      <c r="F48" s="28" t="str">
        <f aca="false">TEXT(SUMPRODUCT((B1_Rate_x_Maturity!D18:N18*100)^2),"#,##0")</f>
        <v>1,506</v>
      </c>
    </row>
    <row r="49" customFormat="false" ht="15" hidden="false" customHeight="false" outlineLevel="0" collapsed="false">
      <c r="A49" s="9" t="n">
        <v>29</v>
      </c>
      <c r="B49" s="23" t="s">
        <v>238</v>
      </c>
      <c r="C49" s="23" t="s">
        <v>239</v>
      </c>
      <c r="D49" s="23" t="s">
        <v>240</v>
      </c>
      <c r="E49" s="23" t="s">
        <v>241</v>
      </c>
      <c r="F49" s="23" t="s">
        <v>242</v>
      </c>
    </row>
    <row r="50" customFormat="false" ht="23.85" hidden="false" customHeight="false" outlineLevel="0" collapsed="false">
      <c r="A50" s="9" t="n">
        <v>30</v>
      </c>
      <c r="B50" s="23" t="s">
        <v>238</v>
      </c>
      <c r="C50" s="23" t="s">
        <v>243</v>
      </c>
      <c r="D50" s="23" t="s">
        <v>244</v>
      </c>
      <c r="E50" s="23" t="s">
        <v>245</v>
      </c>
      <c r="F50" s="23" t="s">
        <v>246</v>
      </c>
    </row>
    <row r="51" customFormat="false" ht="15" hidden="false" customHeight="false" outlineLevel="0" collapsed="false">
      <c r="A51" s="9" t="n">
        <v>31</v>
      </c>
      <c r="B51" s="23" t="s">
        <v>238</v>
      </c>
      <c r="C51" s="23" t="s">
        <v>247</v>
      </c>
      <c r="D51" s="23" t="s">
        <v>248</v>
      </c>
      <c r="E51" s="23" t="s">
        <v>245</v>
      </c>
      <c r="F51" s="28" t="str">
        <f aca="false">TEXT(B1_Rate_x_Maturity!C15,"#,##0.00;-#,##0.00;0.00")&amp;" / "&amp;TEXT(B1_Rate_x_Maturity!C34,"#,##0")&amp;" accounts with no maturity tag"</f>
        <v>0.00 / 2 accounts with no maturity tag</v>
      </c>
    </row>
    <row r="53" customFormat="false" ht="15" hidden="false" customHeight="false" outlineLevel="0" collapsed="false">
      <c r="A53" s="3" t="s">
        <v>2</v>
      </c>
    </row>
  </sheetData>
  <mergeCells count="11">
    <mergeCell ref="C6:F6"/>
    <mergeCell ref="C7:F7"/>
    <mergeCell ref="C8:F8"/>
    <mergeCell ref="C9:F9"/>
    <mergeCell ref="C10:F10"/>
    <mergeCell ref="C11:F11"/>
    <mergeCell ref="C12:F12"/>
    <mergeCell ref="C13:F13"/>
    <mergeCell ref="C14:F14"/>
    <mergeCell ref="C15:F15"/>
    <mergeCell ref="C16:F1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2026-10-09T21:17:21Z</dcterms:created>
  <dc:creator>openpyxl</dc:creator>
  <dc:description/>
  <dc:language>en-US</dc:language>
  <cp:lastModifiedBy/>
  <dcterms:modified xsi:type="dcterms:W3CDTF">2026-10-09T21:17:21Z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