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MAB_Tables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<sst xmlns="http://schemas.openxmlformats.org/spreadsheetml/2006/main" count="518" uniqueCount="246">
  <si>
    <t xml:space="preserve">RBL Bank — Overall &amp; Segment-wise MAB (BBRL): page-wise metric extraction</t>
  </si>
  <si>
    <t xml:space="preserve">Source: 02_Overall_and_Segment_wise_MAB.pdf (1 page, 5 tables; data to 29-Aug-2026) | ₹ Cr monthly average balances</t>
  </si>
  <si>
    <t xml:space="preserve">⚠ DRAFT ONLY — Requires review and approval by a qualified Alvarez and Marsal professional before use.</t>
  </si>
  <si>
    <t xml:space="preserve">Sheet map</t>
  </si>
  <si>
    <t xml:space="preserve">B1_MAB_Tables</t>
  </si>
  <si>
    <t xml:space="preserve">All five MAB tables (Product, Customer Segment, RM Segment, Derived Segment, BAU Identifier) with line-level calcs, roll-up checks and a cross-check of the printed diffs against the Book Growth page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</si>
  <si>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</si>
  <si>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</si>
  <si>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</si>
  <si>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</si>
  <si>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</si>
  <si>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</si>
  <si>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</si>
  <si>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</si>
  <si>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</si>
  <si>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</si>
  <si>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</si>
  <si>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</si>
  <si>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</si>
  <si>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</si>
  <si>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</si>
  <si>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All 'Diff' columns are signed in the PDF (negatives shown in brackets, e.g. CA CM vs LM = (72.18)). For Product and Customer-Segment rows the printed LM and LY diffs are re-derived from the Book Growth page (LM* / LY* MAB) and tie.</t>
  </si>
  <si>
    <t xml:space="preserve">2</t>
  </si>
  <si>
    <t xml:space="preserve">'&lt; 3 Cr' / 'Indi &lt; 3 Cr' columns (as printed: 'CM MAB &lt;3 Cr') are the sub-book of customers below ₹3 Cr and individual customers within it.</t>
  </si>
  <si>
    <t xml:space="preserve">3</t>
  </si>
  <si>
    <t xml:space="preserve">'M-1' comparison base is not defined on the page (its diff is larger than the LM diff, so it is an earlier base). Flagged; not used for growth rates.</t>
  </si>
  <si>
    <t xml:space="preserve">4</t>
  </si>
  <si>
    <t xml:space="preserve">Reference LM/LY MAB values are taken from the Book Growth page of the same pack (Balance Movement LM* / LY*) and typed as inputs.</t>
  </si>
  <si>
    <t xml:space="preserve">Confidentiality</t>
  </si>
  <si>
    <t xml:space="preserve">Client-confidential RBL Bank data.</t>
  </si>
  <si>
    <t xml:space="preserve">Block 1 — MAB tables: Product, Customer Segment, RM Segment, Derived Segment, BAU</t>
  </si>
  <si>
    <t xml:space="preserve">Source: Overall &amp; Segment wise MAB.pdf | ₹ Cr | Balance date 29-Aug-2026 | diffs signed as printed</t>
  </si>
  <si>
    <t xml:space="preserve">A. Source data (blue) with line-level live calculations</t>
  </si>
  <si>
    <t xml:space="preserve">#</t>
  </si>
  <si>
    <t xml:space="preserve">Table</t>
  </si>
  <si>
    <t xml:space="preserve">Group</t>
  </si>
  <si>
    <t xml:space="preserve">Line</t>
  </si>
  <si>
    <t xml:space="preserve">CM MAB</t>
  </si>
  <si>
    <t xml:space="preserve">CM MAB &lt; 3 Cr</t>
  </si>
  <si>
    <t xml:space="preserve">CM MAB Indi &lt; 3 Cr</t>
  </si>
  <si>
    <t xml:space="preserve">CM vs LM MAB Diff</t>
  </si>
  <si>
    <t xml:space="preserve">CM vs LM &lt; 3 Cr Diff</t>
  </si>
  <si>
    <t xml:space="preserve">CM vs LM Indi &lt; 3 Cr Diff</t>
  </si>
  <si>
    <t xml:space="preserve">CM vs M-1 MAB Diff</t>
  </si>
  <si>
    <t xml:space="preserve">CM vs M-1 &lt; 3 Cr Diff</t>
  </si>
  <si>
    <t xml:space="preserve">CM vs M-1 Indi &lt; 3 Cr Diff</t>
  </si>
  <si>
    <t xml:space="preserve">CM vs LY MAB Diff</t>
  </si>
  <si>
    <t xml:space="preserve">CM vs LY &lt; 3 Cr Diff</t>
  </si>
  <si>
    <t xml:space="preserve">CM vs LY Indi &lt; 3 Cr Diff</t>
  </si>
  <si>
    <t xml:space="preserve">&lt; 3 Cr share of CM</t>
  </si>
  <si>
    <t xml:space="preserve">Indi &lt; 3 Cr share of CM</t>
  </si>
  <si>
    <t xml:space="preserve">LM diff ÷ CM</t>
  </si>
  <si>
    <t xml:space="preserve">M-1 diff ÷ CM</t>
  </si>
  <si>
    <t xml:space="preserve">LY diff ÷ CM</t>
  </si>
  <si>
    <t xml:space="preserve">Share of GT (CM)</t>
  </si>
  <si>
    <t xml:space="preserve">Roll-up check (Total − Σ lines)</t>
  </si>
  <si>
    <t xml:space="preserve">Ref LM MAB (Book Growth)</t>
  </si>
  <si>
    <t xml:space="preserve">Recomputed LM diff = CM − ref</t>
  </si>
  <si>
    <t xml:space="preserve">Ref LY MAB / recomputed LY diff</t>
  </si>
  <si>
    <t xml:space="preserve">Printed − recomputed LM diff</t>
  </si>
  <si>
    <t xml:space="preserve">Product</t>
  </si>
  <si>
    <t xml:space="preserve">CASA</t>
  </si>
  <si>
    <t xml:space="preserve">CA</t>
  </si>
  <si>
    <t xml:space="preserve">SA</t>
  </si>
  <si>
    <t xml:space="preserve">Total</t>
  </si>
  <si>
    <t xml:space="preserve">TD</t>
  </si>
  <si>
    <t xml:space="preserve">Deposits</t>
  </si>
  <si>
    <t xml:space="preserve">ODFD</t>
  </si>
  <si>
    <t xml:space="preserve">Grand Total</t>
  </si>
  <si>
    <t xml:space="preserve">Customer Segment</t>
  </si>
  <si>
    <t xml:space="preserve">INSIGNIA</t>
  </si>
  <si>
    <t xml:space="preserve">SIGNATURE</t>
  </si>
  <si>
    <t xml:space="preserve">ASPIRE</t>
  </si>
  <si>
    <t xml:space="preserve">MASS</t>
  </si>
  <si>
    <t xml:space="preserve">RM Segment</t>
  </si>
  <si>
    <t xml:space="preserve">Derived Segment</t>
  </si>
  <si>
    <t xml:space="preserve">Affluence</t>
  </si>
  <si>
    <t xml:space="preserve">COOP Bank</t>
  </si>
  <si>
    <t xml:space="preserve">Diplomat</t>
  </si>
  <si>
    <t xml:space="preserve">FIGU</t>
  </si>
  <si>
    <t xml:space="preserve">BAU Identifier</t>
  </si>
  <si>
    <t xml:space="preserve">SALARY</t>
  </si>
  <si>
    <t xml:space="preserve">NR</t>
  </si>
  <si>
    <t xml:space="preserve">TASC</t>
  </si>
  <si>
    <t xml:space="preserve">CO_OP_BANK</t>
  </si>
  <si>
    <t xml:space="preserve">GOV BANK</t>
  </si>
  <si>
    <t xml:space="preserve">DIPLOMAT</t>
  </si>
  <si>
    <t xml:space="preserve">OTHER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</si>
  <si>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</si>
  <si>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</si>
  <si>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</si>
  <si>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</si>
  <si>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</si>
  <si>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Printed LM diffs agree with CM − LM MAB re-derived from the Book Growth page (max |printed − recomputed| across product and customer-segment rows):</t>
  </si>
  <si>
    <t xml:space="preserve">₹ Cr</t>
  </si>
  <si>
    <t xml:space="preserve">The two pages are consistent; diffs carry correct signs (e.g. CA −72.18, MASS TD −147.93).</t>
  </si>
  <si>
    <t xml:space="preserve">The entire MoM TD jump (+20,187) sits in NR deposits (NR TD CM vs LM diff 20,713) and is ≥ ₹3 Cr, non-individual money (&lt; 3 Cr diff only 94).</t>
  </si>
  <si>
    <t xml:space="preserve">Concentrated large NR TD inflow — check tenor, rate and single-depositor concentration.</t>
  </si>
  <si>
    <t xml:space="preserve">Customer-segment GT and Product GT both tie to 115,448.64; roll-up gaps across all Total rows:</t>
  </si>
  <si>
    <t xml:space="preserve">Tables roll up.</t>
  </si>
  <si>
    <t xml:space="preserve">CO_OP_BANK (BAU) = COOP Bank (Derived) exactly; DIPLOMAT (BAU) ≠ Diplomat (Derived) by</t>
  </si>
  <si>
    <t xml:space="preserve">Derived segment uses a wider Diplomat definition.</t>
  </si>
  <si>
    <t xml:space="preserve">COOP Bank TD of 13,353 has zero individual balance and sits inside MASS in the customer-segment view — MASS TD is mostly co-operative bank money.</t>
  </si>
  <si>
    <t xml:space="preserve">%</t>
  </si>
  <si>
    <t xml:space="preserve">MASS segment metrics are distorted by institutional deposits.</t>
  </si>
  <si>
    <t xml:space="preserve">M-1 comparison base is not defined on the page (diff 28,050 &gt; LM diff 20,568).</t>
  </si>
  <si>
    <t xml:space="preserve">Confirm the M-1 definition before using.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</si>
  <si>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</si>
  <si>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</si>
  <si>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</si>
  <si>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</si>
  <si>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</si>
  <si>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</si>
  <si>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</si>
  <si>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</si>
  <si>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the total CM MAB?</t>
  </si>
  <si>
    <t xml:space="preserve">Lookup</t>
  </si>
  <si>
    <t xml:space="preserve">What is INSIGNIA TD MAB (customer segment view)?</t>
  </si>
  <si>
    <t xml:space="preserve">What is NR total MAB?</t>
  </si>
  <si>
    <t xml:space="preserve">Medium</t>
  </si>
  <si>
    <t xml:space="preserve">What is the CASA ratio of the book?</t>
  </si>
  <si>
    <t xml:space="preserve">CASA total ÷ GT</t>
  </si>
  <si>
    <t xml:space="preserve">What share of total MAB is from individual customers below ₹3 Cr?</t>
  </si>
  <si>
    <t xml:space="preserve">Indi &lt; 3 Cr ÷ CM</t>
  </si>
  <si>
    <t xml:space="preserve">What is INSIGNIA's share of CM MAB (customer segment)?</t>
  </si>
  <si>
    <t xml:space="preserve">INSIGNIA Total ÷ GT</t>
  </si>
  <si>
    <t xml:space="preserve">What is the MoM growth of total MAB (using Book Growth LM MAB)?</t>
  </si>
  <si>
    <t xml:space="preserve">CM ÷ LM − 1</t>
  </si>
  <si>
    <t xml:space="preserve">High</t>
  </si>
  <si>
    <t xml:space="preserve">What share of the MoM TD increase is explained by NR TD?</t>
  </si>
  <si>
    <t xml:space="preserve">NR TD LM diff ÷ TD LM diff</t>
  </si>
  <si>
    <t xml:space="preserve">Essentially all of the growth is one customer type — fragile funding mix.</t>
  </si>
  <si>
    <t xml:space="preserve">CASA grew MoM in total; which CASA product declined, and by how much (₹ Cr)?</t>
  </si>
  <si>
    <t xml:space="preserve">CM CA − LM CA (printed diff, confirmed vs Book Growth)</t>
  </si>
  <si>
    <t xml:space="preserve">CA fell ₹72 Cr while SA rose ₹457 Cr — CASA growth is SA-led.</t>
  </si>
  <si>
    <t xml:space="preserve">What is MASS TD excluding co-operative bank deposits, and its share of MASS TD?</t>
  </si>
  <si>
    <t xml:space="preserve">(MASS TD − COOP TD) and ratio</t>
  </si>
  <si>
    <t xml:space="preserve">Only ~39% of MASS TD is genuine mass-market money.</t>
  </si>
  <si>
    <t xml:space="preserve">What this page cannot support (feeds the data request)</t>
  </si>
  <si>
    <t xml:space="preserve">Not derivable: the M-1 base definition; interest cost by segment; customer counts; tenor and rate of the NR TD inflow; branch / RM-level drivers.</t>
  </si>
  <si>
    <t xml:space="preserve">MAB tables: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</si>
  <si>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</si>
  <si>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</si>
  <si>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</si>
  <si>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</si>
  <si>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MAB</t>
  </si>
  <si>
    <t xml:space="preserve">Monthly average balance, ₹ Cr, for the current month (CM) to the balance date</t>
  </si>
  <si>
    <t xml:space="preserve">M(x)</t>
  </si>
  <si>
    <t xml:space="preserve">CM MAB of line x (product, segment × CASA/TD, or BAU identifier)</t>
  </si>
  <si>
    <t xml:space="preserve">M3(x) / MI(x)</t>
  </si>
  <si>
    <t xml:space="preserve">CM MAB of customers below ₹3 Cr / individual customers below ₹3 Cr</t>
  </si>
  <si>
    <t xml:space="preserve">D_v(x)</t>
  </si>
  <si>
    <t xml:space="preserve">Printed 'CM vs v MAB Diff', v ∈ {LM, M-1, LY}; signed (brackets = negative)</t>
  </si>
  <si>
    <t xml:space="preserve">D̂_LM(x)</t>
  </si>
  <si>
    <t xml:space="preserve">Recomputed diff = M(x) − LM MAB from the Book Growth page (Product and Customer Segment only) — cross-check of D_LM</t>
  </si>
  <si>
    <t xml:space="preserve">GT</t>
  </si>
  <si>
    <t xml:space="preserve">Grand Total CM MAB = 115,448.64</t>
  </si>
  <si>
    <t xml:space="preserve">sh(x)</t>
  </si>
  <si>
    <t xml:space="preserve">M(x) ÷ GT</t>
  </si>
  <si>
    <t xml:space="preserve">CASA / TD</t>
  </si>
  <si>
    <t xml:space="preserve">CA + SA / Deposits + ODFD</t>
  </si>
  <si>
    <t xml:space="preserve">Views</t>
  </si>
  <si>
    <t xml:space="preserve">Customer Segment (owned), RM Segment (managed), Derived Segment, BAU identifier</t>
  </si>
  <si>
    <t xml:space="preserve">Values are ₹ Cr monthly average balances; growth in %, shares in %; diffs signed as printed (D̂ = recomputed).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</si>
  <si>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</si>
  <si>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</si>
  <si>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</si>
  <si>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</si>
  <si>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</si>
  <si>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</si>
  <si>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</si>
  <si>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Line MAB</t>
  </si>
  <si>
    <t xml:space="preserve">M(x), M3(x), MI(x)</t>
  </si>
  <si>
    <t xml:space="preserve">All lines × 3 measures</t>
  </si>
  <si>
    <t xml:space="preserve">Printed diffs</t>
  </si>
  <si>
    <t xml:space="preserve">D_LM, D_M-1, D_LY (signed)</t>
  </si>
  <si>
    <t xml:space="preserve">All lines × 9 columns</t>
  </si>
  <si>
    <t xml:space="preserve">Roll-up check</t>
  </si>
  <si>
    <t xml:space="preserve">Lines to Total / Grand Total</t>
  </si>
  <si>
    <t xml:space="preserve">Total − Σ lines</t>
  </si>
  <si>
    <t xml:space="preserve">Every Total row</t>
  </si>
  <si>
    <t xml:space="preserve">GT consistency across views</t>
  </si>
  <si>
    <t xml:space="preserve">GT identical in all five tables</t>
  </si>
  <si>
    <t xml:space="preserve">5 tables</t>
  </si>
  <si>
    <t xml:space="preserve">Mix &amp; share</t>
  </si>
  <si>
    <t xml:space="preserve">CASA ratio</t>
  </si>
  <si>
    <t xml:space="preserve">CASA ÷ GT</t>
  </si>
  <si>
    <t xml:space="preserve">Bank + each segment</t>
  </si>
  <si>
    <t xml:space="preserve">Segment share of GT</t>
  </si>
  <si>
    <t xml:space="preserve">sh(segment Total)</t>
  </si>
  <si>
    <t xml:space="preserve">4 customer segments</t>
  </si>
  <si>
    <t xml:space="preserve">Managed vs owned (RM vs Customer segment)</t>
  </si>
  <si>
    <t xml:space="preserve">M_RM(s) − M_Cust(s)</t>
  </si>
  <si>
    <t xml:space="preserve">4 segments</t>
  </si>
  <si>
    <t xml:space="preserve">Derived segment share</t>
  </si>
  <si>
    <t xml:space="preserve">sh(derived Total)</t>
  </si>
  <si>
    <t xml:space="preserve">8 derived segments</t>
  </si>
  <si>
    <t xml:space="preserve">BAU identifier share</t>
  </si>
  <si>
    <t xml:space="preserve">sh(BAU Total)</t>
  </si>
  <si>
    <t xml:space="preserve">7 identifiers</t>
  </si>
  <si>
    <t xml:space="preserve">&lt; 3 Cr sub-book share</t>
  </si>
  <si>
    <t xml:space="preserve">M3 ÷ M</t>
  </si>
  <si>
    <t xml:space="preserve">All lines</t>
  </si>
  <si>
    <t xml:space="preserve">Individual share</t>
  </si>
  <si>
    <t xml:space="preserve">MI ÷ M</t>
  </si>
  <si>
    <t xml:space="preserve">Institutional TD proxy</t>
  </si>
  <si>
    <t xml:space="preserve">(TD − MI(TD)) ÷ TD</t>
  </si>
  <si>
    <t xml:space="preserve">Bank</t>
  </si>
  <si>
    <t xml:space="preserve">Growth &amp; momentum</t>
  </si>
  <si>
    <t xml:space="preserve">MoM change (recomputed)</t>
  </si>
  <si>
    <t xml:space="preserve">D̂_LM = M − LM(Book Growth)</t>
  </si>
  <si>
    <t xml:space="preserve">Products, customer segments, GT</t>
  </si>
  <si>
    <t xml:space="preserve">MoM growth</t>
  </si>
  <si>
    <t xml:space="preserve">M ÷ LM(ref) − 1</t>
  </si>
  <si>
    <t xml:space="preserve">YoY growth</t>
  </si>
  <si>
    <t xml:space="preserve">M ÷ LY(ref) − 1</t>
  </si>
  <si>
    <t xml:space="preserve">Diff as % of CM</t>
  </si>
  <si>
    <t xml:space="preserve">D_v ÷ M</t>
  </si>
  <si>
    <t xml:space="preserve">All lines × 3 bases</t>
  </si>
  <si>
    <t xml:space="preserve">Attribution</t>
  </si>
  <si>
    <t xml:space="preserve">Share of MoM TD diff from NR</t>
  </si>
  <si>
    <t xml:space="preserve">D_LM(NR TD) ÷ D_LM(TD)</t>
  </si>
  <si>
    <t xml:space="preserve">BAU</t>
  </si>
  <si>
    <t xml:space="preserve">Share of MoM GT diff from INSIGNIA</t>
  </si>
  <si>
    <t xml:space="preserve">D_LM(INSIGNIA) ÷ D_LM(GT)</t>
  </si>
  <si>
    <t xml:space="preserve">Customer segment</t>
  </si>
  <si>
    <t xml:space="preserve">Share of YoY GT diff from INSIGNIA TD</t>
  </si>
  <si>
    <t xml:space="preserve">D_LY(INSIGNIA TD) ÷ D_LY(GT)</t>
  </si>
  <si>
    <t xml:space="preserve">Non-individual share of MoM TD diff</t>
  </si>
  <si>
    <t xml:space="preserve">(D_LM(TD) − D_LM Indi(TD)) ÷ D_LM(TD)</t>
  </si>
  <si>
    <t xml:space="preserve">Concentration</t>
  </si>
  <si>
    <t xml:space="preserve">Top segment share</t>
  </si>
  <si>
    <t xml:space="preserve">max sh(segment)</t>
  </si>
  <si>
    <t xml:space="preserve">HHI across customer segments</t>
  </si>
  <si>
    <t xml:space="preserve">Σ (100 × sh)²</t>
  </si>
  <si>
    <t xml:space="preserve">COOP bank share of MASS TD</t>
  </si>
  <si>
    <t xml:space="preserve">M(COOP TD) ÷ M(MASS TD)</t>
  </si>
  <si>
    <t xml:space="preserve">Derived vs customer</t>
  </si>
  <si>
    <t xml:space="preserve">Data integrity</t>
  </si>
  <si>
    <t xml:space="preserve">Printed vs recomputed diff</t>
  </si>
  <si>
    <t xml:space="preserve">D_LM − D̂_LM</t>
  </si>
  <si>
    <t xml:space="preserve">Duplicate definitions</t>
  </si>
  <si>
    <t xml:space="preserve">COOP Bank (Derived) vs CO_OP_BANK (BAU); Diplomat vs DIPLOMAT</t>
  </si>
  <si>
    <t xml:space="preserve">2 pairs</t>
  </si>
  <si>
    <t xml:space="preserve">M-1 base flag</t>
  </si>
  <si>
    <t xml:space="preserve">D_M-1 &gt; D_LM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</si>
</sst>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0.0%;\-0.0%;0.0%"/>
    <numFmt numFmtId="167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23.8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23.85" hidden="false" customHeight="false" outlineLevel="0" collapsed="false">
      <c r="A17" s="6" t="s">
        <v>20</v>
      </c>
      <c r="B17" s="7" t="s">
        <v>21</v>
      </c>
    </row>
    <row r="18" customFormat="false" ht="23.85" hidden="false" customHeight="false" outlineLevel="0" collapsed="false">
      <c r="A18" s="6" t="s">
        <v>22</v>
      </c>
      <c r="B18" s="7" t="s">
        <v>23</v>
      </c>
    </row>
    <row r="19" customFormat="false" ht="23.85" hidden="false" customHeight="false" outlineLevel="0" collapsed="false">
      <c r="A19" s="6" t="s">
        <v>24</v>
      </c>
      <c r="B19" s="7" t="s">
        <v>25</v>
      </c>
    </row>
    <row r="20" customFormat="false" ht="23.85" hidden="false" customHeight="false" outlineLevel="0" collapsed="false">
      <c r="A20" s="6" t="s">
        <v>26</v>
      </c>
      <c r="B20" s="7" t="s">
        <v>27</v>
      </c>
    </row>
    <row r="21" customFormat="false" ht="15" hidden="false" customHeight="false" outlineLevel="0" collapsed="false">
      <c r="A21" s="6" t="s">
        <v>28</v>
      </c>
      <c r="B21" s="7" t="s">
        <v>29</v>
      </c>
    </row>
    <row r="23" customFormat="false" ht="15" hidden="false" customHeight="false" outlineLevel="0" collapsed="false">
      <c r="A23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25" min="5" style="0" width="13"/>
    <col collapsed="false" customWidth="true" hidden="false" outlineLevel="0" max="26" min="26" style="0" width="24"/>
    <col collapsed="false" customWidth="true" hidden="false" outlineLevel="0" max="27" min="27" style="0" width="13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35.05" hidden="false" customHeight="false" outlineLevel="0" collapsed="false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8" t="s">
        <v>41</v>
      </c>
      <c r="J6" s="8" t="s">
        <v>42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 t="s">
        <v>48</v>
      </c>
      <c r="Q6" s="8" t="s">
        <v>49</v>
      </c>
      <c r="R6" s="8" t="s">
        <v>50</v>
      </c>
      <c r="S6" s="8" t="s">
        <v>51</v>
      </c>
      <c r="T6" s="8" t="s">
        <v>52</v>
      </c>
      <c r="U6" s="8" t="s">
        <v>53</v>
      </c>
      <c r="V6" s="8" t="s">
        <v>54</v>
      </c>
      <c r="W6" s="8" t="s">
        <v>55</v>
      </c>
      <c r="X6" s="8" t="s">
        <v>56</v>
      </c>
      <c r="Y6" s="8" t="s">
        <v>57</v>
      </c>
      <c r="Z6" s="8" t="s">
        <v>58</v>
      </c>
      <c r="AA6" s="8" t="s">
        <v>59</v>
      </c>
    </row>
    <row r="7" customFormat="false" ht="15" hidden="false" customHeight="false" outlineLevel="0" collapsed="false">
      <c r="A7" s="9" t="n">
        <v>1</v>
      </c>
      <c r="B7" s="9" t="s">
        <v>60</v>
      </c>
      <c r="C7" s="9" t="s">
        <v>61</v>
      </c>
      <c r="D7" s="9" t="s">
        <v>62</v>
      </c>
      <c r="E7" s="10" t="n">
        <v>6038.91</v>
      </c>
      <c r="F7" s="10" t="n">
        <v>3833.62</v>
      </c>
      <c r="G7" s="10" t="n">
        <v>249.42</v>
      </c>
      <c r="H7" s="10" t="n">
        <v>-72.18</v>
      </c>
      <c r="I7" s="10" t="n">
        <v>-1.83</v>
      </c>
      <c r="J7" s="10" t="n">
        <v>-2.42</v>
      </c>
      <c r="K7" s="10" t="n">
        <v>-39.68</v>
      </c>
      <c r="L7" s="10" t="n">
        <v>100.15</v>
      </c>
      <c r="M7" s="10" t="n">
        <v>-0.63</v>
      </c>
      <c r="N7" s="10" t="n">
        <v>-221.48</v>
      </c>
      <c r="O7" s="10" t="n">
        <v>-0.79</v>
      </c>
      <c r="P7" s="10" t="n">
        <v>6.81</v>
      </c>
      <c r="Q7" s="11" t="n">
        <f aca="false">F7/E7</f>
        <v>0.634819859875375</v>
      </c>
      <c r="R7" s="11" t="n">
        <f aca="false">G7/E7</f>
        <v>0.0413021555214434</v>
      </c>
      <c r="S7" s="11" t="n">
        <f aca="false">H7/E7</f>
        <v>-0.011952488114577</v>
      </c>
      <c r="T7" s="11" t="n">
        <f aca="false">K7/E7</f>
        <v>-0.0065707221998672</v>
      </c>
      <c r="U7" s="11" t="n">
        <f aca="false">N7/E7</f>
        <v>-0.0366754927627668</v>
      </c>
      <c r="V7" s="11" t="n">
        <f aca="false">E7/E$13</f>
        <v>0.0523081952286315</v>
      </c>
      <c r="X7" s="10" t="n">
        <v>6111.09</v>
      </c>
      <c r="Y7" s="12" t="n">
        <f aca="false">E7-X7</f>
        <v>-72.1800000000003</v>
      </c>
      <c r="Z7" s="13" t="str">
        <f aca="false">TEXT(6260.4,"#,##0.00")&amp;" / "&amp;TEXT(E7-6260.4,"+#,##0.00;-#,##0.00")</f>
        <v>6,260.40 / -221.49</v>
      </c>
      <c r="AA7" s="12" t="n">
        <f aca="false">H7-Y7</f>
        <v>2.8421709430404E-013</v>
      </c>
    </row>
    <row r="8" customFormat="false" ht="15" hidden="false" customHeight="false" outlineLevel="0" collapsed="false">
      <c r="A8" s="9" t="n">
        <v>2</v>
      </c>
      <c r="B8" s="9" t="s">
        <v>60</v>
      </c>
      <c r="C8" s="9" t="s">
        <v>61</v>
      </c>
      <c r="D8" s="9" t="s">
        <v>63</v>
      </c>
      <c r="E8" s="10" t="n">
        <v>19480.57</v>
      </c>
      <c r="F8" s="10" t="n">
        <v>15391.35</v>
      </c>
      <c r="G8" s="10" t="n">
        <v>14300.75</v>
      </c>
      <c r="H8" s="10" t="n">
        <v>456.88</v>
      </c>
      <c r="I8" s="10" t="n">
        <v>77.59</v>
      </c>
      <c r="J8" s="10" t="n">
        <v>75.1</v>
      </c>
      <c r="K8" s="10" t="n">
        <v>224.55</v>
      </c>
      <c r="L8" s="10" t="n">
        <v>393.84</v>
      </c>
      <c r="M8" s="10" t="n">
        <v>356.15</v>
      </c>
      <c r="N8" s="10" t="n">
        <v>675.43</v>
      </c>
      <c r="O8" s="10" t="n">
        <v>272.81</v>
      </c>
      <c r="P8" s="10" t="n">
        <v>269.65</v>
      </c>
      <c r="Q8" s="11" t="n">
        <f aca="false">F8/E8</f>
        <v>0.790087251040396</v>
      </c>
      <c r="R8" s="11" t="n">
        <f aca="false">G8/E8</f>
        <v>0.734103262892205</v>
      </c>
      <c r="S8" s="11" t="n">
        <f aca="false">H8/E8</f>
        <v>0.0234531125115949</v>
      </c>
      <c r="T8" s="11" t="n">
        <f aca="false">K8/E8</f>
        <v>0.0115268701069835</v>
      </c>
      <c r="U8" s="11" t="n">
        <f aca="false">N8/E8</f>
        <v>0.034671983417323</v>
      </c>
      <c r="V8" s="11" t="n">
        <f aca="false">E8/E$13</f>
        <v>0.168737977337801</v>
      </c>
      <c r="X8" s="10" t="n">
        <v>19023.68</v>
      </c>
      <c r="Y8" s="12" t="n">
        <f aca="false">E8-X8</f>
        <v>456.889999999999</v>
      </c>
      <c r="Z8" s="13" t="str">
        <f aca="false">TEXT(18805.15,"#,##0.00")&amp;" / "&amp;TEXT(E8-18805.15,"+#,##0.00;-#,##0.00")</f>
        <v>18,805.15 / +675.42</v>
      </c>
      <c r="AA8" s="12" t="n">
        <f aca="false">H8-Y8</f>
        <v>-0.00999999999942247</v>
      </c>
    </row>
    <row r="9" customFormat="false" ht="15" hidden="false" customHeight="false" outlineLevel="0" collapsed="false">
      <c r="A9" s="9" t="n">
        <v>3</v>
      </c>
      <c r="B9" s="9" t="s">
        <v>60</v>
      </c>
      <c r="C9" s="14" t="s">
        <v>61</v>
      </c>
      <c r="D9" s="14" t="s">
        <v>64</v>
      </c>
      <c r="E9" s="10" t="n">
        <v>25519.48</v>
      </c>
      <c r="F9" s="10" t="n">
        <v>19224.97</v>
      </c>
      <c r="G9" s="10" t="n">
        <v>14550.17</v>
      </c>
      <c r="H9" s="10" t="n">
        <v>384.7</v>
      </c>
      <c r="I9" s="10" t="n">
        <v>75.76</v>
      </c>
      <c r="J9" s="10" t="n">
        <v>72.68</v>
      </c>
      <c r="K9" s="10" t="n">
        <v>184.87</v>
      </c>
      <c r="L9" s="10" t="n">
        <v>494</v>
      </c>
      <c r="M9" s="10" t="n">
        <v>355.52</v>
      </c>
      <c r="N9" s="10" t="n">
        <v>453.95</v>
      </c>
      <c r="O9" s="10" t="n">
        <v>272.02</v>
      </c>
      <c r="P9" s="10" t="n">
        <v>276.46</v>
      </c>
      <c r="Q9" s="11" t="n">
        <f aca="false">F9/E9</f>
        <v>0.75334489574239</v>
      </c>
      <c r="R9" s="11" t="n">
        <f aca="false">G9/E9</f>
        <v>0.570159344939631</v>
      </c>
      <c r="S9" s="11" t="n">
        <f aca="false">H9/E9</f>
        <v>0.0150747585765854</v>
      </c>
      <c r="T9" s="11" t="n">
        <f aca="false">K9/E9</f>
        <v>0.00724426986756784</v>
      </c>
      <c r="U9" s="11" t="n">
        <f aca="false">N9/E9</f>
        <v>0.0177883718633765</v>
      </c>
      <c r="V9" s="11" t="n">
        <f aca="false">E9/E$13</f>
        <v>0.221046172566433</v>
      </c>
      <c r="W9" s="12" t="n">
        <f aca="false">E9-E7-E8</f>
        <v>0</v>
      </c>
    </row>
    <row r="10" customFormat="false" ht="15" hidden="false" customHeight="false" outlineLevel="0" collapsed="false">
      <c r="A10" s="9" t="n">
        <v>4</v>
      </c>
      <c r="B10" s="9" t="s">
        <v>60</v>
      </c>
      <c r="C10" s="9" t="s">
        <v>65</v>
      </c>
      <c r="D10" s="9" t="s">
        <v>66</v>
      </c>
      <c r="E10" s="10" t="n">
        <v>89901.29</v>
      </c>
      <c r="F10" s="10" t="n">
        <v>44854.51</v>
      </c>
      <c r="G10" s="10" t="n">
        <v>29867.57</v>
      </c>
      <c r="H10" s="10" t="n">
        <v>20186.72</v>
      </c>
      <c r="I10" s="10" t="n">
        <v>901.88</v>
      </c>
      <c r="J10" s="10" t="n">
        <v>344.19</v>
      </c>
      <c r="K10" s="10" t="n">
        <v>27858.44</v>
      </c>
      <c r="L10" s="10" t="n">
        <v>1665.79</v>
      </c>
      <c r="M10" s="10" t="n">
        <v>747.89</v>
      </c>
      <c r="N10" s="10" t="n">
        <v>31897.74</v>
      </c>
      <c r="O10" s="10" t="n">
        <v>4771.55</v>
      </c>
      <c r="P10" s="10" t="n">
        <v>2645.73</v>
      </c>
      <c r="Q10" s="11" t="n">
        <f aca="false">F10/E10</f>
        <v>0.498930660505539</v>
      </c>
      <c r="R10" s="11" t="n">
        <f aca="false">G10/E10</f>
        <v>0.332226267276031</v>
      </c>
      <c r="S10" s="11" t="n">
        <f aca="false">H10/E10</f>
        <v>0.224543162840044</v>
      </c>
      <c r="T10" s="11" t="n">
        <f aca="false">K10/E10</f>
        <v>0.309878089624743</v>
      </c>
      <c r="U10" s="11" t="n">
        <f aca="false">N10/E10</f>
        <v>0.354808479388894</v>
      </c>
      <c r="V10" s="11" t="n">
        <f aca="false">E10/E$13</f>
        <v>0.778712421384955</v>
      </c>
      <c r="X10" s="10" t="n">
        <v>69714.57</v>
      </c>
      <c r="Y10" s="12" t="n">
        <f aca="false">E10-X10</f>
        <v>20186.72</v>
      </c>
      <c r="Z10" s="13" t="str">
        <f aca="false">TEXT(58003.56,"#,##0.00")&amp;" / "&amp;TEXT(E10-58003.56,"+#,##0.00;-#,##0.00")</f>
        <v>58,003.56 / +31,897.73</v>
      </c>
      <c r="AA10" s="12" t="n">
        <f aca="false">H10-Y10</f>
        <v>0</v>
      </c>
    </row>
    <row r="11" customFormat="false" ht="15" hidden="false" customHeight="false" outlineLevel="0" collapsed="false">
      <c r="A11" s="9" t="n">
        <v>5</v>
      </c>
      <c r="B11" s="9" t="s">
        <v>60</v>
      </c>
      <c r="C11" s="9" t="s">
        <v>65</v>
      </c>
      <c r="D11" s="9" t="s">
        <v>67</v>
      </c>
      <c r="E11" s="10" t="n">
        <v>27.87</v>
      </c>
      <c r="F11" s="10" t="n">
        <v>24.16</v>
      </c>
      <c r="G11" s="10" t="n">
        <v>8.74</v>
      </c>
      <c r="H11" s="10" t="n">
        <v>-3.58</v>
      </c>
      <c r="I11" s="10" t="n">
        <v>4.72</v>
      </c>
      <c r="J11" s="10" t="n">
        <v>0.34</v>
      </c>
      <c r="K11" s="10" t="n">
        <v>6.55</v>
      </c>
      <c r="L11" s="10" t="n">
        <v>2.85</v>
      </c>
      <c r="M11" s="10" t="n">
        <v>-0.81</v>
      </c>
      <c r="N11" s="10" t="n">
        <v>-1.96</v>
      </c>
      <c r="O11" s="10" t="n">
        <v>-5.67</v>
      </c>
      <c r="P11" s="10" t="n">
        <v>-0.35</v>
      </c>
      <c r="Q11" s="11" t="n">
        <f aca="false">F11/E11</f>
        <v>0.866881951919627</v>
      </c>
      <c r="R11" s="11" t="n">
        <f aca="false">G11/E11</f>
        <v>0.313598851811984</v>
      </c>
      <c r="S11" s="11" t="n">
        <f aca="false">H11/E11</f>
        <v>-0.128453534266236</v>
      </c>
      <c r="T11" s="11" t="n">
        <f aca="false">K11/E11</f>
        <v>0.235019734481521</v>
      </c>
      <c r="U11" s="11" t="n">
        <f aca="false">N11/E11</f>
        <v>-0.0703265159669896</v>
      </c>
      <c r="V11" s="11" t="n">
        <f aca="false">E11/E$13</f>
        <v>0.000241406048611746</v>
      </c>
      <c r="X11" s="10" t="n">
        <v>31.44</v>
      </c>
      <c r="Y11" s="12" t="n">
        <f aca="false">E11-X11</f>
        <v>-3.57</v>
      </c>
      <c r="Z11" s="13" t="str">
        <f aca="false">TEXT(29.83,"#,##0.00")&amp;" / "&amp;TEXT(E11-29.83,"+#,##0.00;-#,##0.00")</f>
        <v>29.83 / -1.96</v>
      </c>
      <c r="AA11" s="12" t="n">
        <f aca="false">H11-Y11</f>
        <v>-0.00999999999999979</v>
      </c>
    </row>
    <row r="12" customFormat="false" ht="15" hidden="false" customHeight="false" outlineLevel="0" collapsed="false">
      <c r="A12" s="9" t="n">
        <v>6</v>
      </c>
      <c r="B12" s="9" t="s">
        <v>60</v>
      </c>
      <c r="C12" s="14" t="s">
        <v>65</v>
      </c>
      <c r="D12" s="14" t="s">
        <v>64</v>
      </c>
      <c r="E12" s="10" t="n">
        <v>89929.16</v>
      </c>
      <c r="F12" s="10" t="n">
        <v>44878.68</v>
      </c>
      <c r="G12" s="10" t="n">
        <v>29876.3</v>
      </c>
      <c r="H12" s="10" t="n">
        <v>20183.15</v>
      </c>
      <c r="I12" s="10" t="n">
        <v>906.6</v>
      </c>
      <c r="J12" s="10" t="n">
        <v>344.53</v>
      </c>
      <c r="K12" s="10" t="n">
        <v>27865</v>
      </c>
      <c r="L12" s="10" t="n">
        <v>1668.64</v>
      </c>
      <c r="M12" s="10" t="n">
        <v>747.08</v>
      </c>
      <c r="N12" s="10" t="n">
        <v>31895.78</v>
      </c>
      <c r="O12" s="10" t="n">
        <v>4765.89</v>
      </c>
      <c r="P12" s="10" t="n">
        <v>2645.38</v>
      </c>
      <c r="Q12" s="11" t="n">
        <f aca="false">F12/E12</f>
        <v>0.499044803709942</v>
      </c>
      <c r="R12" s="11" t="n">
        <f aca="false">G12/E12</f>
        <v>0.332220383243878</v>
      </c>
      <c r="S12" s="11" t="n">
        <f aca="false">H12/E12</f>
        <v>0.22443387662022</v>
      </c>
      <c r="T12" s="11" t="n">
        <f aca="false">K12/E12</f>
        <v>0.309855001425567</v>
      </c>
      <c r="U12" s="11" t="n">
        <f aca="false">N12/E12</f>
        <v>0.354676725547086</v>
      </c>
      <c r="V12" s="11" t="n">
        <f aca="false">E12/E$13</f>
        <v>0.778953827433567</v>
      </c>
      <c r="W12" s="12" t="n">
        <f aca="false">E12-E10-E11</f>
        <v>9.8943075954594E-012</v>
      </c>
    </row>
    <row r="13" customFormat="false" ht="15" hidden="false" customHeight="false" outlineLevel="0" collapsed="false">
      <c r="A13" s="9" t="n">
        <v>7</v>
      </c>
      <c r="B13" s="9" t="s">
        <v>60</v>
      </c>
      <c r="C13" s="14" t="s">
        <v>68</v>
      </c>
      <c r="D13" s="14" t="s">
        <v>68</v>
      </c>
      <c r="E13" s="10" t="n">
        <v>115448.64</v>
      </c>
      <c r="F13" s="10" t="n">
        <v>64103.64</v>
      </c>
      <c r="G13" s="10" t="n">
        <v>44426.48</v>
      </c>
      <c r="H13" s="10" t="n">
        <v>20567.85</v>
      </c>
      <c r="I13" s="10" t="n">
        <v>982.36</v>
      </c>
      <c r="J13" s="10" t="n">
        <v>417.21</v>
      </c>
      <c r="K13" s="10" t="n">
        <v>28049.87</v>
      </c>
      <c r="L13" s="10" t="n">
        <v>2162.64</v>
      </c>
      <c r="M13" s="10" t="n">
        <v>1102.6</v>
      </c>
      <c r="N13" s="10" t="n">
        <v>32349.73</v>
      </c>
      <c r="O13" s="10" t="n">
        <v>5037.91</v>
      </c>
      <c r="P13" s="10" t="n">
        <v>2921.84</v>
      </c>
      <c r="Q13" s="11" t="n">
        <f aca="false">F13/E13</f>
        <v>0.555256779118403</v>
      </c>
      <c r="R13" s="11" t="n">
        <f aca="false">G13/E13</f>
        <v>0.384815966649759</v>
      </c>
      <c r="S13" s="11" t="n">
        <f aca="false">H13/E13</f>
        <v>0.17815584488479</v>
      </c>
      <c r="T13" s="11" t="n">
        <f aca="false">K13/E13</f>
        <v>0.242964057437143</v>
      </c>
      <c r="U13" s="11" t="n">
        <f aca="false">N13/E13</f>
        <v>0.280208844383095</v>
      </c>
      <c r="V13" s="11" t="n">
        <f aca="false">E13/E$13</f>
        <v>1</v>
      </c>
      <c r="W13" s="12" t="n">
        <f aca="false">E13-(E9+E12)</f>
        <v>0</v>
      </c>
      <c r="X13" s="10" t="n">
        <v>94880.79</v>
      </c>
      <c r="Y13" s="12" t="n">
        <f aca="false">E13-X13</f>
        <v>20567.85</v>
      </c>
      <c r="Z13" s="13" t="str">
        <f aca="false">TEXT(83098.91,"#,##0.00")&amp;" / "&amp;TEXT(E13-83098.91,"+#,##0.00;-#,##0.00")</f>
        <v>83,098.91 / +32,349.73</v>
      </c>
      <c r="AA13" s="12" t="n">
        <f aca="false">H13-Y13</f>
        <v>0</v>
      </c>
    </row>
    <row r="14" customFormat="false" ht="15" hidden="false" customHeight="false" outlineLevel="0" collapsed="false">
      <c r="A14" s="9" t="n">
        <v>8</v>
      </c>
      <c r="B14" s="9" t="s">
        <v>69</v>
      </c>
      <c r="C14" s="9" t="s">
        <v>70</v>
      </c>
      <c r="D14" s="9" t="s">
        <v>61</v>
      </c>
      <c r="E14" s="10" t="n">
        <v>14924.43</v>
      </c>
      <c r="F14" s="10" t="n">
        <v>10230.92</v>
      </c>
      <c r="G14" s="10" t="n">
        <v>7800.87</v>
      </c>
      <c r="H14" s="10" t="n">
        <v>260.01</v>
      </c>
      <c r="I14" s="10" t="n">
        <v>-31.57</v>
      </c>
      <c r="J14" s="10" t="n">
        <v>-25.97</v>
      </c>
      <c r="K14" s="10" t="n">
        <v>242.92</v>
      </c>
      <c r="L14" s="10" t="n">
        <v>118.92</v>
      </c>
      <c r="M14" s="10" t="n">
        <v>82.7</v>
      </c>
      <c r="N14" s="10" t="n">
        <v>397.43</v>
      </c>
      <c r="O14" s="10" t="n">
        <v>-103.72</v>
      </c>
      <c r="P14" s="10" t="n">
        <v>-104.98</v>
      </c>
      <c r="Q14" s="11" t="n">
        <f aca="false">F14/E14</f>
        <v>0.685514957690177</v>
      </c>
      <c r="R14" s="11" t="n">
        <f aca="false">G14/E14</f>
        <v>0.522691318864439</v>
      </c>
      <c r="S14" s="11" t="n">
        <f aca="false">H14/E14</f>
        <v>0.017421770881702</v>
      </c>
      <c r="T14" s="11" t="n">
        <f aca="false">K14/E14</f>
        <v>0.0162766685226839</v>
      </c>
      <c r="U14" s="11" t="n">
        <f aca="false">N14/E14</f>
        <v>0.0266294927176448</v>
      </c>
      <c r="V14" s="11" t="n">
        <f aca="false">E14/E$13</f>
        <v>0.129273328815307</v>
      </c>
    </row>
    <row r="15" customFormat="false" ht="15" hidden="false" customHeight="false" outlineLevel="0" collapsed="false">
      <c r="A15" s="9" t="n">
        <v>9</v>
      </c>
      <c r="B15" s="9" t="s">
        <v>69</v>
      </c>
      <c r="C15" s="9" t="s">
        <v>70</v>
      </c>
      <c r="D15" s="9" t="s">
        <v>65</v>
      </c>
      <c r="E15" s="10" t="n">
        <v>53845.06</v>
      </c>
      <c r="F15" s="10" t="n">
        <v>25144.63</v>
      </c>
      <c r="G15" s="10" t="n">
        <v>17077.59</v>
      </c>
      <c r="H15" s="10" t="n">
        <v>19011.3</v>
      </c>
      <c r="I15" s="10" t="n">
        <v>550.09</v>
      </c>
      <c r="J15" s="10" t="n">
        <v>151.85</v>
      </c>
      <c r="K15" s="10" t="n">
        <v>26910.99</v>
      </c>
      <c r="L15" s="10" t="n">
        <v>807.69</v>
      </c>
      <c r="M15" s="10" t="n">
        <v>284.87</v>
      </c>
      <c r="N15" s="10" t="n">
        <v>28979.06</v>
      </c>
      <c r="O15" s="10" t="n">
        <v>2487.81</v>
      </c>
      <c r="P15" s="10" t="n">
        <v>1303.3</v>
      </c>
      <c r="Q15" s="11" t="n">
        <f aca="false">F15/E15</f>
        <v>0.466981186389244</v>
      </c>
      <c r="R15" s="11" t="n">
        <f aca="false">G15/E15</f>
        <v>0.317161685770245</v>
      </c>
      <c r="S15" s="11" t="n">
        <f aca="false">H15/E15</f>
        <v>0.353074172449618</v>
      </c>
      <c r="T15" s="11" t="n">
        <f aca="false">K15/E15</f>
        <v>0.499785681360556</v>
      </c>
      <c r="U15" s="11" t="n">
        <f aca="false">N15/E15</f>
        <v>0.538193475873181</v>
      </c>
      <c r="V15" s="11" t="n">
        <f aca="false">E15/E$13</f>
        <v>0.466398391527176</v>
      </c>
    </row>
    <row r="16" customFormat="false" ht="15" hidden="false" customHeight="false" outlineLevel="0" collapsed="false">
      <c r="A16" s="9" t="n">
        <v>10</v>
      </c>
      <c r="B16" s="9" t="s">
        <v>69</v>
      </c>
      <c r="C16" s="14" t="s">
        <v>70</v>
      </c>
      <c r="D16" s="14" t="s">
        <v>64</v>
      </c>
      <c r="E16" s="10" t="n">
        <v>68769.49</v>
      </c>
      <c r="F16" s="10" t="n">
        <v>35375.55</v>
      </c>
      <c r="G16" s="10" t="n">
        <v>24878.46</v>
      </c>
      <c r="H16" s="10" t="n">
        <v>19271.31</v>
      </c>
      <c r="I16" s="10" t="n">
        <v>518.52</v>
      </c>
      <c r="J16" s="10" t="n">
        <v>125.88</v>
      </c>
      <c r="K16" s="10" t="n">
        <v>27153.91</v>
      </c>
      <c r="L16" s="10" t="n">
        <v>926.61</v>
      </c>
      <c r="M16" s="10" t="n">
        <v>367.57</v>
      </c>
      <c r="N16" s="10" t="n">
        <v>29376.49</v>
      </c>
      <c r="O16" s="10" t="n">
        <v>2384.09</v>
      </c>
      <c r="P16" s="10" t="n">
        <v>1198.32</v>
      </c>
      <c r="Q16" s="11" t="n">
        <f aca="false">F16/E16</f>
        <v>0.514407624660296</v>
      </c>
      <c r="R16" s="11" t="n">
        <f aca="false">G16/E16</f>
        <v>0.361765951732374</v>
      </c>
      <c r="S16" s="11" t="n">
        <f aca="false">H16/E16</f>
        <v>0.280230520831258</v>
      </c>
      <c r="T16" s="11" t="n">
        <f aca="false">K16/E16</f>
        <v>0.394854026109544</v>
      </c>
      <c r="U16" s="11" t="n">
        <f aca="false">N16/E16</f>
        <v>0.427173300252772</v>
      </c>
      <c r="V16" s="11" t="n">
        <f aca="false">E16/E$13</f>
        <v>0.595671720342483</v>
      </c>
      <c r="W16" s="12" t="n">
        <f aca="false">E16-E14-E15</f>
        <v>0</v>
      </c>
      <c r="X16" s="10" t="n">
        <v>49498.19</v>
      </c>
      <c r="Y16" s="12" t="n">
        <f aca="false">E16-X16</f>
        <v>19271.3</v>
      </c>
      <c r="Z16" s="13" t="str">
        <f aca="false">TEXT(39393,"#,##0.00")&amp;" / "&amp;TEXT(E16-39393,"+#,##0.00;-#,##0.00")</f>
        <v>39,393.00 / +29,376.49</v>
      </c>
      <c r="AA16" s="12" t="n">
        <f aca="false">H16-Y16</f>
        <v>0.00999999999839929</v>
      </c>
    </row>
    <row r="17" customFormat="false" ht="15" hidden="false" customHeight="false" outlineLevel="0" collapsed="false">
      <c r="A17" s="9" t="n">
        <v>11</v>
      </c>
      <c r="B17" s="9" t="s">
        <v>69</v>
      </c>
      <c r="C17" s="9" t="s">
        <v>71</v>
      </c>
      <c r="D17" s="9" t="s">
        <v>61</v>
      </c>
      <c r="E17" s="10" t="n">
        <v>3627.04</v>
      </c>
      <c r="F17" s="10" t="n">
        <v>3225.72</v>
      </c>
      <c r="G17" s="10" t="n">
        <v>2656.42</v>
      </c>
      <c r="H17" s="10" t="n">
        <v>47.05</v>
      </c>
      <c r="I17" s="10" t="n">
        <v>-22.4</v>
      </c>
      <c r="J17" s="10" t="n">
        <v>-15.5</v>
      </c>
      <c r="K17" s="10" t="n">
        <v>178.49</v>
      </c>
      <c r="L17" s="10" t="n">
        <v>45.02</v>
      </c>
      <c r="M17" s="10" t="n">
        <v>39.92</v>
      </c>
      <c r="N17" s="10" t="n">
        <v>200.77</v>
      </c>
      <c r="O17" s="10" t="n">
        <v>60.34</v>
      </c>
      <c r="P17" s="10" t="n">
        <v>80.32</v>
      </c>
      <c r="Q17" s="11" t="n">
        <f aca="false">F17/E17</f>
        <v>0.889353301865984</v>
      </c>
      <c r="R17" s="11" t="n">
        <f aca="false">G17/E17</f>
        <v>0.732393356566236</v>
      </c>
      <c r="S17" s="11" t="n">
        <f aca="false">H17/E17</f>
        <v>0.0129720102342406</v>
      </c>
      <c r="T17" s="11" t="n">
        <f aca="false">K17/E17</f>
        <v>0.0492109268163571</v>
      </c>
      <c r="U17" s="11" t="n">
        <f aca="false">N17/E17</f>
        <v>0.0553536768273854</v>
      </c>
      <c r="V17" s="11" t="n">
        <f aca="false">E17/E$13</f>
        <v>0.0314169140493989</v>
      </c>
    </row>
    <row r="18" customFormat="false" ht="15" hidden="false" customHeight="false" outlineLevel="0" collapsed="false">
      <c r="A18" s="9" t="n">
        <v>12</v>
      </c>
      <c r="B18" s="9" t="s">
        <v>69</v>
      </c>
      <c r="C18" s="9" t="s">
        <v>71</v>
      </c>
      <c r="D18" s="9" t="s">
        <v>65</v>
      </c>
      <c r="E18" s="10" t="n">
        <v>7694.87</v>
      </c>
      <c r="F18" s="10" t="n">
        <v>6491.73</v>
      </c>
      <c r="G18" s="10" t="n">
        <v>5165.84</v>
      </c>
      <c r="H18" s="10" t="n">
        <v>719.8</v>
      </c>
      <c r="I18" s="10" t="n">
        <v>72.57</v>
      </c>
      <c r="J18" s="10" t="n">
        <v>47.25</v>
      </c>
      <c r="K18" s="10" t="n">
        <v>1204.28</v>
      </c>
      <c r="L18" s="10" t="n">
        <v>197.65</v>
      </c>
      <c r="M18" s="10" t="n">
        <v>123.58</v>
      </c>
      <c r="N18" s="10" t="n">
        <v>1702.66</v>
      </c>
      <c r="O18" s="10" t="n">
        <v>671.48</v>
      </c>
      <c r="P18" s="10" t="n">
        <v>492.65</v>
      </c>
      <c r="Q18" s="11" t="n">
        <f aca="false">F18/E18</f>
        <v>0.843643882222832</v>
      </c>
      <c r="R18" s="11" t="n">
        <f aca="false">G18/E18</f>
        <v>0.671335578118929</v>
      </c>
      <c r="S18" s="11" t="n">
        <f aca="false">H18/E18</f>
        <v>0.093542840879703</v>
      </c>
      <c r="T18" s="11" t="n">
        <f aca="false">K18/E18</f>
        <v>0.156504268428187</v>
      </c>
      <c r="U18" s="11" t="n">
        <f aca="false">N18/E18</f>
        <v>0.2212720942654</v>
      </c>
      <c r="V18" s="11" t="n">
        <f aca="false">E18/E$13</f>
        <v>0.0666518895328693</v>
      </c>
    </row>
    <row r="19" customFormat="false" ht="15" hidden="false" customHeight="false" outlineLevel="0" collapsed="false">
      <c r="A19" s="9" t="n">
        <v>13</v>
      </c>
      <c r="B19" s="9" t="s">
        <v>69</v>
      </c>
      <c r="C19" s="14" t="s">
        <v>71</v>
      </c>
      <c r="D19" s="14" t="s">
        <v>64</v>
      </c>
      <c r="E19" s="10" t="n">
        <v>11321.92</v>
      </c>
      <c r="F19" s="10" t="n">
        <v>9717.45</v>
      </c>
      <c r="G19" s="10" t="n">
        <v>7822.27</v>
      </c>
      <c r="H19" s="10" t="n">
        <v>766.84</v>
      </c>
      <c r="I19" s="10" t="n">
        <v>50.17</v>
      </c>
      <c r="J19" s="10" t="n">
        <v>31.75</v>
      </c>
      <c r="K19" s="10" t="n">
        <v>1382.77</v>
      </c>
      <c r="L19" s="10" t="n">
        <v>242.67</v>
      </c>
      <c r="M19" s="10" t="n">
        <v>163.5</v>
      </c>
      <c r="N19" s="10" t="n">
        <v>1903.43</v>
      </c>
      <c r="O19" s="10" t="n">
        <v>731.82</v>
      </c>
      <c r="P19" s="10" t="n">
        <v>572.97</v>
      </c>
      <c r="Q19" s="11" t="n">
        <f aca="false">F19/E19</f>
        <v>0.858286403719511</v>
      </c>
      <c r="R19" s="11" t="n">
        <f aca="false">G19/E19</f>
        <v>0.69089606709816</v>
      </c>
      <c r="S19" s="11" t="n">
        <f aca="false">H19/E19</f>
        <v>0.0677305616008592</v>
      </c>
      <c r="T19" s="11" t="n">
        <f aca="false">K19/E19</f>
        <v>0.122132111867952</v>
      </c>
      <c r="U19" s="11" t="n">
        <f aca="false">N19/E19</f>
        <v>0.168119011616404</v>
      </c>
      <c r="V19" s="11" t="n">
        <f aca="false">E19/E$13</f>
        <v>0.098068890200872</v>
      </c>
      <c r="W19" s="12" t="n">
        <f aca="false">E19-E17-E18</f>
        <v>0.0100000000002183</v>
      </c>
      <c r="X19" s="10" t="n">
        <v>10555.07</v>
      </c>
      <c r="Y19" s="12" t="n">
        <f aca="false">E19-X19</f>
        <v>766.85</v>
      </c>
      <c r="Z19" s="13" t="str">
        <f aca="false">TEXT(9418.5,"#,##0.00")&amp;" / "&amp;TEXT(E19-9418.5,"+#,##0.00;-#,##0.00")</f>
        <v>9,418.50 / +1,903.42</v>
      </c>
      <c r="AA19" s="12" t="n">
        <f aca="false">H19-Y19</f>
        <v>-0.010000000000332</v>
      </c>
    </row>
    <row r="20" customFormat="false" ht="15" hidden="false" customHeight="false" outlineLevel="0" collapsed="false">
      <c r="A20" s="9" t="n">
        <v>14</v>
      </c>
      <c r="B20" s="9" t="s">
        <v>69</v>
      </c>
      <c r="C20" s="9" t="s">
        <v>72</v>
      </c>
      <c r="D20" s="9" t="s">
        <v>61</v>
      </c>
      <c r="E20" s="10" t="n">
        <v>2113.2</v>
      </c>
      <c r="F20" s="10" t="n">
        <v>1945.75</v>
      </c>
      <c r="G20" s="10" t="n">
        <v>1382.61</v>
      </c>
      <c r="H20" s="10" t="n">
        <v>22.2</v>
      </c>
      <c r="I20" s="10" t="n">
        <v>14.7</v>
      </c>
      <c r="J20" s="10" t="n">
        <v>16.35</v>
      </c>
      <c r="K20" s="10" t="n">
        <v>-14.19</v>
      </c>
      <c r="L20" s="10" t="n">
        <v>37.2</v>
      </c>
      <c r="M20" s="10" t="n">
        <v>32.12</v>
      </c>
      <c r="N20" s="10" t="n">
        <v>104.41</v>
      </c>
      <c r="O20" s="10" t="n">
        <v>37.91</v>
      </c>
      <c r="P20" s="10" t="n">
        <v>52.1</v>
      </c>
      <c r="Q20" s="11" t="n">
        <f aca="false">F20/E20</f>
        <v>0.920759984857089</v>
      </c>
      <c r="R20" s="11" t="n">
        <f aca="false">G20/E20</f>
        <v>0.654273140261215</v>
      </c>
      <c r="S20" s="11" t="n">
        <f aca="false">H20/E20</f>
        <v>0.0105053946621238</v>
      </c>
      <c r="T20" s="11" t="n">
        <f aca="false">K20/E20</f>
        <v>-0.00671493469619534</v>
      </c>
      <c r="U20" s="11" t="n">
        <f aca="false">N20/E20</f>
        <v>0.0494084800302858</v>
      </c>
      <c r="V20" s="11" t="n">
        <f aca="false">E20/E$13</f>
        <v>0.0183042433414547</v>
      </c>
    </row>
    <row r="21" customFormat="false" ht="15" hidden="false" customHeight="false" outlineLevel="0" collapsed="false">
      <c r="A21" s="9" t="n">
        <v>15</v>
      </c>
      <c r="B21" s="9" t="s">
        <v>69</v>
      </c>
      <c r="C21" s="9" t="s">
        <v>72</v>
      </c>
      <c r="D21" s="9" t="s">
        <v>65</v>
      </c>
      <c r="E21" s="10" t="n">
        <v>6651.08</v>
      </c>
      <c r="F21" s="10" t="n">
        <v>5239.76</v>
      </c>
      <c r="G21" s="10" t="n">
        <v>4199.26</v>
      </c>
      <c r="H21" s="10" t="n">
        <v>599.98</v>
      </c>
      <c r="I21" s="10" t="n">
        <v>15.39</v>
      </c>
      <c r="J21" s="10" t="n">
        <v>2.75</v>
      </c>
      <c r="K21" s="10" t="n">
        <v>793.85</v>
      </c>
      <c r="L21" s="10" t="n">
        <v>102.82</v>
      </c>
      <c r="M21" s="10" t="n">
        <v>59.29</v>
      </c>
      <c r="N21" s="10" t="n">
        <v>1183.57</v>
      </c>
      <c r="O21" s="10" t="n">
        <v>404.1</v>
      </c>
      <c r="P21" s="10" t="n">
        <v>221.83</v>
      </c>
      <c r="Q21" s="11" t="n">
        <f aca="false">F21/E21</f>
        <v>0.78780589017122</v>
      </c>
      <c r="R21" s="11" t="n">
        <f aca="false">G21/E21</f>
        <v>0.631365131677863</v>
      </c>
      <c r="S21" s="11" t="n">
        <f aca="false">H21/E21</f>
        <v>0.0902079060844254</v>
      </c>
      <c r="T21" s="11" t="n">
        <f aca="false">K21/E21</f>
        <v>0.119356555627056</v>
      </c>
      <c r="U21" s="11" t="n">
        <f aca="false">N21/E21</f>
        <v>0.177951550725596</v>
      </c>
      <c r="V21" s="11" t="n">
        <f aca="false">E21/E$13</f>
        <v>0.0576107262935276</v>
      </c>
    </row>
    <row r="22" customFormat="false" ht="15" hidden="false" customHeight="false" outlineLevel="0" collapsed="false">
      <c r="A22" s="9" t="n">
        <v>16</v>
      </c>
      <c r="B22" s="9" t="s">
        <v>69</v>
      </c>
      <c r="C22" s="14" t="s">
        <v>72</v>
      </c>
      <c r="D22" s="14" t="s">
        <v>64</v>
      </c>
      <c r="E22" s="10" t="n">
        <v>8764.28</v>
      </c>
      <c r="F22" s="10" t="n">
        <v>7185.51</v>
      </c>
      <c r="G22" s="10" t="n">
        <v>5581.86</v>
      </c>
      <c r="H22" s="10" t="n">
        <v>622.18</v>
      </c>
      <c r="I22" s="10" t="n">
        <v>30.09</v>
      </c>
      <c r="J22" s="10" t="n">
        <v>19.1</v>
      </c>
      <c r="K22" s="10" t="n">
        <v>779.66</v>
      </c>
      <c r="L22" s="10" t="n">
        <v>140.02</v>
      </c>
      <c r="M22" s="10" t="n">
        <v>91.41</v>
      </c>
      <c r="N22" s="10" t="n">
        <v>1287.98</v>
      </c>
      <c r="O22" s="10" t="n">
        <v>442.01</v>
      </c>
      <c r="P22" s="10" t="n">
        <v>273.92</v>
      </c>
      <c r="Q22" s="11" t="n">
        <f aca="false">F22/E22</f>
        <v>0.819863126235127</v>
      </c>
      <c r="R22" s="11" t="n">
        <f aca="false">G22/E22</f>
        <v>0.636887456813338</v>
      </c>
      <c r="S22" s="11" t="n">
        <f aca="false">H22/E22</f>
        <v>0.0709904293336132</v>
      </c>
      <c r="T22" s="11" t="n">
        <f aca="false">K22/E22</f>
        <v>0.0889588192070541</v>
      </c>
      <c r="U22" s="11" t="n">
        <f aca="false">N22/E22</f>
        <v>0.146957879027142</v>
      </c>
      <c r="V22" s="11" t="n">
        <f aca="false">E22/E$13</f>
        <v>0.0759149696349823</v>
      </c>
      <c r="W22" s="12" t="n">
        <f aca="false">E22-E20-E21</f>
        <v>0</v>
      </c>
      <c r="X22" s="10" t="n">
        <v>8142.09</v>
      </c>
      <c r="Y22" s="12" t="n">
        <f aca="false">E22-X22</f>
        <v>622.190000000001</v>
      </c>
      <c r="Z22" s="13" t="str">
        <f aca="false">TEXT(7476.31,"#,##0.00")&amp;" / "&amp;TEXT(E22-7476.31,"+#,##0.00;-#,##0.00")</f>
        <v>7,476.31 / +1,287.97</v>
      </c>
      <c r="AA22" s="12" t="n">
        <f aca="false">H22-Y22</f>
        <v>-0.0100000000005593</v>
      </c>
    </row>
    <row r="23" customFormat="false" ht="15" hidden="false" customHeight="false" outlineLevel="0" collapsed="false">
      <c r="A23" s="9" t="n">
        <v>17</v>
      </c>
      <c r="B23" s="9" t="s">
        <v>69</v>
      </c>
      <c r="C23" s="9" t="s">
        <v>73</v>
      </c>
      <c r="D23" s="9" t="s">
        <v>61</v>
      </c>
      <c r="E23" s="10" t="n">
        <v>4854.81</v>
      </c>
      <c r="F23" s="10" t="n">
        <v>3822.58</v>
      </c>
      <c r="G23" s="10" t="n">
        <v>2710.27</v>
      </c>
      <c r="H23" s="10" t="n">
        <v>55.45</v>
      </c>
      <c r="I23" s="10" t="n">
        <v>115.03</v>
      </c>
      <c r="J23" s="10" t="n">
        <v>97.8</v>
      </c>
      <c r="K23" s="10" t="n">
        <v>-222.35</v>
      </c>
      <c r="L23" s="10" t="n">
        <v>292.85</v>
      </c>
      <c r="M23" s="10" t="n">
        <v>200.78</v>
      </c>
      <c r="N23" s="10" t="n">
        <v>-248.66</v>
      </c>
      <c r="O23" s="10" t="n">
        <v>277.49</v>
      </c>
      <c r="P23" s="10" t="n">
        <v>249.03</v>
      </c>
      <c r="Q23" s="11" t="n">
        <f aca="false">F23/E23</f>
        <v>0.787379938658773</v>
      </c>
      <c r="R23" s="11" t="n">
        <f aca="false">G23/E23</f>
        <v>0.558264896051545</v>
      </c>
      <c r="S23" s="11" t="n">
        <f aca="false">H23/E23</f>
        <v>0.01142166222777</v>
      </c>
      <c r="T23" s="11" t="n">
        <f aca="false">K23/E23</f>
        <v>-0.0457999386175772</v>
      </c>
      <c r="U23" s="11" t="n">
        <f aca="false">N23/E23</f>
        <v>-0.0512193062138374</v>
      </c>
      <c r="V23" s="11" t="n">
        <f aca="false">E23/E$13</f>
        <v>0.0420516863602724</v>
      </c>
    </row>
    <row r="24" customFormat="false" ht="15" hidden="false" customHeight="false" outlineLevel="0" collapsed="false">
      <c r="A24" s="9" t="n">
        <v>18</v>
      </c>
      <c r="B24" s="9" t="s">
        <v>69</v>
      </c>
      <c r="C24" s="9" t="s">
        <v>73</v>
      </c>
      <c r="D24" s="9" t="s">
        <v>65</v>
      </c>
      <c r="E24" s="10" t="n">
        <v>21738.15</v>
      </c>
      <c r="F24" s="10" t="n">
        <v>8002.56</v>
      </c>
      <c r="G24" s="10" t="n">
        <v>3433.62</v>
      </c>
      <c r="H24" s="10" t="n">
        <v>-147.93</v>
      </c>
      <c r="I24" s="10" t="n">
        <v>268.55</v>
      </c>
      <c r="J24" s="10" t="n">
        <v>142.68</v>
      </c>
      <c r="K24" s="10" t="n">
        <v>-1044.12</v>
      </c>
      <c r="L24" s="10" t="n">
        <v>560.49</v>
      </c>
      <c r="M24" s="10" t="n">
        <v>279.35</v>
      </c>
      <c r="N24" s="10" t="n">
        <v>30.49</v>
      </c>
      <c r="O24" s="10" t="n">
        <v>1202.5</v>
      </c>
      <c r="P24" s="10" t="n">
        <v>627.6</v>
      </c>
      <c r="Q24" s="11" t="n">
        <f aca="false">F24/E24</f>
        <v>0.368134362859765</v>
      </c>
      <c r="R24" s="11" t="n">
        <f aca="false">G24/E24</f>
        <v>0.157953643709331</v>
      </c>
      <c r="S24" s="11" t="n">
        <f aca="false">H24/E24</f>
        <v>-0.00680508690941961</v>
      </c>
      <c r="T24" s="11" t="n">
        <f aca="false">K24/E24</f>
        <v>-0.0480316862290489</v>
      </c>
      <c r="U24" s="11" t="n">
        <f aca="false">N24/E24</f>
        <v>0.00140260325740691</v>
      </c>
      <c r="V24" s="11" t="n">
        <f aca="false">E24/E$13</f>
        <v>0.188292820079994</v>
      </c>
    </row>
    <row r="25" customFormat="false" ht="15" hidden="false" customHeight="false" outlineLevel="0" collapsed="false">
      <c r="A25" s="9" t="n">
        <v>19</v>
      </c>
      <c r="B25" s="9" t="s">
        <v>69</v>
      </c>
      <c r="C25" s="14" t="s">
        <v>73</v>
      </c>
      <c r="D25" s="14" t="s">
        <v>64</v>
      </c>
      <c r="E25" s="10" t="n">
        <v>26592.96</v>
      </c>
      <c r="F25" s="10" t="n">
        <v>11825.14</v>
      </c>
      <c r="G25" s="10" t="n">
        <v>6143.89</v>
      </c>
      <c r="H25" s="10" t="n">
        <v>-92.48</v>
      </c>
      <c r="I25" s="10" t="n">
        <v>383.58</v>
      </c>
      <c r="J25" s="10" t="n">
        <v>240.48</v>
      </c>
      <c r="K25" s="10" t="n">
        <v>-1266.47</v>
      </c>
      <c r="L25" s="10" t="n">
        <v>853.34</v>
      </c>
      <c r="M25" s="10" t="n">
        <v>480.13</v>
      </c>
      <c r="N25" s="10" t="n">
        <v>-218.17</v>
      </c>
      <c r="O25" s="10" t="n">
        <v>1479.99</v>
      </c>
      <c r="P25" s="10" t="n">
        <v>876.63</v>
      </c>
      <c r="Q25" s="11" t="n">
        <f aca="false">F25/E25</f>
        <v>0.444671822918547</v>
      </c>
      <c r="R25" s="11" t="n">
        <f aca="false">G25/E25</f>
        <v>0.231034454231496</v>
      </c>
      <c r="S25" s="11" t="n">
        <f aca="false">H25/E25</f>
        <v>-0.0034776121198994</v>
      </c>
      <c r="T25" s="11" t="n">
        <f aca="false">K25/E25</f>
        <v>-0.0476242584503568</v>
      </c>
      <c r="U25" s="11" t="n">
        <f aca="false">N25/E25</f>
        <v>-0.00820405099695559</v>
      </c>
      <c r="V25" s="11" t="n">
        <f aca="false">E25/E$13</f>
        <v>0.230344506440266</v>
      </c>
      <c r="W25" s="12" t="n">
        <f aca="false">E25-E23-E24</f>
        <v>0</v>
      </c>
      <c r="X25" s="10" t="n">
        <v>26685.43</v>
      </c>
      <c r="Y25" s="12" t="n">
        <f aca="false">E25-X25</f>
        <v>-92.4700000000012</v>
      </c>
      <c r="Z25" s="13" t="str">
        <f aca="false">TEXT(26811.13,"#,##0.00")&amp;" / "&amp;TEXT(E25-26811.13,"+#,##0.00;-#,##0.00")</f>
        <v>26,811.13 / -218.17</v>
      </c>
      <c r="AA25" s="12" t="n">
        <f aca="false">H25-Y25</f>
        <v>-0.00999999999883983</v>
      </c>
    </row>
    <row r="26" customFormat="false" ht="15" hidden="false" customHeight="false" outlineLevel="0" collapsed="false">
      <c r="A26" s="9" t="n">
        <v>20</v>
      </c>
      <c r="B26" s="9" t="s">
        <v>69</v>
      </c>
      <c r="C26" s="14" t="s">
        <v>68</v>
      </c>
      <c r="D26" s="14" t="s">
        <v>68</v>
      </c>
      <c r="E26" s="10" t="n">
        <v>115448.64</v>
      </c>
      <c r="F26" s="10" t="n">
        <v>64103.64</v>
      </c>
      <c r="G26" s="10" t="n">
        <v>44426.48</v>
      </c>
      <c r="H26" s="10" t="n">
        <v>20567.85</v>
      </c>
      <c r="I26" s="10" t="n">
        <v>982.36</v>
      </c>
      <c r="J26" s="10" t="n">
        <v>417.21</v>
      </c>
      <c r="K26" s="10" t="n">
        <v>28049.87</v>
      </c>
      <c r="L26" s="10" t="n">
        <v>2162.64</v>
      </c>
      <c r="M26" s="10" t="n">
        <v>1102.6</v>
      </c>
      <c r="N26" s="10" t="n">
        <v>32349.73</v>
      </c>
      <c r="O26" s="10" t="n">
        <v>5037.91</v>
      </c>
      <c r="P26" s="10" t="n">
        <v>2921.84</v>
      </c>
      <c r="Q26" s="11" t="n">
        <f aca="false">F26/E26</f>
        <v>0.555256779118403</v>
      </c>
      <c r="R26" s="11" t="n">
        <f aca="false">G26/E26</f>
        <v>0.384815966649759</v>
      </c>
      <c r="S26" s="11" t="n">
        <f aca="false">H26/E26</f>
        <v>0.17815584488479</v>
      </c>
      <c r="T26" s="11" t="n">
        <f aca="false">K26/E26</f>
        <v>0.242964057437143</v>
      </c>
      <c r="U26" s="11" t="n">
        <f aca="false">N26/E26</f>
        <v>0.280208844383095</v>
      </c>
      <c r="V26" s="11" t="n">
        <f aca="false">E26/E$13</f>
        <v>1</v>
      </c>
      <c r="W26" s="12" t="n">
        <f aca="false">E26-(E16+E19+E22+E25)</f>
        <v>-0.00999999999476131</v>
      </c>
      <c r="X26" s="10" t="n">
        <v>94880.79</v>
      </c>
      <c r="Y26" s="12" t="n">
        <f aca="false">E26-X26</f>
        <v>20567.85</v>
      </c>
      <c r="Z26" s="13" t="str">
        <f aca="false">TEXT(83098.91,"#,##0.00")&amp;" / "&amp;TEXT(E26-83098.91,"+#,##0.00;-#,##0.00")</f>
        <v>83,098.91 / +32,349.73</v>
      </c>
      <c r="AA26" s="12" t="n">
        <f aca="false">H26-Y26</f>
        <v>0</v>
      </c>
    </row>
    <row r="27" customFormat="false" ht="15" hidden="false" customHeight="false" outlineLevel="0" collapsed="false">
      <c r="A27" s="9" t="n">
        <v>21</v>
      </c>
      <c r="B27" s="9" t="s">
        <v>74</v>
      </c>
      <c r="C27" s="9" t="s">
        <v>70</v>
      </c>
      <c r="D27" s="9" t="s">
        <v>61</v>
      </c>
      <c r="E27" s="10" t="n">
        <v>12398.02</v>
      </c>
      <c r="F27" s="10" t="n">
        <v>8840.67</v>
      </c>
      <c r="G27" s="10" t="n">
        <v>6877.22</v>
      </c>
      <c r="H27" s="10" t="n">
        <v>290.92</v>
      </c>
      <c r="I27" s="10" t="n">
        <v>-32.94</v>
      </c>
      <c r="J27" s="10" t="n">
        <v>-7.75</v>
      </c>
      <c r="K27" s="10" t="n">
        <v>554.59</v>
      </c>
      <c r="L27" s="10" t="n">
        <v>89.68</v>
      </c>
      <c r="M27" s="10" t="n">
        <v>92.14</v>
      </c>
      <c r="N27" s="10" t="n">
        <v>427.87</v>
      </c>
      <c r="O27" s="10" t="n">
        <v>-165.33</v>
      </c>
      <c r="P27" s="10" t="n">
        <v>-99.4</v>
      </c>
      <c r="Q27" s="11" t="n">
        <f aca="false">F27/E27</f>
        <v>0.713071119420682</v>
      </c>
      <c r="R27" s="11" t="n">
        <f aca="false">G27/E27</f>
        <v>0.554703089686902</v>
      </c>
      <c r="S27" s="11" t="n">
        <f aca="false">H27/E27</f>
        <v>0.0234650371591593</v>
      </c>
      <c r="T27" s="11" t="n">
        <f aca="false">K27/E27</f>
        <v>0.0447321427131106</v>
      </c>
      <c r="U27" s="11" t="n">
        <f aca="false">N27/E27</f>
        <v>0.0345111558135896</v>
      </c>
      <c r="V27" s="11" t="n">
        <f aca="false">E27/E$13</f>
        <v>0.107389918148884</v>
      </c>
    </row>
    <row r="28" customFormat="false" ht="15" hidden="false" customHeight="false" outlineLevel="0" collapsed="false">
      <c r="A28" s="9" t="n">
        <v>22</v>
      </c>
      <c r="B28" s="9" t="s">
        <v>74</v>
      </c>
      <c r="C28" s="9" t="s">
        <v>70</v>
      </c>
      <c r="D28" s="9" t="s">
        <v>65</v>
      </c>
      <c r="E28" s="10" t="n">
        <v>48539.41</v>
      </c>
      <c r="F28" s="10" t="n">
        <v>22858.81</v>
      </c>
      <c r="G28" s="10" t="n">
        <v>15370.74</v>
      </c>
      <c r="H28" s="10" t="n">
        <v>18065.25</v>
      </c>
      <c r="I28" s="10" t="n">
        <v>427.53</v>
      </c>
      <c r="J28" s="10" t="n">
        <v>98.43</v>
      </c>
      <c r="K28" s="10" t="n">
        <v>24161.85</v>
      </c>
      <c r="L28" s="10" t="n">
        <v>656.43</v>
      </c>
      <c r="M28" s="10" t="n">
        <v>211.38</v>
      </c>
      <c r="N28" s="10" t="n">
        <v>25875.44</v>
      </c>
      <c r="O28" s="10" t="n">
        <v>2062.1</v>
      </c>
      <c r="P28" s="10" t="n">
        <v>1030.75</v>
      </c>
      <c r="Q28" s="11" t="n">
        <f aca="false">F28/E28</f>
        <v>0.470933000627737</v>
      </c>
      <c r="R28" s="11" t="n">
        <f aca="false">G28/E28</f>
        <v>0.316665159300453</v>
      </c>
      <c r="S28" s="11" t="n">
        <f aca="false">H28/E28</f>
        <v>0.372176958887634</v>
      </c>
      <c r="T28" s="11" t="n">
        <f aca="false">K28/E28</f>
        <v>0.497777991121029</v>
      </c>
      <c r="U28" s="11" t="n">
        <f aca="false">N28/E28</f>
        <v>0.533081057227519</v>
      </c>
      <c r="V28" s="11" t="n">
        <f aca="false">E28/E$13</f>
        <v>0.420441592036078</v>
      </c>
    </row>
    <row r="29" customFormat="false" ht="15" hidden="false" customHeight="false" outlineLevel="0" collapsed="false">
      <c r="A29" s="9" t="n">
        <v>23</v>
      </c>
      <c r="B29" s="9" t="s">
        <v>74</v>
      </c>
      <c r="C29" s="14" t="s">
        <v>70</v>
      </c>
      <c r="D29" s="14" t="s">
        <v>64</v>
      </c>
      <c r="E29" s="10" t="n">
        <v>60937.43</v>
      </c>
      <c r="F29" s="10" t="n">
        <v>31699.48</v>
      </c>
      <c r="G29" s="10" t="n">
        <v>22247.97</v>
      </c>
      <c r="H29" s="10" t="n">
        <v>18356.17</v>
      </c>
      <c r="I29" s="10" t="n">
        <v>394.58</v>
      </c>
      <c r="J29" s="10" t="n">
        <v>90.68</v>
      </c>
      <c r="K29" s="10" t="n">
        <v>24716.44</v>
      </c>
      <c r="L29" s="10" t="n">
        <v>746.11</v>
      </c>
      <c r="M29" s="10" t="n">
        <v>303.52</v>
      </c>
      <c r="N29" s="10" t="n">
        <v>26303.3</v>
      </c>
      <c r="O29" s="10" t="n">
        <v>1896.78</v>
      </c>
      <c r="P29" s="10" t="n">
        <v>931.35</v>
      </c>
      <c r="Q29" s="11" t="n">
        <f aca="false">F29/E29</f>
        <v>0.520197192431647</v>
      </c>
      <c r="R29" s="11" t="n">
        <f aca="false">G29/E29</f>
        <v>0.36509531169923</v>
      </c>
      <c r="S29" s="11" t="n">
        <f aca="false">H29/E29</f>
        <v>0.301229802438337</v>
      </c>
      <c r="T29" s="11" t="n">
        <f aca="false">K29/E29</f>
        <v>0.405603583872835</v>
      </c>
      <c r="U29" s="11" t="n">
        <f aca="false">N29/E29</f>
        <v>0.431644393273559</v>
      </c>
      <c r="V29" s="11" t="n">
        <f aca="false">E29/E$13</f>
        <v>0.527831510184962</v>
      </c>
      <c r="W29" s="12" t="n">
        <f aca="false">E29-E27-E28</f>
        <v>0</v>
      </c>
    </row>
    <row r="30" customFormat="false" ht="15" hidden="false" customHeight="false" outlineLevel="0" collapsed="false">
      <c r="A30" s="9" t="n">
        <v>24</v>
      </c>
      <c r="B30" s="9" t="s">
        <v>74</v>
      </c>
      <c r="C30" s="9" t="s">
        <v>71</v>
      </c>
      <c r="D30" s="9" t="s">
        <v>61</v>
      </c>
      <c r="E30" s="10" t="n">
        <v>2835.95</v>
      </c>
      <c r="F30" s="10" t="n">
        <v>2581.52</v>
      </c>
      <c r="G30" s="10" t="n">
        <v>2106.99</v>
      </c>
      <c r="H30" s="10" t="n">
        <v>-9.14</v>
      </c>
      <c r="I30" s="10" t="n">
        <v>-8.06</v>
      </c>
      <c r="J30" s="10" t="n">
        <v>-7.55</v>
      </c>
      <c r="K30" s="10" t="n">
        <v>80.19</v>
      </c>
      <c r="L30" s="10" t="n">
        <v>48.76</v>
      </c>
      <c r="M30" s="10" t="n">
        <v>38.12</v>
      </c>
      <c r="N30" s="10" t="n">
        <v>102.21</v>
      </c>
      <c r="O30" s="10" t="n">
        <v>60.54</v>
      </c>
      <c r="P30" s="10" t="n">
        <v>72.77</v>
      </c>
      <c r="Q30" s="11" t="n">
        <f aca="false">F30/E30</f>
        <v>0.91028403180592</v>
      </c>
      <c r="R30" s="11" t="n">
        <f aca="false">G30/E30</f>
        <v>0.742957386413724</v>
      </c>
      <c r="S30" s="11" t="n">
        <f aca="false">H30/E30</f>
        <v>-0.00322290590454698</v>
      </c>
      <c r="T30" s="11" t="n">
        <f aca="false">K30/E30</f>
        <v>0.0282762390028033</v>
      </c>
      <c r="U30" s="11" t="n">
        <f aca="false">N30/E30</f>
        <v>0.0360408328778716</v>
      </c>
      <c r="V30" s="11" t="n">
        <f aca="false">E30/E$13</f>
        <v>0.0245646029264615</v>
      </c>
    </row>
    <row r="31" customFormat="false" ht="15" hidden="false" customHeight="false" outlineLevel="0" collapsed="false">
      <c r="A31" s="9" t="n">
        <v>25</v>
      </c>
      <c r="B31" s="9" t="s">
        <v>74</v>
      </c>
      <c r="C31" s="9" t="s">
        <v>71</v>
      </c>
      <c r="D31" s="9" t="s">
        <v>65</v>
      </c>
      <c r="E31" s="10" t="n">
        <v>7189.69</v>
      </c>
      <c r="F31" s="10" t="n">
        <v>5695.5</v>
      </c>
      <c r="G31" s="10" t="n">
        <v>4467.6</v>
      </c>
      <c r="H31" s="10" t="n">
        <v>869.7</v>
      </c>
      <c r="I31" s="10" t="n">
        <v>89.92</v>
      </c>
      <c r="J31" s="10" t="n">
        <v>73.53</v>
      </c>
      <c r="K31" s="10" t="n">
        <v>1507.27</v>
      </c>
      <c r="L31" s="10" t="n">
        <v>224.51</v>
      </c>
      <c r="M31" s="10" t="n">
        <v>154.94</v>
      </c>
      <c r="N31" s="10" t="n">
        <v>2038.23</v>
      </c>
      <c r="O31" s="10" t="n">
        <v>722.48</v>
      </c>
      <c r="P31" s="10" t="n">
        <v>539.69</v>
      </c>
      <c r="Q31" s="11" t="n">
        <f aca="false">F31/E31</f>
        <v>0.792176018715689</v>
      </c>
      <c r="R31" s="11" t="n">
        <f aca="false">G31/E31</f>
        <v>0.621389795665738</v>
      </c>
      <c r="S31" s="11" t="n">
        <f aca="false">H31/E31</f>
        <v>0.120964881656928</v>
      </c>
      <c r="T31" s="11" t="n">
        <f aca="false">K31/E31</f>
        <v>0.209643253047072</v>
      </c>
      <c r="U31" s="11" t="n">
        <f aca="false">N31/E31</f>
        <v>0.283493446866277</v>
      </c>
      <c r="V31" s="11" t="n">
        <f aca="false">E31/E$13</f>
        <v>0.0622760909093429</v>
      </c>
    </row>
    <row r="32" customFormat="false" ht="15" hidden="false" customHeight="false" outlineLevel="0" collapsed="false">
      <c r="A32" s="9" t="n">
        <v>26</v>
      </c>
      <c r="B32" s="9" t="s">
        <v>74</v>
      </c>
      <c r="C32" s="14" t="s">
        <v>71</v>
      </c>
      <c r="D32" s="14" t="s">
        <v>64</v>
      </c>
      <c r="E32" s="10" t="n">
        <v>10025.65</v>
      </c>
      <c r="F32" s="10" t="n">
        <v>8277.01</v>
      </c>
      <c r="G32" s="10" t="n">
        <v>6574.58</v>
      </c>
      <c r="H32" s="10" t="n">
        <v>860.55</v>
      </c>
      <c r="I32" s="10" t="n">
        <v>81.86</v>
      </c>
      <c r="J32" s="10" t="n">
        <v>65.98</v>
      </c>
      <c r="K32" s="10" t="n">
        <v>1587.46</v>
      </c>
      <c r="L32" s="10" t="n">
        <v>273.27</v>
      </c>
      <c r="M32" s="10" t="n">
        <v>193.06</v>
      </c>
      <c r="N32" s="10" t="n">
        <v>2140.44</v>
      </c>
      <c r="O32" s="10" t="n">
        <v>783.02</v>
      </c>
      <c r="P32" s="10" t="n">
        <v>612.46</v>
      </c>
      <c r="Q32" s="11" t="n">
        <f aca="false">F32/E32</f>
        <v>0.825583378633804</v>
      </c>
      <c r="R32" s="11" t="n">
        <f aca="false">G32/E32</f>
        <v>0.655775934727424</v>
      </c>
      <c r="S32" s="11" t="n">
        <f aca="false">H32/E32</f>
        <v>0.0858348336516834</v>
      </c>
      <c r="T32" s="11" t="n">
        <f aca="false">K32/E32</f>
        <v>0.158339858263554</v>
      </c>
      <c r="U32" s="11" t="n">
        <f aca="false">N32/E32</f>
        <v>0.213496381780732</v>
      </c>
      <c r="V32" s="11" t="n">
        <f aca="false">E32/E$13</f>
        <v>0.0868407804544081</v>
      </c>
      <c r="W32" s="12" t="n">
        <f aca="false">E32-E30-E31</f>
        <v>0.0100000000002183</v>
      </c>
    </row>
    <row r="33" customFormat="false" ht="15" hidden="false" customHeight="false" outlineLevel="0" collapsed="false">
      <c r="A33" s="9" t="n">
        <v>27</v>
      </c>
      <c r="B33" s="9" t="s">
        <v>74</v>
      </c>
      <c r="C33" s="9" t="s">
        <v>72</v>
      </c>
      <c r="D33" s="9" t="s">
        <v>61</v>
      </c>
      <c r="E33" s="10" t="n">
        <v>2165.16</v>
      </c>
      <c r="F33" s="10" t="n">
        <v>2039.05</v>
      </c>
      <c r="G33" s="10" t="n">
        <v>1549.33</v>
      </c>
      <c r="H33" s="10" t="n">
        <v>58.38</v>
      </c>
      <c r="I33" s="10" t="n">
        <v>27.42</v>
      </c>
      <c r="J33" s="10" t="n">
        <v>26.65</v>
      </c>
      <c r="K33" s="10" t="n">
        <v>109.27</v>
      </c>
      <c r="L33" s="10" t="n">
        <v>64.7</v>
      </c>
      <c r="M33" s="10" t="n">
        <v>53.7</v>
      </c>
      <c r="N33" s="10" t="n">
        <v>148.76</v>
      </c>
      <c r="O33" s="10" t="n">
        <v>74.85</v>
      </c>
      <c r="P33" s="10" t="n">
        <v>70.17</v>
      </c>
      <c r="Q33" s="11" t="n">
        <f aca="false">F33/E33</f>
        <v>0.941754881856306</v>
      </c>
      <c r="R33" s="11" t="n">
        <f aca="false">G33/E33</f>
        <v>0.715572983058989</v>
      </c>
      <c r="S33" s="11" t="n">
        <f aca="false">H33/E33</f>
        <v>0.0269633652940198</v>
      </c>
      <c r="T33" s="11" t="n">
        <f aca="false">K33/E33</f>
        <v>0.0504674019472002</v>
      </c>
      <c r="U33" s="11" t="n">
        <f aca="false">N33/E33</f>
        <v>0.0687062387999039</v>
      </c>
      <c r="V33" s="11" t="n">
        <f aca="false">E33/E$13</f>
        <v>0.018754313606466</v>
      </c>
    </row>
    <row r="34" customFormat="false" ht="15" hidden="false" customHeight="false" outlineLevel="0" collapsed="false">
      <c r="A34" s="9" t="n">
        <v>28</v>
      </c>
      <c r="B34" s="9" t="s">
        <v>74</v>
      </c>
      <c r="C34" s="9" t="s">
        <v>72</v>
      </c>
      <c r="D34" s="9" t="s">
        <v>65</v>
      </c>
      <c r="E34" s="10" t="n">
        <v>5728.17</v>
      </c>
      <c r="F34" s="10" t="n">
        <v>4960.2</v>
      </c>
      <c r="G34" s="10" t="n">
        <v>4499.35</v>
      </c>
      <c r="H34" s="10" t="n">
        <v>656.55</v>
      </c>
      <c r="I34" s="10" t="n">
        <v>26.15</v>
      </c>
      <c r="J34" s="10" t="n">
        <v>16.13</v>
      </c>
      <c r="K34" s="10" t="n">
        <v>864.45</v>
      </c>
      <c r="L34" s="10" t="n">
        <v>129.06</v>
      </c>
      <c r="M34" s="10" t="n">
        <v>85.15</v>
      </c>
      <c r="N34" s="10" t="n">
        <v>1140.79</v>
      </c>
      <c r="O34" s="10" t="n">
        <v>380.89</v>
      </c>
      <c r="P34" s="10" t="n">
        <v>289.65</v>
      </c>
      <c r="Q34" s="11" t="n">
        <f aca="false">F34/E34</f>
        <v>0.865931004142684</v>
      </c>
      <c r="R34" s="11" t="n">
        <f aca="false">G34/E34</f>
        <v>0.785477735472236</v>
      </c>
      <c r="S34" s="11" t="n">
        <f aca="false">H34/E34</f>
        <v>0.114617757503705</v>
      </c>
      <c r="T34" s="11" t="n">
        <f aca="false">K34/E34</f>
        <v>0.150912071394529</v>
      </c>
      <c r="U34" s="11" t="n">
        <f aca="false">N34/E34</f>
        <v>0.199154354706652</v>
      </c>
      <c r="V34" s="11" t="n">
        <f aca="false">E34/E$13</f>
        <v>0.0496166087361445</v>
      </c>
    </row>
    <row r="35" customFormat="false" ht="15" hidden="false" customHeight="false" outlineLevel="0" collapsed="false">
      <c r="A35" s="9" t="n">
        <v>29</v>
      </c>
      <c r="B35" s="9" t="s">
        <v>74</v>
      </c>
      <c r="C35" s="14" t="s">
        <v>72</v>
      </c>
      <c r="D35" s="14" t="s">
        <v>64</v>
      </c>
      <c r="E35" s="10" t="n">
        <v>7893.34</v>
      </c>
      <c r="F35" s="10" t="n">
        <v>6999.25</v>
      </c>
      <c r="G35" s="10" t="n">
        <v>6048.68</v>
      </c>
      <c r="H35" s="10" t="n">
        <v>714.93</v>
      </c>
      <c r="I35" s="10" t="n">
        <v>53.57</v>
      </c>
      <c r="J35" s="10" t="n">
        <v>42.78</v>
      </c>
      <c r="K35" s="10" t="n">
        <v>973.72</v>
      </c>
      <c r="L35" s="10" t="n">
        <v>193.76</v>
      </c>
      <c r="M35" s="10" t="n">
        <v>138.85</v>
      </c>
      <c r="N35" s="10" t="n">
        <v>1289.55</v>
      </c>
      <c r="O35" s="10" t="n">
        <v>455.74</v>
      </c>
      <c r="P35" s="10" t="n">
        <v>359.82</v>
      </c>
      <c r="Q35" s="11" t="n">
        <f aca="false">F35/E35</f>
        <v>0.886728558506285</v>
      </c>
      <c r="R35" s="11" t="n">
        <f aca="false">G35/E35</f>
        <v>0.766301717650576</v>
      </c>
      <c r="S35" s="11" t="n">
        <f aca="false">H35/E35</f>
        <v>0.0905738255288636</v>
      </c>
      <c r="T35" s="11" t="n">
        <f aca="false">K35/E35</f>
        <v>0.123359693108367</v>
      </c>
      <c r="U35" s="11" t="n">
        <f aca="false">N35/E35</f>
        <v>0.16337190593589</v>
      </c>
      <c r="V35" s="11" t="n">
        <f aca="false">E35/E$13</f>
        <v>0.0683710089612143</v>
      </c>
      <c r="W35" s="12" t="n">
        <f aca="false">E35-E33-E34</f>
        <v>0.0100000000002183</v>
      </c>
    </row>
    <row r="36" customFormat="false" ht="15" hidden="false" customHeight="false" outlineLevel="0" collapsed="false">
      <c r="A36" s="9" t="n">
        <v>30</v>
      </c>
      <c r="B36" s="9" t="s">
        <v>74</v>
      </c>
      <c r="C36" s="9" t="s">
        <v>73</v>
      </c>
      <c r="D36" s="9" t="s">
        <v>61</v>
      </c>
      <c r="E36" s="10" t="n">
        <v>8120.34</v>
      </c>
      <c r="F36" s="10" t="n">
        <v>5763.73</v>
      </c>
      <c r="G36" s="10" t="n">
        <v>4016.63</v>
      </c>
      <c r="H36" s="10" t="n">
        <v>44.54</v>
      </c>
      <c r="I36" s="10" t="n">
        <v>89.35</v>
      </c>
      <c r="J36" s="10" t="n">
        <v>61.33</v>
      </c>
      <c r="K36" s="10" t="n">
        <v>-559.18</v>
      </c>
      <c r="L36" s="10" t="n">
        <v>290.86</v>
      </c>
      <c r="M36" s="10" t="n">
        <v>171.56</v>
      </c>
      <c r="N36" s="10" t="n">
        <v>-224.89</v>
      </c>
      <c r="O36" s="10" t="n">
        <v>301.96</v>
      </c>
      <c r="P36" s="10" t="n">
        <v>232.92</v>
      </c>
      <c r="Q36" s="11" t="n">
        <f aca="false">F36/E36</f>
        <v>0.709789245277907</v>
      </c>
      <c r="R36" s="11" t="n">
        <f aca="false">G36/E36</f>
        <v>0.494638155545211</v>
      </c>
      <c r="S36" s="11" t="n">
        <f aca="false">H36/E36</f>
        <v>0.00548499200772381</v>
      </c>
      <c r="T36" s="11" t="n">
        <f aca="false">K36/E36</f>
        <v>-0.0688616486501797</v>
      </c>
      <c r="U36" s="11" t="n">
        <f aca="false">N36/E36</f>
        <v>-0.0276946531795467</v>
      </c>
      <c r="V36" s="11" t="n">
        <f aca="false">E36/E$13</f>
        <v>0.0703372512660175</v>
      </c>
    </row>
    <row r="37" customFormat="false" ht="15" hidden="false" customHeight="false" outlineLevel="0" collapsed="false">
      <c r="A37" s="9" t="n">
        <v>31</v>
      </c>
      <c r="B37" s="9" t="s">
        <v>74</v>
      </c>
      <c r="C37" s="9" t="s">
        <v>73</v>
      </c>
      <c r="D37" s="9" t="s">
        <v>65</v>
      </c>
      <c r="E37" s="10" t="n">
        <v>28471.88</v>
      </c>
      <c r="F37" s="10" t="n">
        <v>11364.17</v>
      </c>
      <c r="G37" s="10" t="n">
        <v>5538.61</v>
      </c>
      <c r="H37" s="10" t="n">
        <v>591.66</v>
      </c>
      <c r="I37" s="10" t="n">
        <v>363</v>
      </c>
      <c r="J37" s="10" t="n">
        <v>156.44</v>
      </c>
      <c r="K37" s="10" t="n">
        <v>1331.42</v>
      </c>
      <c r="L37" s="10" t="n">
        <v>658.64</v>
      </c>
      <c r="M37" s="10" t="n">
        <v>295.62</v>
      </c>
      <c r="N37" s="10" t="n">
        <v>2841.32</v>
      </c>
      <c r="O37" s="10" t="n">
        <v>1600.42</v>
      </c>
      <c r="P37" s="10" t="n">
        <v>785.29</v>
      </c>
      <c r="Q37" s="11" t="n">
        <f aca="false">F37/E37</f>
        <v>0.399136621817737</v>
      </c>
      <c r="R37" s="11" t="n">
        <f aca="false">G37/E37</f>
        <v>0.194529128389133</v>
      </c>
      <c r="S37" s="11" t="n">
        <f aca="false">H37/E37</f>
        <v>0.020780503430051</v>
      </c>
      <c r="T37" s="11" t="n">
        <f aca="false">K37/E37</f>
        <v>0.0467626303566888</v>
      </c>
      <c r="U37" s="11" t="n">
        <f aca="false">N37/E37</f>
        <v>0.0997939019130454</v>
      </c>
      <c r="V37" s="11" t="n">
        <f aca="false">E37/E$13</f>
        <v>0.246619449133398</v>
      </c>
    </row>
    <row r="38" customFormat="false" ht="15" hidden="false" customHeight="false" outlineLevel="0" collapsed="false">
      <c r="A38" s="9" t="n">
        <v>32</v>
      </c>
      <c r="B38" s="9" t="s">
        <v>74</v>
      </c>
      <c r="C38" s="14" t="s">
        <v>73</v>
      </c>
      <c r="D38" s="14" t="s">
        <v>64</v>
      </c>
      <c r="E38" s="10" t="n">
        <v>36592.22</v>
      </c>
      <c r="F38" s="10" t="n">
        <v>17127.9</v>
      </c>
      <c r="G38" s="10" t="n">
        <v>9555.25</v>
      </c>
      <c r="H38" s="10" t="n">
        <v>636.2</v>
      </c>
      <c r="I38" s="10" t="n">
        <v>452.35</v>
      </c>
      <c r="J38" s="10" t="n">
        <v>217.77</v>
      </c>
      <c r="K38" s="10" t="n">
        <v>772.24</v>
      </c>
      <c r="L38" s="10" t="n">
        <v>949.5</v>
      </c>
      <c r="M38" s="10" t="n">
        <v>467.18</v>
      </c>
      <c r="N38" s="10" t="n">
        <v>2616.43</v>
      </c>
      <c r="O38" s="10" t="n">
        <v>1902.38</v>
      </c>
      <c r="P38" s="10" t="n">
        <v>1018.21</v>
      </c>
      <c r="Q38" s="11" t="n">
        <f aca="false">F38/E38</f>
        <v>0.468074907726287</v>
      </c>
      <c r="R38" s="11" t="n">
        <f aca="false">G38/E38</f>
        <v>0.261127911889467</v>
      </c>
      <c r="S38" s="11" t="n">
        <f aca="false">H38/E38</f>
        <v>0.0173862094182862</v>
      </c>
      <c r="T38" s="11" t="n">
        <f aca="false">K38/E38</f>
        <v>0.0211039395805994</v>
      </c>
      <c r="U38" s="11" t="n">
        <f aca="false">N38/E38</f>
        <v>0.0715023576049772</v>
      </c>
      <c r="V38" s="11" t="n">
        <f aca="false">E38/E$13</f>
        <v>0.316956700399416</v>
      </c>
      <c r="W38" s="12" t="n">
        <f aca="false">E38-E36-E37</f>
        <v>0</v>
      </c>
    </row>
    <row r="39" customFormat="false" ht="15" hidden="false" customHeight="false" outlineLevel="0" collapsed="false">
      <c r="A39" s="9" t="n">
        <v>33</v>
      </c>
      <c r="B39" s="9" t="s">
        <v>74</v>
      </c>
      <c r="C39" s="14" t="s">
        <v>68</v>
      </c>
      <c r="D39" s="14" t="s">
        <v>68</v>
      </c>
      <c r="E39" s="10" t="n">
        <v>115448.64</v>
      </c>
      <c r="F39" s="10" t="n">
        <v>64103.64</v>
      </c>
      <c r="G39" s="10" t="n">
        <v>44426.48</v>
      </c>
      <c r="H39" s="10" t="n">
        <v>20567.85</v>
      </c>
      <c r="I39" s="10" t="n">
        <v>982.36</v>
      </c>
      <c r="J39" s="10" t="n">
        <v>417.21</v>
      </c>
      <c r="K39" s="10" t="n">
        <v>28049.87</v>
      </c>
      <c r="L39" s="10" t="n">
        <v>2162.64</v>
      </c>
      <c r="M39" s="10" t="n">
        <v>1102.6</v>
      </c>
      <c r="N39" s="10" t="n">
        <v>32349.73</v>
      </c>
      <c r="O39" s="10" t="n">
        <v>5037.91</v>
      </c>
      <c r="P39" s="10" t="n">
        <v>2921.84</v>
      </c>
      <c r="Q39" s="11" t="n">
        <f aca="false">F39/E39</f>
        <v>0.555256779118403</v>
      </c>
      <c r="R39" s="11" t="n">
        <f aca="false">G39/E39</f>
        <v>0.384815966649759</v>
      </c>
      <c r="S39" s="11" t="n">
        <f aca="false">H39/E39</f>
        <v>0.17815584488479</v>
      </c>
      <c r="T39" s="11" t="n">
        <f aca="false">K39/E39</f>
        <v>0.242964057437143</v>
      </c>
      <c r="U39" s="11" t="n">
        <f aca="false">N39/E39</f>
        <v>0.280208844383095</v>
      </c>
      <c r="V39" s="11" t="n">
        <f aca="false">E39/E$13</f>
        <v>1</v>
      </c>
      <c r="W39" s="12" t="n">
        <f aca="false">E39-(E29+E32+E35+E38)</f>
        <v>0</v>
      </c>
      <c r="X39" s="10" t="n">
        <v>94880.79</v>
      </c>
      <c r="Y39" s="12" t="n">
        <f aca="false">E39-X39</f>
        <v>20567.85</v>
      </c>
      <c r="Z39" s="13" t="str">
        <f aca="false">TEXT(83098.91,"#,##0.00")&amp;" / "&amp;TEXT(E39-83098.91,"+#,##0.00;-#,##0.00")</f>
        <v>83,098.91 / +32,349.73</v>
      </c>
      <c r="AA39" s="12" t="n">
        <f aca="false">H39-Y39</f>
        <v>0</v>
      </c>
    </row>
    <row r="40" customFormat="false" ht="15" hidden="false" customHeight="false" outlineLevel="0" collapsed="false">
      <c r="A40" s="9" t="n">
        <v>34</v>
      </c>
      <c r="B40" s="9" t="s">
        <v>75</v>
      </c>
      <c r="C40" s="9" t="s">
        <v>70</v>
      </c>
      <c r="D40" s="9" t="s">
        <v>61</v>
      </c>
      <c r="E40" s="10" t="n">
        <v>13689.7</v>
      </c>
      <c r="F40" s="10" t="n">
        <v>9714.38</v>
      </c>
      <c r="G40" s="10" t="n">
        <v>7587.18</v>
      </c>
      <c r="H40" s="10" t="n">
        <v>239.76</v>
      </c>
      <c r="I40" s="10" t="n">
        <v>-39.07</v>
      </c>
      <c r="J40" s="10" t="n">
        <v>-15.41</v>
      </c>
      <c r="K40" s="10" t="n">
        <v>170.87</v>
      </c>
      <c r="L40" s="10" t="n">
        <v>89.06</v>
      </c>
      <c r="M40" s="10" t="n">
        <v>86.82</v>
      </c>
      <c r="N40" s="10" t="n">
        <v>313.24</v>
      </c>
      <c r="O40" s="10" t="n">
        <v>-162.13</v>
      </c>
      <c r="P40" s="10" t="n">
        <v>-112.92</v>
      </c>
      <c r="Q40" s="11" t="n">
        <f aca="false">F40/E40</f>
        <v>0.709612336282022</v>
      </c>
      <c r="R40" s="11" t="n">
        <f aca="false">G40/E40</f>
        <v>0.554225439564052</v>
      </c>
      <c r="S40" s="11" t="n">
        <f aca="false">H40/E40</f>
        <v>0.0175138973096562</v>
      </c>
      <c r="T40" s="11" t="n">
        <f aca="false">K40/E40</f>
        <v>0.0124816467855395</v>
      </c>
      <c r="U40" s="11" t="n">
        <f aca="false">N40/E40</f>
        <v>0.0228814364083946</v>
      </c>
      <c r="V40" s="11" t="n">
        <f aca="false">E40/E$13</f>
        <v>0.118578269956233</v>
      </c>
    </row>
    <row r="41" customFormat="false" ht="15" hidden="false" customHeight="false" outlineLevel="0" collapsed="false">
      <c r="A41" s="9" t="n">
        <v>35</v>
      </c>
      <c r="B41" s="9" t="s">
        <v>75</v>
      </c>
      <c r="C41" s="9" t="s">
        <v>70</v>
      </c>
      <c r="D41" s="9" t="s">
        <v>65</v>
      </c>
      <c r="E41" s="10" t="n">
        <v>53013.16</v>
      </c>
      <c r="F41" s="10" t="n">
        <v>24821.02</v>
      </c>
      <c r="G41" s="10" t="n">
        <v>16939.59</v>
      </c>
      <c r="H41" s="10" t="n">
        <v>18957.52</v>
      </c>
      <c r="I41" s="10" t="n">
        <v>491.71</v>
      </c>
      <c r="J41" s="10" t="n">
        <v>153.74</v>
      </c>
      <c r="K41" s="10" t="n">
        <v>26850.81</v>
      </c>
      <c r="L41" s="10" t="n">
        <v>748.7</v>
      </c>
      <c r="M41" s="10" t="n">
        <v>284.23</v>
      </c>
      <c r="N41" s="10" t="n">
        <v>28741.88</v>
      </c>
      <c r="O41" s="10" t="n">
        <v>2418.83</v>
      </c>
      <c r="P41" s="10" t="n">
        <v>1298.89</v>
      </c>
      <c r="Q41" s="11" t="n">
        <f aca="false">F41/E41</f>
        <v>0.468204875921375</v>
      </c>
      <c r="R41" s="11" t="n">
        <f aca="false">G41/E41</f>
        <v>0.319535564376845</v>
      </c>
      <c r="S41" s="11" t="n">
        <f aca="false">H41/E41</f>
        <v>0.357600263783559</v>
      </c>
      <c r="T41" s="11" t="n">
        <f aca="false">K41/E41</f>
        <v>0.506493293363384</v>
      </c>
      <c r="U41" s="11" t="n">
        <f aca="false">N41/E41</f>
        <v>0.542165002048548</v>
      </c>
      <c r="V41" s="11" t="n">
        <f aca="false">E41/E$13</f>
        <v>0.459192589882393</v>
      </c>
    </row>
    <row r="42" customFormat="false" ht="15" hidden="false" customHeight="false" outlineLevel="0" collapsed="false">
      <c r="A42" s="9" t="n">
        <v>36</v>
      </c>
      <c r="B42" s="9" t="s">
        <v>75</v>
      </c>
      <c r="C42" s="14" t="s">
        <v>70</v>
      </c>
      <c r="D42" s="14" t="s">
        <v>64</v>
      </c>
      <c r="E42" s="10" t="n">
        <v>66702.86</v>
      </c>
      <c r="F42" s="10" t="n">
        <v>34535.4</v>
      </c>
      <c r="G42" s="10" t="n">
        <v>24526.77</v>
      </c>
      <c r="H42" s="10" t="n">
        <v>19197.28</v>
      </c>
      <c r="I42" s="10" t="n">
        <v>452.64</v>
      </c>
      <c r="J42" s="10" t="n">
        <v>138.34</v>
      </c>
      <c r="K42" s="10" t="n">
        <v>27021.68</v>
      </c>
      <c r="L42" s="10" t="n">
        <v>837.75</v>
      </c>
      <c r="M42" s="10" t="n">
        <v>371.04</v>
      </c>
      <c r="N42" s="10" t="n">
        <v>29055.12</v>
      </c>
      <c r="O42" s="10" t="n">
        <v>2256.7</v>
      </c>
      <c r="P42" s="10" t="n">
        <v>1185.98</v>
      </c>
      <c r="Q42" s="11" t="n">
        <f aca="false">F42/E42</f>
        <v>0.517749913571922</v>
      </c>
      <c r="R42" s="11" t="n">
        <f aca="false">G42/E42</f>
        <v>0.367701924625121</v>
      </c>
      <c r="S42" s="11" t="n">
        <f aca="false">H42/E42</f>
        <v>0.28780295177748</v>
      </c>
      <c r="T42" s="11" t="n">
        <f aca="false">K42/E42</f>
        <v>0.405105268349813</v>
      </c>
      <c r="U42" s="11" t="n">
        <f aca="false">N42/E42</f>
        <v>0.435590318016349</v>
      </c>
      <c r="V42" s="11" t="n">
        <f aca="false">E42/E$13</f>
        <v>0.577770859838626</v>
      </c>
      <c r="W42" s="12" t="n">
        <f aca="false">E42-E40-E41</f>
        <v>0</v>
      </c>
    </row>
    <row r="43" customFormat="false" ht="15" hidden="false" customHeight="false" outlineLevel="0" collapsed="false">
      <c r="A43" s="9" t="n">
        <v>37</v>
      </c>
      <c r="B43" s="9" t="s">
        <v>75</v>
      </c>
      <c r="C43" s="9" t="s">
        <v>71</v>
      </c>
      <c r="D43" s="9" t="s">
        <v>61</v>
      </c>
      <c r="E43" s="10" t="n">
        <v>3540.56</v>
      </c>
      <c r="F43" s="10" t="n">
        <v>3156.26</v>
      </c>
      <c r="G43" s="10" t="n">
        <v>2593.42</v>
      </c>
      <c r="H43" s="10" t="n">
        <v>39.83</v>
      </c>
      <c r="I43" s="10" t="n">
        <v>-24.29</v>
      </c>
      <c r="J43" s="10" t="n">
        <v>-15.53</v>
      </c>
      <c r="K43" s="10" t="n">
        <v>168.74</v>
      </c>
      <c r="L43" s="10" t="n">
        <v>41.43</v>
      </c>
      <c r="M43" s="10" t="n">
        <v>37.86</v>
      </c>
      <c r="N43" s="10" t="n">
        <v>192.3</v>
      </c>
      <c r="O43" s="10" t="n">
        <v>47.05</v>
      </c>
      <c r="P43" s="10" t="n">
        <v>68.57</v>
      </c>
      <c r="Q43" s="11" t="n">
        <f aca="false">F43/E43</f>
        <v>0.891457848475947</v>
      </c>
      <c r="R43" s="11" t="n">
        <f aca="false">G43/E43</f>
        <v>0.732488645863931</v>
      </c>
      <c r="S43" s="11" t="n">
        <f aca="false">H43/E43</f>
        <v>0.0112496328264455</v>
      </c>
      <c r="T43" s="11" t="n">
        <f aca="false">K43/E43</f>
        <v>0.0476591273696816</v>
      </c>
      <c r="U43" s="11" t="n">
        <f aca="false">N43/E43</f>
        <v>0.0543134419413878</v>
      </c>
      <c r="V43" s="11" t="n">
        <f aca="false">E43/E$13</f>
        <v>0.0306678363642915</v>
      </c>
    </row>
    <row r="44" customFormat="false" ht="15" hidden="false" customHeight="false" outlineLevel="0" collapsed="false">
      <c r="A44" s="9" t="n">
        <v>38</v>
      </c>
      <c r="B44" s="9" t="s">
        <v>75</v>
      </c>
      <c r="C44" s="9" t="s">
        <v>71</v>
      </c>
      <c r="D44" s="9" t="s">
        <v>65</v>
      </c>
      <c r="E44" s="10" t="n">
        <v>7369.59</v>
      </c>
      <c r="F44" s="10" t="n">
        <v>6334.66</v>
      </c>
      <c r="G44" s="10" t="n">
        <v>5096.81</v>
      </c>
      <c r="H44" s="10" t="n">
        <v>722.58</v>
      </c>
      <c r="I44" s="10" t="n">
        <v>69.55</v>
      </c>
      <c r="J44" s="10" t="n">
        <v>46.4</v>
      </c>
      <c r="K44" s="10" t="n">
        <v>1203.33</v>
      </c>
      <c r="L44" s="10" t="n">
        <v>191.65</v>
      </c>
      <c r="M44" s="10" t="n">
        <v>121.9</v>
      </c>
      <c r="N44" s="10" t="n">
        <v>1684.08</v>
      </c>
      <c r="O44" s="10" t="n">
        <v>672.34</v>
      </c>
      <c r="P44" s="10" t="n">
        <v>481.05</v>
      </c>
      <c r="Q44" s="11" t="n">
        <f aca="false">F44/E44</f>
        <v>0.859567492899876</v>
      </c>
      <c r="R44" s="11" t="n">
        <f aca="false">G44/E44</f>
        <v>0.691600211137933</v>
      </c>
      <c r="S44" s="11" t="n">
        <f aca="false">H44/E44</f>
        <v>0.0980488738179465</v>
      </c>
      <c r="T44" s="11" t="n">
        <f aca="false">K44/E44</f>
        <v>0.163283167720321</v>
      </c>
      <c r="U44" s="11" t="n">
        <f aca="false">N44/E44</f>
        <v>0.228517461622695</v>
      </c>
      <c r="V44" s="11" t="n">
        <f aca="false">E44/E$13</f>
        <v>0.0638343595905504</v>
      </c>
    </row>
    <row r="45" customFormat="false" ht="15" hidden="false" customHeight="false" outlineLevel="0" collapsed="false">
      <c r="A45" s="9" t="n">
        <v>39</v>
      </c>
      <c r="B45" s="9" t="s">
        <v>75</v>
      </c>
      <c r="C45" s="14" t="s">
        <v>71</v>
      </c>
      <c r="D45" s="14" t="s">
        <v>64</v>
      </c>
      <c r="E45" s="10" t="n">
        <v>10910.15</v>
      </c>
      <c r="F45" s="10" t="n">
        <v>9490.91</v>
      </c>
      <c r="G45" s="10" t="n">
        <v>7690.23</v>
      </c>
      <c r="H45" s="10" t="n">
        <v>762.42</v>
      </c>
      <c r="I45" s="10" t="n">
        <v>45.26</v>
      </c>
      <c r="J45" s="10" t="n">
        <v>30.88</v>
      </c>
      <c r="K45" s="10" t="n">
        <v>1372.07</v>
      </c>
      <c r="L45" s="10" t="n">
        <v>233.08</v>
      </c>
      <c r="M45" s="10" t="n">
        <v>159.77</v>
      </c>
      <c r="N45" s="10" t="n">
        <v>1876.39</v>
      </c>
      <c r="O45" s="10" t="n">
        <v>719.39</v>
      </c>
      <c r="P45" s="10" t="n">
        <v>549.61</v>
      </c>
      <c r="Q45" s="11" t="n">
        <f aca="false">F45/E45</f>
        <v>0.869915629024349</v>
      </c>
      <c r="R45" s="11" t="n">
        <f aca="false">G45/E45</f>
        <v>0.704869318936953</v>
      </c>
      <c r="S45" s="11" t="n">
        <f aca="false">H45/E45</f>
        <v>0.0698817156501056</v>
      </c>
      <c r="T45" s="11" t="n">
        <f aca="false">K45/E45</f>
        <v>0.125760874048478</v>
      </c>
      <c r="U45" s="11" t="n">
        <f aca="false">N45/E45</f>
        <v>0.171985719719711</v>
      </c>
      <c r="V45" s="11" t="n">
        <f aca="false">E45/E$13</f>
        <v>0.0945021959548419</v>
      </c>
      <c r="W45" s="12" t="n">
        <f aca="false">E45-E43-E44</f>
        <v>0</v>
      </c>
    </row>
    <row r="46" customFormat="false" ht="15" hidden="false" customHeight="false" outlineLevel="0" collapsed="false">
      <c r="A46" s="9" t="n">
        <v>40</v>
      </c>
      <c r="B46" s="9" t="s">
        <v>75</v>
      </c>
      <c r="C46" s="9" t="s">
        <v>72</v>
      </c>
      <c r="D46" s="9" t="s">
        <v>61</v>
      </c>
      <c r="E46" s="10" t="n">
        <v>2001.59</v>
      </c>
      <c r="F46" s="10" t="n">
        <v>1847.84</v>
      </c>
      <c r="G46" s="10" t="n">
        <v>1294.46</v>
      </c>
      <c r="H46" s="10" t="n">
        <v>25.03</v>
      </c>
      <c r="I46" s="10" t="n">
        <v>17.72</v>
      </c>
      <c r="J46" s="10" t="n">
        <v>18.96</v>
      </c>
      <c r="K46" s="10" t="n">
        <v>-15.76</v>
      </c>
      <c r="L46" s="10" t="n">
        <v>39.88</v>
      </c>
      <c r="M46" s="10" t="n">
        <v>33.21</v>
      </c>
      <c r="N46" s="10" t="n">
        <v>84.49</v>
      </c>
      <c r="O46" s="10" t="n">
        <v>24.69</v>
      </c>
      <c r="P46" s="10" t="n">
        <v>35.64</v>
      </c>
      <c r="Q46" s="11" t="n">
        <f aca="false">F46/E46</f>
        <v>0.923186067076674</v>
      </c>
      <c r="R46" s="11" t="n">
        <f aca="false">G46/E46</f>
        <v>0.646715860890592</v>
      </c>
      <c r="S46" s="11" t="n">
        <f aca="false">H46/E46</f>
        <v>0.0125050584785096</v>
      </c>
      <c r="T46" s="11" t="n">
        <f aca="false">K46/E46</f>
        <v>-0.00787374037640076</v>
      </c>
      <c r="U46" s="11" t="n">
        <f aca="false">N46/E46</f>
        <v>0.0422114419036866</v>
      </c>
      <c r="V46" s="11" t="n">
        <f aca="false">E46/E$13</f>
        <v>0.0173374931051591</v>
      </c>
    </row>
    <row r="47" customFormat="false" ht="15" hidden="false" customHeight="false" outlineLevel="0" collapsed="false">
      <c r="A47" s="9" t="n">
        <v>41</v>
      </c>
      <c r="B47" s="9" t="s">
        <v>75</v>
      </c>
      <c r="C47" s="9" t="s">
        <v>72</v>
      </c>
      <c r="D47" s="9" t="s">
        <v>65</v>
      </c>
      <c r="E47" s="10" t="n">
        <v>5736.9</v>
      </c>
      <c r="F47" s="10" t="n">
        <v>4888.04</v>
      </c>
      <c r="G47" s="10" t="n">
        <v>4019.38</v>
      </c>
      <c r="H47" s="10" t="n">
        <v>608.63</v>
      </c>
      <c r="I47" s="10" t="n">
        <v>15.91</v>
      </c>
      <c r="J47" s="10" t="n">
        <v>1.49</v>
      </c>
      <c r="K47" s="10" t="n">
        <v>809.28</v>
      </c>
      <c r="L47" s="10" t="n">
        <v>111.52</v>
      </c>
      <c r="M47" s="10" t="n">
        <v>53.19</v>
      </c>
      <c r="N47" s="10" t="n">
        <v>1168.17</v>
      </c>
      <c r="O47" s="10" t="n">
        <v>384.33</v>
      </c>
      <c r="P47" s="10" t="n">
        <v>203.79</v>
      </c>
      <c r="Q47" s="11" t="n">
        <f aca="false">F47/E47</f>
        <v>0.852035071205703</v>
      </c>
      <c r="R47" s="11" t="n">
        <f aca="false">G47/E47</f>
        <v>0.700618801094668</v>
      </c>
      <c r="S47" s="11" t="n">
        <f aca="false">H47/E47</f>
        <v>0.106090397252872</v>
      </c>
      <c r="T47" s="11" t="n">
        <f aca="false">K47/E47</f>
        <v>0.141065732364169</v>
      </c>
      <c r="U47" s="11" t="n">
        <f aca="false">N47/E47</f>
        <v>0.203623908382576</v>
      </c>
      <c r="V47" s="11" t="n">
        <f aca="false">E47/E$13</f>
        <v>0.0496922267772059</v>
      </c>
    </row>
    <row r="48" customFormat="false" ht="15" hidden="false" customHeight="false" outlineLevel="0" collapsed="false">
      <c r="A48" s="9" t="n">
        <v>42</v>
      </c>
      <c r="B48" s="9" t="s">
        <v>75</v>
      </c>
      <c r="C48" s="14" t="s">
        <v>72</v>
      </c>
      <c r="D48" s="14" t="s">
        <v>64</v>
      </c>
      <c r="E48" s="10" t="n">
        <v>7738.49</v>
      </c>
      <c r="F48" s="10" t="n">
        <v>6735.89</v>
      </c>
      <c r="G48" s="10" t="n">
        <v>5313.84</v>
      </c>
      <c r="H48" s="10" t="n">
        <v>633.66</v>
      </c>
      <c r="I48" s="10" t="n">
        <v>33.63</v>
      </c>
      <c r="J48" s="10" t="n">
        <v>20.45</v>
      </c>
      <c r="K48" s="10" t="n">
        <v>793.52</v>
      </c>
      <c r="L48" s="10" t="n">
        <v>151.4</v>
      </c>
      <c r="M48" s="10" t="n">
        <v>86.4</v>
      </c>
      <c r="N48" s="10" t="n">
        <v>1252.66</v>
      </c>
      <c r="O48" s="10" t="n">
        <v>409.01</v>
      </c>
      <c r="P48" s="10" t="n">
        <v>239.43</v>
      </c>
      <c r="Q48" s="11" t="n">
        <f aca="false">F48/E48</f>
        <v>0.870439840330607</v>
      </c>
      <c r="R48" s="11" t="n">
        <f aca="false">G48/E48</f>
        <v>0.686676599698391</v>
      </c>
      <c r="S48" s="11" t="n">
        <f aca="false">H48/E48</f>
        <v>0.0818841918772267</v>
      </c>
      <c r="T48" s="11" t="n">
        <f aca="false">K48/E48</f>
        <v>0.102541968782023</v>
      </c>
      <c r="U48" s="11" t="n">
        <f aca="false">N48/E48</f>
        <v>0.161873957322423</v>
      </c>
      <c r="V48" s="11" t="n">
        <f aca="false">E48/E$13</f>
        <v>0.067029719882365</v>
      </c>
      <c r="W48" s="12" t="n">
        <f aca="false">E48-E46-E47</f>
        <v>0</v>
      </c>
    </row>
    <row r="49" customFormat="false" ht="15" hidden="false" customHeight="false" outlineLevel="0" collapsed="false">
      <c r="A49" s="9" t="n">
        <v>43</v>
      </c>
      <c r="B49" s="9" t="s">
        <v>75</v>
      </c>
      <c r="C49" s="9" t="s">
        <v>76</v>
      </c>
      <c r="D49" s="9" t="s">
        <v>61</v>
      </c>
      <c r="E49" s="10" t="n">
        <v>1039.76</v>
      </c>
      <c r="F49" s="10" t="n">
        <v>1016.01</v>
      </c>
      <c r="G49" s="10" t="n">
        <v>1014.01</v>
      </c>
      <c r="H49" s="10" t="n">
        <v>-6.07</v>
      </c>
      <c r="I49" s="10" t="n">
        <v>-8.8</v>
      </c>
      <c r="J49" s="10" t="n">
        <v>-8.73</v>
      </c>
      <c r="K49" s="10" t="n">
        <v>3.22</v>
      </c>
      <c r="L49" s="10" t="n">
        <v>0.24</v>
      </c>
      <c r="M49" s="10" t="n">
        <v>1.22</v>
      </c>
      <c r="N49" s="10" t="n">
        <v>200.3</v>
      </c>
      <c r="O49" s="10" t="n">
        <v>185.73</v>
      </c>
      <c r="P49" s="10" t="n">
        <v>184.44</v>
      </c>
      <c r="Q49" s="11" t="n">
        <f aca="false">F49/E49</f>
        <v>0.97715819035162</v>
      </c>
      <c r="R49" s="11" t="n">
        <f aca="false">G49/E49</f>
        <v>0.975234669539124</v>
      </c>
      <c r="S49" s="11" t="n">
        <f aca="false">H49/E49</f>
        <v>-0.00583788566592291</v>
      </c>
      <c r="T49" s="11" t="n">
        <f aca="false">K49/E49</f>
        <v>0.00309686850811726</v>
      </c>
      <c r="U49" s="11" t="n">
        <f aca="false">N49/E49</f>
        <v>0.192640609371393</v>
      </c>
      <c r="V49" s="11" t="n">
        <f aca="false">E49/E$13</f>
        <v>0.00900625594203622</v>
      </c>
    </row>
    <row r="50" customFormat="false" ht="15" hidden="false" customHeight="false" outlineLevel="0" collapsed="false">
      <c r="A50" s="9" t="n">
        <v>44</v>
      </c>
      <c r="B50" s="9" t="s">
        <v>75</v>
      </c>
      <c r="C50" s="9" t="s">
        <v>76</v>
      </c>
      <c r="D50" s="9" t="s">
        <v>65</v>
      </c>
      <c r="E50" s="10" t="n">
        <v>1390.97</v>
      </c>
      <c r="F50" s="10" t="n">
        <v>1344.45</v>
      </c>
      <c r="G50" s="10" t="n">
        <v>1343.14</v>
      </c>
      <c r="H50" s="10" t="n">
        <v>63.63</v>
      </c>
      <c r="I50" s="10" t="n">
        <v>20.16</v>
      </c>
      <c r="J50" s="10" t="n">
        <v>20.31</v>
      </c>
      <c r="K50" s="10" t="n">
        <v>94.17</v>
      </c>
      <c r="L50" s="10" t="n">
        <v>50.67</v>
      </c>
      <c r="M50" s="10" t="n">
        <v>50.88</v>
      </c>
      <c r="N50" s="10" t="n">
        <v>249.05</v>
      </c>
      <c r="O50" s="10" t="n">
        <v>202.54</v>
      </c>
      <c r="P50" s="10" t="n">
        <v>203.19</v>
      </c>
      <c r="Q50" s="11" t="n">
        <f aca="false">F50/E50</f>
        <v>0.966555712919761</v>
      </c>
      <c r="R50" s="11" t="n">
        <f aca="false">G50/E50</f>
        <v>0.965613924096134</v>
      </c>
      <c r="S50" s="11" t="n">
        <f aca="false">H50/E50</f>
        <v>0.045745055608676</v>
      </c>
      <c r="T50" s="11" t="n">
        <f aca="false">K50/E50</f>
        <v>0.0677009568862017</v>
      </c>
      <c r="U50" s="11" t="n">
        <f aca="false">N50/E50</f>
        <v>0.179047714903988</v>
      </c>
      <c r="V50" s="11" t="n">
        <f aca="false">E50/E$13</f>
        <v>0.0120483879238422</v>
      </c>
    </row>
    <row r="51" customFormat="false" ht="15" hidden="false" customHeight="false" outlineLevel="0" collapsed="false">
      <c r="A51" s="9" t="n">
        <v>45</v>
      </c>
      <c r="B51" s="9" t="s">
        <v>75</v>
      </c>
      <c r="C51" s="14" t="s">
        <v>76</v>
      </c>
      <c r="D51" s="14" t="s">
        <v>64</v>
      </c>
      <c r="E51" s="10" t="n">
        <v>2430.73</v>
      </c>
      <c r="F51" s="10" t="n">
        <v>2360.47</v>
      </c>
      <c r="G51" s="10" t="n">
        <v>2357.15</v>
      </c>
      <c r="H51" s="10" t="n">
        <v>57.56</v>
      </c>
      <c r="I51" s="10" t="n">
        <v>11.36</v>
      </c>
      <c r="J51" s="10" t="n">
        <v>11.58</v>
      </c>
      <c r="K51" s="10" t="n">
        <v>97.39</v>
      </c>
      <c r="L51" s="10" t="n">
        <v>50.91</v>
      </c>
      <c r="M51" s="10" t="n">
        <v>52.1</v>
      </c>
      <c r="N51" s="10" t="n">
        <v>449.36</v>
      </c>
      <c r="O51" s="10" t="n">
        <v>388.27</v>
      </c>
      <c r="P51" s="10" t="n">
        <v>387.63</v>
      </c>
      <c r="Q51" s="11" t="n">
        <f aca="false">F51/E51</f>
        <v>0.971095103117171</v>
      </c>
      <c r="R51" s="11" t="n">
        <f aca="false">G51/E51</f>
        <v>0.969729258288662</v>
      </c>
      <c r="S51" s="11" t="n">
        <f aca="false">H51/E51</f>
        <v>0.0236801290147404</v>
      </c>
      <c r="T51" s="11" t="n">
        <f aca="false">K51/E51</f>
        <v>0.0400661529663928</v>
      </c>
      <c r="U51" s="11" t="n">
        <f aca="false">N51/E51</f>
        <v>0.18486627474051</v>
      </c>
      <c r="V51" s="11" t="n">
        <f aca="false">E51/E$13</f>
        <v>0.0210546438658784</v>
      </c>
      <c r="W51" s="12" t="n">
        <f aca="false">E51-E49-E50</f>
        <v>0</v>
      </c>
    </row>
    <row r="52" customFormat="false" ht="15" hidden="false" customHeight="false" outlineLevel="0" collapsed="false">
      <c r="A52" s="9" t="n">
        <v>46</v>
      </c>
      <c r="B52" s="9" t="s">
        <v>75</v>
      </c>
      <c r="C52" s="9" t="s">
        <v>77</v>
      </c>
      <c r="D52" s="9" t="s">
        <v>61</v>
      </c>
      <c r="E52" s="10" t="n">
        <v>84.19</v>
      </c>
      <c r="F52" s="10" t="n">
        <v>57.25</v>
      </c>
      <c r="G52" s="10" t="n">
        <v>0</v>
      </c>
      <c r="H52" s="10" t="n">
        <v>-37.26</v>
      </c>
      <c r="I52" s="10" t="n">
        <v>3.14</v>
      </c>
      <c r="J52" s="10" t="n">
        <v>0</v>
      </c>
      <c r="K52" s="10" t="n">
        <v>-56.31</v>
      </c>
      <c r="L52" s="10" t="n">
        <v>1.16</v>
      </c>
      <c r="M52" s="10" t="n">
        <v>0</v>
      </c>
      <c r="N52" s="10" t="n">
        <v>-193.3</v>
      </c>
      <c r="O52" s="10" t="n">
        <v>-3.5</v>
      </c>
      <c r="P52" s="10" t="n">
        <v>0</v>
      </c>
      <c r="Q52" s="11" t="n">
        <f aca="false">F52/E52</f>
        <v>0.68000950231619</v>
      </c>
      <c r="R52" s="11" t="n">
        <f aca="false">G52/E52</f>
        <v>0</v>
      </c>
      <c r="S52" s="11" t="n">
        <f aca="false">H52/E52</f>
        <v>-0.442570376529279</v>
      </c>
      <c r="T52" s="11" t="n">
        <f aca="false">K52/E52</f>
        <v>-0.668844280793444</v>
      </c>
      <c r="U52" s="11" t="n">
        <f aca="false">N52/E52</f>
        <v>-2.29599714930514</v>
      </c>
      <c r="V52" s="11" t="n">
        <f aca="false">E52/E$13</f>
        <v>0.000729242024851917</v>
      </c>
    </row>
    <row r="53" customFormat="false" ht="15" hidden="false" customHeight="false" outlineLevel="0" collapsed="false">
      <c r="A53" s="9" t="n">
        <v>47</v>
      </c>
      <c r="B53" s="9" t="s">
        <v>75</v>
      </c>
      <c r="C53" s="9" t="s">
        <v>77</v>
      </c>
      <c r="D53" s="9" t="s">
        <v>65</v>
      </c>
      <c r="E53" s="10" t="n">
        <v>13353.4</v>
      </c>
      <c r="F53" s="10" t="n">
        <v>2134.88</v>
      </c>
      <c r="G53" s="10" t="n">
        <v>0</v>
      </c>
      <c r="H53" s="10" t="n">
        <v>-754.84</v>
      </c>
      <c r="I53" s="10" t="n">
        <v>-12.32</v>
      </c>
      <c r="J53" s="10" t="n">
        <v>0</v>
      </c>
      <c r="K53" s="10" t="n">
        <v>-1490.12</v>
      </c>
      <c r="L53" s="10" t="n">
        <v>-44.38</v>
      </c>
      <c r="M53" s="10" t="n">
        <v>0</v>
      </c>
      <c r="N53" s="10" t="n">
        <v>-1233.76</v>
      </c>
      <c r="O53" s="10" t="n">
        <v>-147.81</v>
      </c>
      <c r="P53" s="10" t="n">
        <v>0</v>
      </c>
      <c r="Q53" s="11" t="n">
        <f aca="false">F53/E53</f>
        <v>0.15987538754175</v>
      </c>
      <c r="R53" s="11" t="n">
        <f aca="false">G53/E53</f>
        <v>0</v>
      </c>
      <c r="S53" s="11" t="n">
        <f aca="false">H53/E53</f>
        <v>-0.0565279254721644</v>
      </c>
      <c r="T53" s="11" t="n">
        <f aca="false">K53/E53</f>
        <v>-0.11159105546153</v>
      </c>
      <c r="U53" s="11" t="n">
        <f aca="false">N53/E53</f>
        <v>-0.0923929486123384</v>
      </c>
      <c r="V53" s="11" t="n">
        <f aca="false">E53/E$13</f>
        <v>0.115665286312598</v>
      </c>
    </row>
    <row r="54" customFormat="false" ht="15" hidden="false" customHeight="false" outlineLevel="0" collapsed="false">
      <c r="A54" s="9" t="n">
        <v>48</v>
      </c>
      <c r="B54" s="9" t="s">
        <v>75</v>
      </c>
      <c r="C54" s="14" t="s">
        <v>77</v>
      </c>
      <c r="D54" s="14" t="s">
        <v>64</v>
      </c>
      <c r="E54" s="10" t="n">
        <v>13437.58</v>
      </c>
      <c r="F54" s="10" t="n">
        <v>2192.14</v>
      </c>
      <c r="G54" s="10" t="n">
        <v>0</v>
      </c>
      <c r="H54" s="10" t="n">
        <v>-792.1</v>
      </c>
      <c r="I54" s="10" t="n">
        <v>-9.18</v>
      </c>
      <c r="J54" s="10" t="n">
        <v>0</v>
      </c>
      <c r="K54" s="10" t="n">
        <v>-1546.43</v>
      </c>
      <c r="L54" s="10" t="n">
        <v>-43.22</v>
      </c>
      <c r="M54" s="10" t="n">
        <v>0</v>
      </c>
      <c r="N54" s="10" t="n">
        <v>-1427.07</v>
      </c>
      <c r="O54" s="10" t="n">
        <v>-151.3</v>
      </c>
      <c r="P54" s="10" t="n">
        <v>0</v>
      </c>
      <c r="Q54" s="11" t="n">
        <f aca="false">F54/E54</f>
        <v>0.163135028777503</v>
      </c>
      <c r="R54" s="11" t="n">
        <f aca="false">G54/E54</f>
        <v>0</v>
      </c>
      <c r="S54" s="11" t="n">
        <f aca="false">H54/E54</f>
        <v>-0.0589466258061347</v>
      </c>
      <c r="T54" s="11" t="n">
        <f aca="false">K54/E54</f>
        <v>-0.115082477648505</v>
      </c>
      <c r="U54" s="11" t="n">
        <f aca="false">N54/E54</f>
        <v>-0.106199925879511</v>
      </c>
      <c r="V54" s="11" t="n">
        <f aca="false">E54/E$13</f>
        <v>0.116394441718846</v>
      </c>
      <c r="W54" s="12" t="n">
        <f aca="false">E54-E52-E53</f>
        <v>-0.0100000000002183</v>
      </c>
    </row>
    <row r="55" customFormat="false" ht="15" hidden="false" customHeight="false" outlineLevel="0" collapsed="false">
      <c r="A55" s="9" t="n">
        <v>49</v>
      </c>
      <c r="B55" s="9" t="s">
        <v>75</v>
      </c>
      <c r="C55" s="9" t="s">
        <v>78</v>
      </c>
      <c r="D55" s="9" t="s">
        <v>61</v>
      </c>
      <c r="E55" s="10" t="n">
        <v>1196.13</v>
      </c>
      <c r="F55" s="10" t="n">
        <v>462.87</v>
      </c>
      <c r="G55" s="10" t="n">
        <v>159.65</v>
      </c>
      <c r="H55" s="10" t="n">
        <v>10.06</v>
      </c>
      <c r="I55" s="10" t="n">
        <v>12.68</v>
      </c>
      <c r="J55" s="10" t="n">
        <v>-5.17</v>
      </c>
      <c r="K55" s="10" t="n">
        <v>62.33</v>
      </c>
      <c r="L55" s="10" t="n">
        <v>31.72</v>
      </c>
      <c r="M55" s="10" t="n">
        <v>-5.93</v>
      </c>
      <c r="N55" s="10" t="n">
        <v>95.52</v>
      </c>
      <c r="O55" s="10" t="n">
        <v>57.31</v>
      </c>
      <c r="P55" s="10" t="n">
        <v>2.69</v>
      </c>
      <c r="Q55" s="11" t="n">
        <f aca="false">F55/E55</f>
        <v>0.386972987885932</v>
      </c>
      <c r="R55" s="11" t="n">
        <f aca="false">G55/E55</f>
        <v>0.133472114235075</v>
      </c>
      <c r="S55" s="11" t="n">
        <f aca="false">H55/E55</f>
        <v>0.00841045705734327</v>
      </c>
      <c r="T55" s="11" t="n">
        <f aca="false">K55/E55</f>
        <v>0.0521097205153286</v>
      </c>
      <c r="U55" s="11" t="n">
        <f aca="false">N55/E55</f>
        <v>0.0798575405683329</v>
      </c>
      <c r="V55" s="11" t="n">
        <f aca="false">E55/E$13</f>
        <v>0.0103607110486533</v>
      </c>
    </row>
    <row r="56" customFormat="false" ht="15" hidden="false" customHeight="false" outlineLevel="0" collapsed="false">
      <c r="A56" s="9" t="n">
        <v>50</v>
      </c>
      <c r="B56" s="9" t="s">
        <v>75</v>
      </c>
      <c r="C56" s="9" t="s">
        <v>78</v>
      </c>
      <c r="D56" s="9" t="s">
        <v>65</v>
      </c>
      <c r="E56" s="10" t="n">
        <v>525.77</v>
      </c>
      <c r="F56" s="10" t="n">
        <v>120.5</v>
      </c>
      <c r="G56" s="10" t="n">
        <v>23.78</v>
      </c>
      <c r="H56" s="10" t="n">
        <v>56.77</v>
      </c>
      <c r="I56" s="10" t="n">
        <v>61.08</v>
      </c>
      <c r="J56" s="10" t="n">
        <v>-2.79</v>
      </c>
      <c r="K56" s="10" t="n">
        <v>87</v>
      </c>
      <c r="L56" s="10" t="n">
        <v>64.76</v>
      </c>
      <c r="M56" s="10" t="n">
        <v>-1.41</v>
      </c>
      <c r="N56" s="10" t="n">
        <v>194.16</v>
      </c>
      <c r="O56" s="10" t="n">
        <v>62.93</v>
      </c>
      <c r="P56" s="10" t="n">
        <v>-2.51</v>
      </c>
      <c r="Q56" s="11" t="n">
        <f aca="false">F56/E56</f>
        <v>0.229187667611313</v>
      </c>
      <c r="R56" s="11" t="n">
        <f aca="false">G56/E56</f>
        <v>0.0452289023717595</v>
      </c>
      <c r="S56" s="11" t="n">
        <f aca="false">H56/E56</f>
        <v>0.107974970043936</v>
      </c>
      <c r="T56" s="11" t="n">
        <f aca="false">K56/E56</f>
        <v>0.165471594043023</v>
      </c>
      <c r="U56" s="11" t="n">
        <f aca="false">N56/E56</f>
        <v>0.369286950567739</v>
      </c>
      <c r="V56" s="11" t="n">
        <f aca="false">E56/E$13</f>
        <v>0.00455414632861851</v>
      </c>
    </row>
    <row r="57" customFormat="false" ht="15" hidden="false" customHeight="false" outlineLevel="0" collapsed="false">
      <c r="A57" s="9" t="n">
        <v>51</v>
      </c>
      <c r="B57" s="9" t="s">
        <v>75</v>
      </c>
      <c r="C57" s="14" t="s">
        <v>78</v>
      </c>
      <c r="D57" s="14" t="s">
        <v>64</v>
      </c>
      <c r="E57" s="10" t="n">
        <v>1721.9</v>
      </c>
      <c r="F57" s="10" t="n">
        <v>583.37</v>
      </c>
      <c r="G57" s="10" t="n">
        <v>183.43</v>
      </c>
      <c r="H57" s="10" t="n">
        <v>66.83</v>
      </c>
      <c r="I57" s="10" t="n">
        <v>73.76</v>
      </c>
      <c r="J57" s="10" t="n">
        <v>-7.96</v>
      </c>
      <c r="K57" s="10" t="n">
        <v>149.33</v>
      </c>
      <c r="L57" s="10" t="n">
        <v>96.48</v>
      </c>
      <c r="M57" s="10" t="n">
        <v>-7.34</v>
      </c>
      <c r="N57" s="10" t="n">
        <v>289.68</v>
      </c>
      <c r="O57" s="10" t="n">
        <v>120.24</v>
      </c>
      <c r="P57" s="10" t="n">
        <v>0.19</v>
      </c>
      <c r="Q57" s="11" t="n">
        <f aca="false">F57/E57</f>
        <v>0.338794355072885</v>
      </c>
      <c r="R57" s="11" t="n">
        <f aca="false">G57/E57</f>
        <v>0.106527672919449</v>
      </c>
      <c r="S57" s="11" t="n">
        <f aca="false">H57/E57</f>
        <v>0.0388117776874383</v>
      </c>
      <c r="T57" s="11" t="n">
        <f aca="false">K57/E57</f>
        <v>0.0867239677100877</v>
      </c>
      <c r="U57" s="11" t="n">
        <f aca="false">N57/E57</f>
        <v>0.168232766130437</v>
      </c>
      <c r="V57" s="11" t="n">
        <f aca="false">E57/E$13</f>
        <v>0.0149148573772718</v>
      </c>
      <c r="W57" s="12" t="n">
        <f aca="false">E57-E55-E56</f>
        <v>0</v>
      </c>
    </row>
    <row r="58" customFormat="false" ht="15" hidden="false" customHeight="false" outlineLevel="0" collapsed="false">
      <c r="A58" s="9" t="n">
        <v>52</v>
      </c>
      <c r="B58" s="9" t="s">
        <v>75</v>
      </c>
      <c r="C58" s="9" t="s">
        <v>79</v>
      </c>
      <c r="D58" s="9" t="s">
        <v>61</v>
      </c>
      <c r="E58" s="10" t="n">
        <v>615.53</v>
      </c>
      <c r="F58" s="10" t="n">
        <v>118.91</v>
      </c>
      <c r="G58" s="10" t="n">
        <v>0.51</v>
      </c>
      <c r="H58" s="10" t="n">
        <v>19.76</v>
      </c>
      <c r="I58" s="10" t="n">
        <v>-6.82</v>
      </c>
      <c r="J58" s="10" t="n">
        <v>-0.03</v>
      </c>
      <c r="K58" s="10" t="n">
        <v>-354.86</v>
      </c>
      <c r="L58" s="10" t="n">
        <v>30.13</v>
      </c>
      <c r="M58" s="10" t="n">
        <v>0.03</v>
      </c>
      <c r="N58" s="10" t="n">
        <v>-420.24</v>
      </c>
      <c r="O58" s="10" t="n">
        <v>7.43</v>
      </c>
      <c r="P58" s="10" t="n">
        <v>-0.04</v>
      </c>
      <c r="Q58" s="11" t="n">
        <f aca="false">F58/E58</f>
        <v>0.193183110490147</v>
      </c>
      <c r="R58" s="11" t="n">
        <f aca="false">G58/E58</f>
        <v>0.000828554254057479</v>
      </c>
      <c r="S58" s="11" t="n">
        <f aca="false">H58/E58</f>
        <v>0.0321024158042662</v>
      </c>
      <c r="T58" s="11" t="n">
        <f aca="false">K58/E58</f>
        <v>-0.576511299205563</v>
      </c>
      <c r="U58" s="11" t="n">
        <f aca="false">N58/E58</f>
        <v>-0.682728705343363</v>
      </c>
      <c r="V58" s="11" t="n">
        <f aca="false">E58/E$13</f>
        <v>0.00533163491575128</v>
      </c>
    </row>
    <row r="59" customFormat="false" ht="15" hidden="false" customHeight="false" outlineLevel="0" collapsed="false">
      <c r="A59" s="9" t="n">
        <v>53</v>
      </c>
      <c r="B59" s="9" t="s">
        <v>75</v>
      </c>
      <c r="C59" s="9" t="s">
        <v>79</v>
      </c>
      <c r="D59" s="9" t="s">
        <v>65</v>
      </c>
      <c r="E59" s="10" t="n">
        <v>2017.97</v>
      </c>
      <c r="F59" s="10" t="n">
        <v>327.21</v>
      </c>
      <c r="G59" s="10" t="n">
        <v>0.17</v>
      </c>
      <c r="H59" s="10" t="n">
        <v>-314.52</v>
      </c>
      <c r="I59" s="10" t="n">
        <v>-39.82</v>
      </c>
      <c r="J59" s="10" t="n">
        <v>0</v>
      </c>
      <c r="K59" s="10" t="n">
        <v>-765.92</v>
      </c>
      <c r="L59" s="10" t="n">
        <v>-44.16</v>
      </c>
      <c r="M59" s="10" t="n">
        <v>0</v>
      </c>
      <c r="N59" s="10" t="n">
        <v>-867.41</v>
      </c>
      <c r="O59" s="10" t="n">
        <v>-27.94</v>
      </c>
      <c r="P59" s="10" t="n">
        <v>0</v>
      </c>
      <c r="Q59" s="11" t="n">
        <f aca="false">F59/E59</f>
        <v>0.162148099327542</v>
      </c>
      <c r="R59" s="11" t="n">
        <f aca="false">G59/E59</f>
        <v>8.42430759624772E-005</v>
      </c>
      <c r="S59" s="11" t="n">
        <f aca="false">H59/E59</f>
        <v>-0.155859601480696</v>
      </c>
      <c r="T59" s="11" t="n">
        <f aca="false">K59/E59</f>
        <v>-0.379549745536356</v>
      </c>
      <c r="U59" s="11" t="n">
        <f aca="false">N59/E59</f>
        <v>-0.429842861885955</v>
      </c>
      <c r="V59" s="11" t="n">
        <f aca="false">E59/E$13</f>
        <v>0.0174793743780784</v>
      </c>
    </row>
    <row r="60" customFormat="false" ht="15" hidden="false" customHeight="false" outlineLevel="0" collapsed="false">
      <c r="A60" s="9" t="n">
        <v>54</v>
      </c>
      <c r="B60" s="9" t="s">
        <v>75</v>
      </c>
      <c r="C60" s="14" t="s">
        <v>79</v>
      </c>
      <c r="D60" s="14" t="s">
        <v>64</v>
      </c>
      <c r="E60" s="10" t="n">
        <v>2633.49</v>
      </c>
      <c r="F60" s="10" t="n">
        <v>446.12</v>
      </c>
      <c r="G60" s="10" t="n">
        <v>0.68</v>
      </c>
      <c r="H60" s="10" t="n">
        <v>-294.76</v>
      </c>
      <c r="I60" s="10" t="n">
        <v>-46.65</v>
      </c>
      <c r="J60" s="10" t="n">
        <v>-0.03</v>
      </c>
      <c r="K60" s="10" t="n">
        <v>-1120.78</v>
      </c>
      <c r="L60" s="10" t="n">
        <v>-14.03</v>
      </c>
      <c r="M60" s="10" t="n">
        <v>0.03</v>
      </c>
      <c r="N60" s="10" t="n">
        <v>-1287.65</v>
      </c>
      <c r="O60" s="10" t="n">
        <v>-20.51</v>
      </c>
      <c r="P60" s="10" t="n">
        <v>-0.04</v>
      </c>
      <c r="Q60" s="11" t="n">
        <f aca="false">F60/E60</f>
        <v>0.169402579846515</v>
      </c>
      <c r="R60" s="11" t="n">
        <f aca="false">G60/E60</f>
        <v>0.0002582124860926</v>
      </c>
      <c r="S60" s="11" t="n">
        <f aca="false">H60/E60</f>
        <v>-0.111927518236257</v>
      </c>
      <c r="T60" s="11" t="n">
        <f aca="false">K60/E60</f>
        <v>-0.4255873384748</v>
      </c>
      <c r="U60" s="11" t="n">
        <f aca="false">N60/E60</f>
        <v>-0.488951923113435</v>
      </c>
      <c r="V60" s="11" t="n">
        <f aca="false">E60/E$13</f>
        <v>0.022810922675226</v>
      </c>
      <c r="W60" s="12" t="n">
        <f aca="false">E60-E58-E59</f>
        <v>-0.0100000000002183</v>
      </c>
    </row>
    <row r="61" customFormat="false" ht="15" hidden="false" customHeight="false" outlineLevel="0" collapsed="false">
      <c r="A61" s="9" t="n">
        <v>55</v>
      </c>
      <c r="B61" s="9" t="s">
        <v>75</v>
      </c>
      <c r="C61" s="9" t="s">
        <v>73</v>
      </c>
      <c r="D61" s="9" t="s">
        <v>61</v>
      </c>
      <c r="E61" s="10" t="n">
        <v>3352.02</v>
      </c>
      <c r="F61" s="10" t="n">
        <v>2851.45</v>
      </c>
      <c r="G61" s="10" t="n">
        <v>1900.94</v>
      </c>
      <c r="H61" s="10" t="n">
        <v>93.58</v>
      </c>
      <c r="I61" s="10" t="n">
        <v>121.2</v>
      </c>
      <c r="J61" s="10" t="n">
        <v>98.59</v>
      </c>
      <c r="K61" s="10" t="n">
        <v>206.66</v>
      </c>
      <c r="L61" s="10" t="n">
        <v>260.37</v>
      </c>
      <c r="M61" s="10" t="n">
        <v>202.32</v>
      </c>
      <c r="N61" s="10" t="n">
        <v>181.63</v>
      </c>
      <c r="O61" s="10" t="n">
        <v>115.44</v>
      </c>
      <c r="P61" s="10" t="n">
        <v>98.08</v>
      </c>
      <c r="Q61" s="11" t="n">
        <f aca="false">F61/E61</f>
        <v>0.85066616547634</v>
      </c>
      <c r="R61" s="11" t="n">
        <f aca="false">G61/E61</f>
        <v>0.56710282158221</v>
      </c>
      <c r="S61" s="11" t="n">
        <f aca="false">H61/E61</f>
        <v>0.027917494525689</v>
      </c>
      <c r="T61" s="11" t="n">
        <f aca="false">K61/E61</f>
        <v>0.0616523767757949</v>
      </c>
      <c r="U61" s="11" t="n">
        <f aca="false">N61/E61</f>
        <v>0.0541852375582485</v>
      </c>
      <c r="V61" s="11" t="n">
        <f aca="false">E61/E$13</f>
        <v>0.0290347292094563</v>
      </c>
    </row>
    <row r="62" customFormat="false" ht="15" hidden="false" customHeight="false" outlineLevel="0" collapsed="false">
      <c r="A62" s="9" t="n">
        <v>56</v>
      </c>
      <c r="B62" s="9" t="s">
        <v>75</v>
      </c>
      <c r="C62" s="9" t="s">
        <v>73</v>
      </c>
      <c r="D62" s="9" t="s">
        <v>65</v>
      </c>
      <c r="E62" s="10" t="n">
        <v>6521.41</v>
      </c>
      <c r="F62" s="10" t="n">
        <v>4907.9</v>
      </c>
      <c r="G62" s="10" t="n">
        <v>2453.44</v>
      </c>
      <c r="H62" s="10" t="n">
        <v>843.38</v>
      </c>
      <c r="I62" s="10" t="n">
        <v>300.34</v>
      </c>
      <c r="J62" s="10" t="n">
        <v>125.37</v>
      </c>
      <c r="K62" s="10" t="n">
        <v>1076.45</v>
      </c>
      <c r="L62" s="10" t="n">
        <v>589.88</v>
      </c>
      <c r="M62" s="10" t="n">
        <v>238.29</v>
      </c>
      <c r="N62" s="10" t="n">
        <v>1959.61</v>
      </c>
      <c r="O62" s="10" t="n">
        <v>1200.66</v>
      </c>
      <c r="P62" s="10" t="n">
        <v>460.97</v>
      </c>
      <c r="Q62" s="11" t="n">
        <f aca="false">F62/E62</f>
        <v>0.752582647004252</v>
      </c>
      <c r="R62" s="11" t="n">
        <f aca="false">G62/E62</f>
        <v>0.376213119555434</v>
      </c>
      <c r="S62" s="11" t="n">
        <f aca="false">H62/E62</f>
        <v>0.1293247932579</v>
      </c>
      <c r="T62" s="11" t="n">
        <f aca="false">K62/E62</f>
        <v>0.165063996896377</v>
      </c>
      <c r="U62" s="11" t="n">
        <f aca="false">N62/E62</f>
        <v>0.300488697996292</v>
      </c>
      <c r="V62" s="11" t="n">
        <f aca="false">E62/E$13</f>
        <v>0.0564875428588851</v>
      </c>
    </row>
    <row r="63" customFormat="false" ht="15" hidden="false" customHeight="false" outlineLevel="0" collapsed="false">
      <c r="A63" s="9" t="n">
        <v>57</v>
      </c>
      <c r="B63" s="9" t="s">
        <v>75</v>
      </c>
      <c r="C63" s="14" t="s">
        <v>73</v>
      </c>
      <c r="D63" s="14" t="s">
        <v>64</v>
      </c>
      <c r="E63" s="10" t="n">
        <v>9873.42</v>
      </c>
      <c r="F63" s="10" t="n">
        <v>7759.35</v>
      </c>
      <c r="G63" s="10" t="n">
        <v>4354.38</v>
      </c>
      <c r="H63" s="10" t="n">
        <v>936.96</v>
      </c>
      <c r="I63" s="10" t="n">
        <v>421.55</v>
      </c>
      <c r="J63" s="10" t="n">
        <v>223.96</v>
      </c>
      <c r="K63" s="10" t="n">
        <v>1283.11</v>
      </c>
      <c r="L63" s="10" t="n">
        <v>850.25</v>
      </c>
      <c r="M63" s="10" t="n">
        <v>440.61</v>
      </c>
      <c r="N63" s="10" t="n">
        <v>2141.25</v>
      </c>
      <c r="O63" s="10" t="n">
        <v>1316.1</v>
      </c>
      <c r="P63" s="10" t="n">
        <v>559.04</v>
      </c>
      <c r="Q63" s="11" t="n">
        <f aca="false">F63/E63</f>
        <v>0.785882703257838</v>
      </c>
      <c r="R63" s="11" t="n">
        <f aca="false">G63/E63</f>
        <v>0.441020436687592</v>
      </c>
      <c r="S63" s="11" t="n">
        <f aca="false">H63/E63</f>
        <v>0.0948972088698749</v>
      </c>
      <c r="T63" s="11" t="n">
        <f aca="false">K63/E63</f>
        <v>0.129955982830671</v>
      </c>
      <c r="U63" s="11" t="n">
        <f aca="false">N63/E63</f>
        <v>0.216870142260736</v>
      </c>
      <c r="V63" s="11" t="n">
        <f aca="false">E63/E$13</f>
        <v>0.0855221854497377</v>
      </c>
      <c r="W63" s="12" t="n">
        <f aca="false">E63-E61-E62</f>
        <v>-0.0100000000002183</v>
      </c>
    </row>
    <row r="64" customFormat="false" ht="15" hidden="false" customHeight="false" outlineLevel="0" collapsed="false">
      <c r="A64" s="9" t="n">
        <v>58</v>
      </c>
      <c r="B64" s="9" t="s">
        <v>75</v>
      </c>
      <c r="C64" s="14" t="s">
        <v>68</v>
      </c>
      <c r="D64" s="14" t="s">
        <v>68</v>
      </c>
      <c r="E64" s="10" t="n">
        <v>115448.64</v>
      </c>
      <c r="F64" s="10" t="n">
        <v>64103.64</v>
      </c>
      <c r="G64" s="10" t="n">
        <v>44426.48</v>
      </c>
      <c r="H64" s="10" t="n">
        <v>20567.85</v>
      </c>
      <c r="I64" s="10" t="n">
        <v>982.36</v>
      </c>
      <c r="J64" s="10" t="n">
        <v>417.21</v>
      </c>
      <c r="K64" s="10" t="n">
        <v>28049.87</v>
      </c>
      <c r="L64" s="10" t="n">
        <v>2162.64</v>
      </c>
      <c r="M64" s="10" t="n">
        <v>1102.6</v>
      </c>
      <c r="N64" s="10" t="n">
        <v>32349.73</v>
      </c>
      <c r="O64" s="10" t="n">
        <v>5037.91</v>
      </c>
      <c r="P64" s="10" t="n">
        <v>2921.84</v>
      </c>
      <c r="Q64" s="11" t="n">
        <f aca="false">F64/E64</f>
        <v>0.555256779118403</v>
      </c>
      <c r="R64" s="11" t="n">
        <f aca="false">G64/E64</f>
        <v>0.384815966649759</v>
      </c>
      <c r="S64" s="11" t="n">
        <f aca="false">H64/E64</f>
        <v>0.17815584488479</v>
      </c>
      <c r="T64" s="11" t="n">
        <f aca="false">K64/E64</f>
        <v>0.242964057437143</v>
      </c>
      <c r="U64" s="11" t="n">
        <f aca="false">N64/E64</f>
        <v>0.280208844383095</v>
      </c>
      <c r="V64" s="11" t="n">
        <f aca="false">E64/E$13</f>
        <v>1</v>
      </c>
      <c r="W64" s="12" t="n">
        <f aca="false">E64-(E42+E45+E48+E51+E54+E57+E60+E63)</f>
        <v>0.0200000000040745</v>
      </c>
      <c r="X64" s="10" t="n">
        <v>94880.79</v>
      </c>
      <c r="Y64" s="12" t="n">
        <f aca="false">E64-X64</f>
        <v>20567.85</v>
      </c>
      <c r="Z64" s="13" t="str">
        <f aca="false">TEXT(83098.91,"#,##0.00")&amp;" / "&amp;TEXT(E64-83098.91,"+#,##0.00;-#,##0.00")</f>
        <v>83,098.91 / +32,349.73</v>
      </c>
      <c r="AA64" s="12" t="n">
        <f aca="false">H64-Y64</f>
        <v>0</v>
      </c>
    </row>
    <row r="65" customFormat="false" ht="15" hidden="false" customHeight="false" outlineLevel="0" collapsed="false">
      <c r="A65" s="9" t="n">
        <v>59</v>
      </c>
      <c r="B65" s="9" t="s">
        <v>80</v>
      </c>
      <c r="C65" s="9" t="s">
        <v>81</v>
      </c>
      <c r="D65" s="9" t="s">
        <v>61</v>
      </c>
      <c r="E65" s="10" t="n">
        <v>920.97</v>
      </c>
      <c r="F65" s="10" t="n">
        <v>878.69</v>
      </c>
      <c r="G65" s="10" t="n">
        <v>878.66</v>
      </c>
      <c r="H65" s="10" t="n">
        <v>32.28</v>
      </c>
      <c r="I65" s="10" t="n">
        <v>11.89</v>
      </c>
      <c r="J65" s="10" t="n">
        <v>11.89</v>
      </c>
      <c r="K65" s="10" t="n">
        <v>43.47</v>
      </c>
      <c r="L65" s="10" t="n">
        <v>23.66</v>
      </c>
      <c r="M65" s="10" t="n">
        <v>23.66</v>
      </c>
      <c r="N65" s="10" t="n">
        <v>80.55</v>
      </c>
      <c r="O65" s="10" t="n">
        <v>55.62</v>
      </c>
      <c r="P65" s="10" t="n">
        <v>55.62</v>
      </c>
      <c r="Q65" s="11" t="n">
        <f aca="false">F65/E65</f>
        <v>0.95409188138593</v>
      </c>
      <c r="R65" s="11" t="n">
        <f aca="false">G65/E65</f>
        <v>0.954059307034974</v>
      </c>
      <c r="S65" s="11" t="n">
        <f aca="false">H65/E65</f>
        <v>0.0350500016287176</v>
      </c>
      <c r="T65" s="11" t="n">
        <f aca="false">K65/E65</f>
        <v>0.0472002345353269</v>
      </c>
      <c r="U65" s="11" t="n">
        <f aca="false">N65/E65</f>
        <v>0.0874621323170136</v>
      </c>
      <c r="V65" s="11" t="n">
        <f aca="false">E65/E$13</f>
        <v>0.00797731354825834</v>
      </c>
    </row>
    <row r="66" customFormat="false" ht="15" hidden="false" customHeight="false" outlineLevel="0" collapsed="false">
      <c r="A66" s="9" t="n">
        <v>60</v>
      </c>
      <c r="B66" s="9" t="s">
        <v>80</v>
      </c>
      <c r="C66" s="9" t="s">
        <v>81</v>
      </c>
      <c r="D66" s="9" t="s">
        <v>65</v>
      </c>
      <c r="E66" s="10" t="n">
        <v>564.36</v>
      </c>
      <c r="F66" s="10" t="n">
        <v>546.05</v>
      </c>
      <c r="G66" s="10" t="n">
        <v>546.01</v>
      </c>
      <c r="H66" s="10" t="n">
        <v>1.85</v>
      </c>
      <c r="I66" s="10" t="n">
        <v>1.69</v>
      </c>
      <c r="J66" s="10" t="n">
        <v>1.69</v>
      </c>
      <c r="K66" s="10" t="n">
        <v>4.04</v>
      </c>
      <c r="L66" s="10" t="n">
        <v>3.75</v>
      </c>
      <c r="M66" s="10" t="n">
        <v>3.75</v>
      </c>
      <c r="N66" s="10" t="n">
        <v>55.93</v>
      </c>
      <c r="O66" s="10" t="n">
        <v>37.62</v>
      </c>
      <c r="P66" s="10" t="n">
        <v>37.62</v>
      </c>
      <c r="Q66" s="11" t="n">
        <f aca="false">F66/E66</f>
        <v>0.967556169820682</v>
      </c>
      <c r="R66" s="11" t="n">
        <f aca="false">G66/E66</f>
        <v>0.967485293075342</v>
      </c>
      <c r="S66" s="11" t="n">
        <f aca="false">H66/E66</f>
        <v>0.00327804947196825</v>
      </c>
      <c r="T66" s="11" t="n">
        <f aca="false">K66/E66</f>
        <v>0.00715855127932525</v>
      </c>
      <c r="U66" s="11" t="n">
        <f aca="false">N66/E66</f>
        <v>0.0991034091714508</v>
      </c>
      <c r="V66" s="11" t="n">
        <f aca="false">E66/E$13</f>
        <v>0.00488840752043506</v>
      </c>
    </row>
    <row r="67" customFormat="false" ht="15" hidden="false" customHeight="false" outlineLevel="0" collapsed="false">
      <c r="A67" s="9" t="n">
        <v>61</v>
      </c>
      <c r="B67" s="9" t="s">
        <v>80</v>
      </c>
      <c r="C67" s="14" t="s">
        <v>81</v>
      </c>
      <c r="D67" s="14" t="s">
        <v>64</v>
      </c>
      <c r="E67" s="10" t="n">
        <v>1485.33</v>
      </c>
      <c r="F67" s="10" t="n">
        <v>1424.74</v>
      </c>
      <c r="G67" s="10" t="n">
        <v>1424.67</v>
      </c>
      <c r="H67" s="10" t="n">
        <v>34.13</v>
      </c>
      <c r="I67" s="10" t="n">
        <v>13.58</v>
      </c>
      <c r="J67" s="10" t="n">
        <v>13.57</v>
      </c>
      <c r="K67" s="10" t="n">
        <v>47.51</v>
      </c>
      <c r="L67" s="10" t="n">
        <v>27.41</v>
      </c>
      <c r="M67" s="10" t="n">
        <v>27.41</v>
      </c>
      <c r="N67" s="10" t="n">
        <v>136.48</v>
      </c>
      <c r="O67" s="10" t="n">
        <v>93.24</v>
      </c>
      <c r="P67" s="10" t="n">
        <v>93.24</v>
      </c>
      <c r="Q67" s="11" t="n">
        <f aca="false">F67/E67</f>
        <v>0.959207718150176</v>
      </c>
      <c r="R67" s="11" t="n">
        <f aca="false">G67/E67</f>
        <v>0.959160590575832</v>
      </c>
      <c r="S67" s="11" t="n">
        <f aca="false">H67/E67</f>
        <v>0.0229780587478877</v>
      </c>
      <c r="T67" s="11" t="n">
        <f aca="false">K67/E67</f>
        <v>0.0319861579581642</v>
      </c>
      <c r="U67" s="11" t="n">
        <f aca="false">N67/E67</f>
        <v>0.0918853049490686</v>
      </c>
      <c r="V67" s="11" t="n">
        <f aca="false">E67/E$13</f>
        <v>0.0128657210686934</v>
      </c>
      <c r="W67" s="12" t="n">
        <f aca="false">E67-E65-E66</f>
        <v>0</v>
      </c>
    </row>
    <row r="68" customFormat="false" ht="15" hidden="false" customHeight="false" outlineLevel="0" collapsed="false">
      <c r="A68" s="9" t="n">
        <v>62</v>
      </c>
      <c r="B68" s="9" t="s">
        <v>80</v>
      </c>
      <c r="C68" s="9" t="s">
        <v>82</v>
      </c>
      <c r="D68" s="9" t="s">
        <v>61</v>
      </c>
      <c r="E68" s="10" t="n">
        <v>3437.35</v>
      </c>
      <c r="F68" s="10" t="n">
        <v>2266.15</v>
      </c>
      <c r="G68" s="10" t="n">
        <v>2266.12</v>
      </c>
      <c r="H68" s="10" t="n">
        <v>483.81</v>
      </c>
      <c r="I68" s="10" t="n">
        <v>110.16</v>
      </c>
      <c r="J68" s="10" t="n">
        <v>110.16</v>
      </c>
      <c r="K68" s="10" t="n">
        <v>774.5</v>
      </c>
      <c r="L68" s="10" t="n">
        <v>207</v>
      </c>
      <c r="M68" s="10" t="n">
        <v>207</v>
      </c>
      <c r="N68" s="10" t="n">
        <v>935.54</v>
      </c>
      <c r="O68" s="10" t="n">
        <v>206.91</v>
      </c>
      <c r="P68" s="10" t="n">
        <v>207.11</v>
      </c>
      <c r="Q68" s="11" t="n">
        <f aca="false">F68/E68</f>
        <v>0.65927240461402</v>
      </c>
      <c r="R68" s="11" t="n">
        <f aca="false">G68/E68</f>
        <v>0.659263676960449</v>
      </c>
      <c r="S68" s="11" t="n">
        <f aca="false">H68/E68</f>
        <v>0.140750869128835</v>
      </c>
      <c r="T68" s="11" t="n">
        <f aca="false">K68/E68</f>
        <v>0.225318923007549</v>
      </c>
      <c r="U68" s="11" t="n">
        <f aca="false">N68/E68</f>
        <v>0.272168967373122</v>
      </c>
      <c r="V68" s="11" t="n">
        <f aca="false">E68/E$13</f>
        <v>0.0297738457551341</v>
      </c>
    </row>
    <row r="69" customFormat="false" ht="15" hidden="false" customHeight="false" outlineLevel="0" collapsed="false">
      <c r="A69" s="9" t="n">
        <v>63</v>
      </c>
      <c r="B69" s="9" t="s">
        <v>80</v>
      </c>
      <c r="C69" s="9" t="s">
        <v>82</v>
      </c>
      <c r="D69" s="9" t="s">
        <v>65</v>
      </c>
      <c r="E69" s="10" t="n">
        <v>34753.22</v>
      </c>
      <c r="F69" s="10" t="n">
        <v>5654.41</v>
      </c>
      <c r="G69" s="10" t="n">
        <v>5654.21</v>
      </c>
      <c r="H69" s="10" t="n">
        <v>20713.2</v>
      </c>
      <c r="I69" s="10" t="n">
        <v>93.85</v>
      </c>
      <c r="J69" s="10" t="n">
        <v>93.85</v>
      </c>
      <c r="K69" s="10" t="n">
        <v>28901.59</v>
      </c>
      <c r="L69" s="10" t="n">
        <v>146.96</v>
      </c>
      <c r="M69" s="10" t="n">
        <v>146.95</v>
      </c>
      <c r="N69" s="10" t="n">
        <v>29155.23</v>
      </c>
      <c r="O69" s="10" t="n">
        <v>352.72</v>
      </c>
      <c r="P69" s="10" t="n">
        <v>352.52</v>
      </c>
      <c r="Q69" s="11" t="n">
        <f aca="false">F69/E69</f>
        <v>0.162701758283117</v>
      </c>
      <c r="R69" s="11" t="n">
        <f aca="false">G69/E69</f>
        <v>0.16269600342069</v>
      </c>
      <c r="S69" s="11" t="n">
        <f aca="false">H69/E69</f>
        <v>0.596008082128793</v>
      </c>
      <c r="T69" s="11" t="n">
        <f aca="false">K69/E69</f>
        <v>0.831623371877484</v>
      </c>
      <c r="U69" s="11" t="n">
        <f aca="false">N69/E69</f>
        <v>0.838921688407578</v>
      </c>
      <c r="V69" s="11" t="n">
        <f aca="false">E69/E$13</f>
        <v>0.301027539172397</v>
      </c>
    </row>
    <row r="70" customFormat="false" ht="15" hidden="false" customHeight="false" outlineLevel="0" collapsed="false">
      <c r="A70" s="9" t="n">
        <v>64</v>
      </c>
      <c r="B70" s="9" t="s">
        <v>80</v>
      </c>
      <c r="C70" s="14" t="s">
        <v>82</v>
      </c>
      <c r="D70" s="14" t="s">
        <v>64</v>
      </c>
      <c r="E70" s="10" t="n">
        <v>38190.58</v>
      </c>
      <c r="F70" s="10" t="n">
        <v>7920.56</v>
      </c>
      <c r="G70" s="10" t="n">
        <v>7920.33</v>
      </c>
      <c r="H70" s="10" t="n">
        <v>21197.02</v>
      </c>
      <c r="I70" s="10" t="n">
        <v>204</v>
      </c>
      <c r="J70" s="10" t="n">
        <v>204</v>
      </c>
      <c r="K70" s="10" t="n">
        <v>29676.09</v>
      </c>
      <c r="L70" s="10" t="n">
        <v>353.95</v>
      </c>
      <c r="M70" s="10" t="n">
        <v>353.95</v>
      </c>
      <c r="N70" s="10" t="n">
        <v>30090.77</v>
      </c>
      <c r="O70" s="10" t="n">
        <v>559.63</v>
      </c>
      <c r="P70" s="10" t="n">
        <v>559.62</v>
      </c>
      <c r="Q70" s="11" t="n">
        <f aca="false">F70/E70</f>
        <v>0.207395645732534</v>
      </c>
      <c r="R70" s="11" t="n">
        <f aca="false">G70/E70</f>
        <v>0.207389623305014</v>
      </c>
      <c r="S70" s="11" t="n">
        <f aca="false">H70/E70</f>
        <v>0.55503268083386</v>
      </c>
      <c r="T70" s="11" t="n">
        <f aca="false">K70/E70</f>
        <v>0.777052613497884</v>
      </c>
      <c r="U70" s="11" t="n">
        <f aca="false">N70/E70</f>
        <v>0.787910788471922</v>
      </c>
      <c r="V70" s="11" t="n">
        <f aca="false">E70/E$13</f>
        <v>0.330801471546135</v>
      </c>
      <c r="W70" s="12" t="n">
        <f aca="false">E70-E68-E69</f>
        <v>0.0100000000020373</v>
      </c>
    </row>
    <row r="71" customFormat="false" ht="15" hidden="false" customHeight="false" outlineLevel="0" collapsed="false">
      <c r="A71" s="9" t="n">
        <v>65</v>
      </c>
      <c r="B71" s="9" t="s">
        <v>80</v>
      </c>
      <c r="C71" s="9" t="s">
        <v>83</v>
      </c>
      <c r="D71" s="9" t="s">
        <v>61</v>
      </c>
      <c r="E71" s="10" t="n">
        <v>2191.3</v>
      </c>
      <c r="F71" s="10" t="n">
        <v>860.38</v>
      </c>
      <c r="G71" s="10" t="n">
        <v>0</v>
      </c>
      <c r="H71" s="10" t="n">
        <v>-65</v>
      </c>
      <c r="I71" s="10" t="n">
        <v>-9.35</v>
      </c>
      <c r="J71" s="10" t="n">
        <v>0</v>
      </c>
      <c r="K71" s="10" t="n">
        <v>-578.53</v>
      </c>
      <c r="L71" s="10" t="n">
        <v>28.26</v>
      </c>
      <c r="M71" s="10" t="n">
        <v>0</v>
      </c>
      <c r="N71" s="10" t="n">
        <v>-471.1</v>
      </c>
      <c r="O71" s="10" t="n">
        <v>-85.19</v>
      </c>
      <c r="P71" s="10" t="n">
        <v>0</v>
      </c>
      <c r="Q71" s="11" t="n">
        <f aca="false">F71/E71</f>
        <v>0.392634509195455</v>
      </c>
      <c r="R71" s="11" t="n">
        <f aca="false">G71/E71</f>
        <v>0</v>
      </c>
      <c r="S71" s="11" t="n">
        <f aca="false">H71/E71</f>
        <v>-0.0296627572673755</v>
      </c>
      <c r="T71" s="11" t="n">
        <f aca="false">K71/E71</f>
        <v>-0.264012230182996</v>
      </c>
      <c r="U71" s="11" t="n">
        <f aca="false">N71/E71</f>
        <v>-0.214986537671702</v>
      </c>
      <c r="V71" s="11" t="n">
        <f aca="false">E71/E$13</f>
        <v>0.0189807346366315</v>
      </c>
    </row>
    <row r="72" customFormat="false" ht="15" hidden="false" customHeight="false" outlineLevel="0" collapsed="false">
      <c r="A72" s="9" t="n">
        <v>66</v>
      </c>
      <c r="B72" s="9" t="s">
        <v>80</v>
      </c>
      <c r="C72" s="9" t="s">
        <v>83</v>
      </c>
      <c r="D72" s="9" t="s">
        <v>65</v>
      </c>
      <c r="E72" s="10" t="n">
        <v>5720.49</v>
      </c>
      <c r="F72" s="10" t="n">
        <v>3596.56</v>
      </c>
      <c r="G72" s="10" t="n">
        <v>0</v>
      </c>
      <c r="H72" s="10" t="n">
        <v>39.01</v>
      </c>
      <c r="I72" s="10" t="n">
        <v>60.58</v>
      </c>
      <c r="J72" s="10" t="n">
        <v>0</v>
      </c>
      <c r="K72" s="10" t="n">
        <v>-135.52</v>
      </c>
      <c r="L72" s="10" t="n">
        <v>180.61</v>
      </c>
      <c r="M72" s="10" t="n">
        <v>0</v>
      </c>
      <c r="N72" s="10" t="n">
        <v>602.19</v>
      </c>
      <c r="O72" s="10" t="n">
        <v>471.08</v>
      </c>
      <c r="P72" s="10" t="n">
        <v>0</v>
      </c>
      <c r="Q72" s="11" t="n">
        <f aca="false">F72/E72</f>
        <v>0.628715372284542</v>
      </c>
      <c r="R72" s="11" t="n">
        <f aca="false">G72/E72</f>
        <v>0</v>
      </c>
      <c r="S72" s="11" t="n">
        <f aca="false">H72/E72</f>
        <v>0.00681934589519429</v>
      </c>
      <c r="T72" s="11" t="n">
        <f aca="false">K72/E72</f>
        <v>-0.0236902782803571</v>
      </c>
      <c r="U72" s="11" t="n">
        <f aca="false">N72/E72</f>
        <v>0.105268954232942</v>
      </c>
      <c r="V72" s="11" t="n">
        <f aca="false">E72/E$13</f>
        <v>0.0495500856484754</v>
      </c>
    </row>
    <row r="73" customFormat="false" ht="15" hidden="false" customHeight="false" outlineLevel="0" collapsed="false">
      <c r="A73" s="9" t="n">
        <v>67</v>
      </c>
      <c r="B73" s="9" t="s">
        <v>80</v>
      </c>
      <c r="C73" s="14" t="s">
        <v>83</v>
      </c>
      <c r="D73" s="14" t="s">
        <v>64</v>
      </c>
      <c r="E73" s="10" t="n">
        <v>7911.79</v>
      </c>
      <c r="F73" s="10" t="n">
        <v>4456.95</v>
      </c>
      <c r="G73" s="10" t="n">
        <v>0</v>
      </c>
      <c r="H73" s="10" t="n">
        <v>-25.99</v>
      </c>
      <c r="I73" s="10" t="n">
        <v>51.23</v>
      </c>
      <c r="J73" s="10" t="n">
        <v>0</v>
      </c>
      <c r="K73" s="10" t="n">
        <v>-714.05</v>
      </c>
      <c r="L73" s="10" t="n">
        <v>208.87</v>
      </c>
      <c r="M73" s="10" t="n">
        <v>0</v>
      </c>
      <c r="N73" s="10" t="n">
        <v>131.08</v>
      </c>
      <c r="O73" s="10" t="n">
        <v>385.89</v>
      </c>
      <c r="P73" s="10" t="n">
        <v>0</v>
      </c>
      <c r="Q73" s="11" t="n">
        <f aca="false">F73/E73</f>
        <v>0.563330169279013</v>
      </c>
      <c r="R73" s="11" t="n">
        <f aca="false">G73/E73</f>
        <v>0</v>
      </c>
      <c r="S73" s="11" t="n">
        <f aca="false">H73/E73</f>
        <v>-0.00328497091050192</v>
      </c>
      <c r="T73" s="11" t="n">
        <f aca="false">K73/E73</f>
        <v>-0.0902513843264293</v>
      </c>
      <c r="U73" s="11" t="n">
        <f aca="false">N73/E73</f>
        <v>0.0165676793747053</v>
      </c>
      <c r="V73" s="11" t="n">
        <f aca="false">E73/E$13</f>
        <v>0.0685308202851069</v>
      </c>
      <c r="W73" s="12" t="n">
        <f aca="false">E73-E71-E72</f>
        <v>0</v>
      </c>
    </row>
    <row r="74" customFormat="false" ht="15" hidden="false" customHeight="false" outlineLevel="0" collapsed="false">
      <c r="A74" s="9" t="n">
        <v>68</v>
      </c>
      <c r="B74" s="9" t="s">
        <v>80</v>
      </c>
      <c r="C74" s="9" t="s">
        <v>84</v>
      </c>
      <c r="D74" s="9" t="s">
        <v>61</v>
      </c>
      <c r="E74" s="10" t="n">
        <v>84.19</v>
      </c>
      <c r="F74" s="10" t="n">
        <v>57.25</v>
      </c>
      <c r="G74" s="10" t="n">
        <v>0</v>
      </c>
      <c r="H74" s="10" t="n">
        <v>-37.26</v>
      </c>
      <c r="I74" s="10" t="n">
        <v>3.14</v>
      </c>
      <c r="J74" s="10" t="n">
        <v>0</v>
      </c>
      <c r="K74" s="10" t="n">
        <v>-56.31</v>
      </c>
      <c r="L74" s="10" t="n">
        <v>1.16</v>
      </c>
      <c r="M74" s="10" t="n">
        <v>0</v>
      </c>
      <c r="N74" s="10" t="n">
        <v>-193.3</v>
      </c>
      <c r="O74" s="10" t="n">
        <v>-3.5</v>
      </c>
      <c r="P74" s="10" t="n">
        <v>0</v>
      </c>
      <c r="Q74" s="11" t="n">
        <f aca="false">F74/E74</f>
        <v>0.68000950231619</v>
      </c>
      <c r="R74" s="11" t="n">
        <f aca="false">G74/E74</f>
        <v>0</v>
      </c>
      <c r="S74" s="11" t="n">
        <f aca="false">H74/E74</f>
        <v>-0.442570376529279</v>
      </c>
      <c r="T74" s="11" t="n">
        <f aca="false">K74/E74</f>
        <v>-0.668844280793444</v>
      </c>
      <c r="U74" s="11" t="n">
        <f aca="false">N74/E74</f>
        <v>-2.29599714930514</v>
      </c>
      <c r="V74" s="11" t="n">
        <f aca="false">E74/E$13</f>
        <v>0.000729242024851917</v>
      </c>
    </row>
    <row r="75" customFormat="false" ht="15" hidden="false" customHeight="false" outlineLevel="0" collapsed="false">
      <c r="A75" s="9" t="n">
        <v>69</v>
      </c>
      <c r="B75" s="9" t="s">
        <v>80</v>
      </c>
      <c r="C75" s="9" t="s">
        <v>84</v>
      </c>
      <c r="D75" s="9" t="s">
        <v>65</v>
      </c>
      <c r="E75" s="10" t="n">
        <v>13353.4</v>
      </c>
      <c r="F75" s="10" t="n">
        <v>2134.88</v>
      </c>
      <c r="G75" s="10" t="n">
        <v>0</v>
      </c>
      <c r="H75" s="10" t="n">
        <v>-754.84</v>
      </c>
      <c r="I75" s="10" t="n">
        <v>-12.32</v>
      </c>
      <c r="J75" s="10" t="n">
        <v>0</v>
      </c>
      <c r="K75" s="10" t="n">
        <v>-1490.12</v>
      </c>
      <c r="L75" s="10" t="n">
        <v>-44.38</v>
      </c>
      <c r="M75" s="10" t="n">
        <v>0</v>
      </c>
      <c r="N75" s="10" t="n">
        <v>-1233.76</v>
      </c>
      <c r="O75" s="10" t="n">
        <v>-147.81</v>
      </c>
      <c r="P75" s="10" t="n">
        <v>0</v>
      </c>
      <c r="Q75" s="11" t="n">
        <f aca="false">F75/E75</f>
        <v>0.15987538754175</v>
      </c>
      <c r="R75" s="11" t="n">
        <f aca="false">G75/E75</f>
        <v>0</v>
      </c>
      <c r="S75" s="11" t="n">
        <f aca="false">H75/E75</f>
        <v>-0.0565279254721644</v>
      </c>
      <c r="T75" s="11" t="n">
        <f aca="false">K75/E75</f>
        <v>-0.11159105546153</v>
      </c>
      <c r="U75" s="11" t="n">
        <f aca="false">N75/E75</f>
        <v>-0.0923929486123384</v>
      </c>
      <c r="V75" s="11" t="n">
        <f aca="false">E75/E$13</f>
        <v>0.115665286312598</v>
      </c>
    </row>
    <row r="76" customFormat="false" ht="15" hidden="false" customHeight="false" outlineLevel="0" collapsed="false">
      <c r="A76" s="9" t="n">
        <v>70</v>
      </c>
      <c r="B76" s="9" t="s">
        <v>80</v>
      </c>
      <c r="C76" s="14" t="s">
        <v>84</v>
      </c>
      <c r="D76" s="14" t="s">
        <v>64</v>
      </c>
      <c r="E76" s="10" t="n">
        <v>13437.58</v>
      </c>
      <c r="F76" s="10" t="n">
        <v>2192.14</v>
      </c>
      <c r="G76" s="10" t="n">
        <v>0</v>
      </c>
      <c r="H76" s="10" t="n">
        <v>-792.1</v>
      </c>
      <c r="I76" s="10" t="n">
        <v>-9.18</v>
      </c>
      <c r="J76" s="10" t="n">
        <v>0</v>
      </c>
      <c r="K76" s="10" t="n">
        <v>-1546.43</v>
      </c>
      <c r="L76" s="10" t="n">
        <v>-43.22</v>
      </c>
      <c r="M76" s="10" t="n">
        <v>0</v>
      </c>
      <c r="N76" s="10" t="n">
        <v>-1427.07</v>
      </c>
      <c r="O76" s="10" t="n">
        <v>-151.3</v>
      </c>
      <c r="P76" s="10" t="n">
        <v>0</v>
      </c>
      <c r="Q76" s="11" t="n">
        <f aca="false">F76/E76</f>
        <v>0.163135028777503</v>
      </c>
      <c r="R76" s="11" t="n">
        <f aca="false">G76/E76</f>
        <v>0</v>
      </c>
      <c r="S76" s="11" t="n">
        <f aca="false">H76/E76</f>
        <v>-0.0589466258061347</v>
      </c>
      <c r="T76" s="11" t="n">
        <f aca="false">K76/E76</f>
        <v>-0.115082477648505</v>
      </c>
      <c r="U76" s="11" t="n">
        <f aca="false">N76/E76</f>
        <v>-0.106199925879511</v>
      </c>
      <c r="V76" s="11" t="n">
        <f aca="false">E76/E$13</f>
        <v>0.116394441718846</v>
      </c>
      <c r="W76" s="12" t="n">
        <f aca="false">E76-E74-E75</f>
        <v>-0.0100000000002183</v>
      </c>
    </row>
    <row r="77" customFormat="false" ht="15" hidden="false" customHeight="false" outlineLevel="0" collapsed="false">
      <c r="A77" s="9" t="n">
        <v>71</v>
      </c>
      <c r="B77" s="9" t="s">
        <v>80</v>
      </c>
      <c r="C77" s="9" t="s">
        <v>85</v>
      </c>
      <c r="D77" s="9" t="s">
        <v>61</v>
      </c>
      <c r="E77" s="10" t="n">
        <v>1.17</v>
      </c>
      <c r="F77" s="10" t="n">
        <v>1.17</v>
      </c>
      <c r="G77" s="10" t="n">
        <v>0.51</v>
      </c>
      <c r="H77" s="10" t="n">
        <v>-0.33</v>
      </c>
      <c r="I77" s="10" t="n">
        <v>-0.33</v>
      </c>
      <c r="J77" s="10" t="n">
        <v>-0.03</v>
      </c>
      <c r="K77" s="10" t="n">
        <v>-2.03</v>
      </c>
      <c r="L77" s="10" t="n">
        <v>-2.03</v>
      </c>
      <c r="M77" s="10" t="n">
        <v>0.03</v>
      </c>
      <c r="N77" s="10" t="n">
        <v>-33.66</v>
      </c>
      <c r="O77" s="10" t="n">
        <v>-2.18</v>
      </c>
      <c r="P77" s="10" t="n">
        <v>-0.05</v>
      </c>
      <c r="Q77" s="11" t="n">
        <f aca="false">F77/E77</f>
        <v>1</v>
      </c>
      <c r="R77" s="11" t="n">
        <f aca="false">G77/E77</f>
        <v>0.435897435897436</v>
      </c>
      <c r="S77" s="11" t="n">
        <f aca="false">H77/E77</f>
        <v>-0.282051282051282</v>
      </c>
      <c r="T77" s="11" t="n">
        <f aca="false">K77/E77</f>
        <v>-1.73504273504273</v>
      </c>
      <c r="U77" s="11" t="n">
        <f aca="false">N77/E77</f>
        <v>-28.7692307692308</v>
      </c>
      <c r="V77" s="11" t="n">
        <f aca="false">E77/E$13</f>
        <v>1.01343766370916E-005</v>
      </c>
    </row>
    <row r="78" customFormat="false" ht="15" hidden="false" customHeight="false" outlineLevel="0" collapsed="false">
      <c r="A78" s="9" t="n">
        <v>72</v>
      </c>
      <c r="B78" s="9" t="s">
        <v>80</v>
      </c>
      <c r="C78" s="9" t="s">
        <v>85</v>
      </c>
      <c r="D78" s="9" t="s">
        <v>65</v>
      </c>
      <c r="E78" s="10" t="n">
        <v>549.03</v>
      </c>
      <c r="F78" s="10" t="n">
        <v>52.31</v>
      </c>
      <c r="G78" s="10" t="n">
        <v>0.17</v>
      </c>
      <c r="H78" s="10" t="n">
        <v>-228.45</v>
      </c>
      <c r="I78" s="10" t="n">
        <v>-3.32</v>
      </c>
      <c r="J78" s="10" t="n">
        <v>0</v>
      </c>
      <c r="K78" s="10" t="n">
        <v>-402.67</v>
      </c>
      <c r="L78" s="10" t="n">
        <v>-7.94</v>
      </c>
      <c r="M78" s="10" t="n">
        <v>0</v>
      </c>
      <c r="N78" s="10" t="n">
        <v>-592.16</v>
      </c>
      <c r="O78" s="10" t="n">
        <v>-1.04</v>
      </c>
      <c r="P78" s="10" t="n">
        <v>0</v>
      </c>
      <c r="Q78" s="11" t="n">
        <f aca="false">F78/E78</f>
        <v>0.0952771251115604</v>
      </c>
      <c r="R78" s="11" t="n">
        <f aca="false">G78/E78</f>
        <v>0.000309636996156859</v>
      </c>
      <c r="S78" s="11" t="n">
        <f aca="false">H78/E78</f>
        <v>-0.416097481011967</v>
      </c>
      <c r="T78" s="11" t="n">
        <f aca="false">K78/E78</f>
        <v>-0.733420760249895</v>
      </c>
      <c r="U78" s="11" t="n">
        <f aca="false">N78/E78</f>
        <v>-1.07855672731909</v>
      </c>
      <c r="V78" s="11" t="n">
        <f aca="false">E78/E$13</f>
        <v>0.00475562120090804</v>
      </c>
    </row>
    <row r="79" customFormat="false" ht="15" hidden="false" customHeight="false" outlineLevel="0" collapsed="false">
      <c r="A79" s="9" t="n">
        <v>73</v>
      </c>
      <c r="B79" s="9" t="s">
        <v>80</v>
      </c>
      <c r="C79" s="14" t="s">
        <v>85</v>
      </c>
      <c r="D79" s="14" t="s">
        <v>64</v>
      </c>
      <c r="E79" s="10" t="n">
        <v>550.2</v>
      </c>
      <c r="F79" s="10" t="n">
        <v>53.48</v>
      </c>
      <c r="G79" s="10" t="n">
        <v>0.68</v>
      </c>
      <c r="H79" s="10" t="n">
        <v>-228.77</v>
      </c>
      <c r="I79" s="10" t="n">
        <v>-3.65</v>
      </c>
      <c r="J79" s="10" t="n">
        <v>-0.03</v>
      </c>
      <c r="K79" s="10" t="n">
        <v>-404.7</v>
      </c>
      <c r="L79" s="10" t="n">
        <v>-9.98</v>
      </c>
      <c r="M79" s="10" t="n">
        <v>0.03</v>
      </c>
      <c r="N79" s="10" t="n">
        <v>-625.82</v>
      </c>
      <c r="O79" s="10" t="n">
        <v>-3.22</v>
      </c>
      <c r="P79" s="10" t="n">
        <v>-0.04</v>
      </c>
      <c r="Q79" s="11" t="n">
        <f aca="false">F79/E79</f>
        <v>0.0972010178117048</v>
      </c>
      <c r="R79" s="11" t="n">
        <f aca="false">G79/E79</f>
        <v>0.00123591421301345</v>
      </c>
      <c r="S79" s="11" t="n">
        <f aca="false">H79/E79</f>
        <v>-0.415794256633951</v>
      </c>
      <c r="T79" s="11" t="n">
        <f aca="false">K79/E79</f>
        <v>-0.735550708833152</v>
      </c>
      <c r="U79" s="11" t="n">
        <f aca="false">N79/E79</f>
        <v>-1.1374409305707</v>
      </c>
      <c r="V79" s="11" t="n">
        <f aca="false">E79/E$13</f>
        <v>0.00476575557754513</v>
      </c>
      <c r="W79" s="12" t="n">
        <f aca="false">E79-E77-E78</f>
        <v>0</v>
      </c>
    </row>
    <row r="80" customFormat="false" ht="15" hidden="false" customHeight="false" outlineLevel="0" collapsed="false">
      <c r="A80" s="9" t="n">
        <v>74</v>
      </c>
      <c r="B80" s="9" t="s">
        <v>80</v>
      </c>
      <c r="C80" s="9" t="s">
        <v>86</v>
      </c>
      <c r="D80" s="9" t="s">
        <v>61</v>
      </c>
      <c r="E80" s="10" t="n">
        <v>1193.41</v>
      </c>
      <c r="F80" s="10" t="n">
        <v>460.14</v>
      </c>
      <c r="G80" s="10" t="n">
        <v>159.65</v>
      </c>
      <c r="H80" s="10" t="n">
        <v>10</v>
      </c>
      <c r="I80" s="10" t="n">
        <v>12.61</v>
      </c>
      <c r="J80" s="10" t="n">
        <v>-5.17</v>
      </c>
      <c r="K80" s="10" t="n">
        <v>62.31</v>
      </c>
      <c r="L80" s="10" t="n">
        <v>31.71</v>
      </c>
      <c r="M80" s="10" t="n">
        <v>-5.93</v>
      </c>
      <c r="N80" s="10" t="n">
        <v>95.47</v>
      </c>
      <c r="O80" s="10" t="n">
        <v>57.26</v>
      </c>
      <c r="P80" s="10" t="n">
        <v>2.69</v>
      </c>
      <c r="Q80" s="11" t="n">
        <f aca="false">F80/E80</f>
        <v>0.385567407680512</v>
      </c>
      <c r="R80" s="11" t="n">
        <f aca="false">G80/E80</f>
        <v>0.133776321632968</v>
      </c>
      <c r="S80" s="11" t="n">
        <f aca="false">H80/E80</f>
        <v>0.00837934993003243</v>
      </c>
      <c r="T80" s="11" t="n">
        <f aca="false">K80/E80</f>
        <v>0.0522117294140321</v>
      </c>
      <c r="U80" s="11" t="n">
        <f aca="false">N80/E80</f>
        <v>0.0799976537820196</v>
      </c>
      <c r="V80" s="11" t="n">
        <f aca="false">E80/E$13</f>
        <v>0.0103371507884372</v>
      </c>
    </row>
    <row r="81" customFormat="false" ht="15" hidden="false" customHeight="false" outlineLevel="0" collapsed="false">
      <c r="A81" s="9" t="n">
        <v>75</v>
      </c>
      <c r="B81" s="9" t="s">
        <v>80</v>
      </c>
      <c r="C81" s="9" t="s">
        <v>86</v>
      </c>
      <c r="D81" s="9" t="s">
        <v>65</v>
      </c>
      <c r="E81" s="10" t="n">
        <v>494.01</v>
      </c>
      <c r="F81" s="10" t="n">
        <v>98.1</v>
      </c>
      <c r="G81" s="10" t="n">
        <v>1.37</v>
      </c>
      <c r="H81" s="10" t="n">
        <v>59.84</v>
      </c>
      <c r="I81" s="10" t="n">
        <v>64.08</v>
      </c>
      <c r="J81" s="10" t="n">
        <v>0.21</v>
      </c>
      <c r="K81" s="10" t="n">
        <v>88.2</v>
      </c>
      <c r="L81" s="10" t="n">
        <v>66.2</v>
      </c>
      <c r="M81" s="10" t="n">
        <v>0.03</v>
      </c>
      <c r="N81" s="10" t="n">
        <v>186.68</v>
      </c>
      <c r="O81" s="10" t="n">
        <v>64.8</v>
      </c>
      <c r="P81" s="10" t="n">
        <v>-0.63</v>
      </c>
      <c r="Q81" s="11" t="n">
        <f aca="false">F81/E81</f>
        <v>0.198578976134086</v>
      </c>
      <c r="R81" s="11" t="n">
        <f aca="false">G81/E81</f>
        <v>0.00277322321410498</v>
      </c>
      <c r="S81" s="11" t="n">
        <f aca="false">H81/E81</f>
        <v>0.121131151191271</v>
      </c>
      <c r="T81" s="11" t="n">
        <f aca="false">K81/E81</f>
        <v>0.178538895973766</v>
      </c>
      <c r="U81" s="11" t="n">
        <f aca="false">N81/E81</f>
        <v>0.377887087305925</v>
      </c>
      <c r="V81" s="11" t="n">
        <f aca="false">E81/E$13</f>
        <v>0.00427904564315353</v>
      </c>
    </row>
    <row r="82" customFormat="false" ht="15" hidden="false" customHeight="false" outlineLevel="0" collapsed="false">
      <c r="A82" s="9" t="n">
        <v>76</v>
      </c>
      <c r="B82" s="9" t="s">
        <v>80</v>
      </c>
      <c r="C82" s="14" t="s">
        <v>86</v>
      </c>
      <c r="D82" s="14" t="s">
        <v>64</v>
      </c>
      <c r="E82" s="10" t="n">
        <v>1687.42</v>
      </c>
      <c r="F82" s="10" t="n">
        <v>558.24</v>
      </c>
      <c r="G82" s="10" t="n">
        <v>161.02</v>
      </c>
      <c r="H82" s="10" t="n">
        <v>69.84</v>
      </c>
      <c r="I82" s="10" t="n">
        <v>76.69</v>
      </c>
      <c r="J82" s="10" t="n">
        <v>-4.96</v>
      </c>
      <c r="K82" s="10" t="n">
        <v>150.52</v>
      </c>
      <c r="L82" s="10" t="n">
        <v>97.9</v>
      </c>
      <c r="M82" s="10" t="n">
        <v>-5.91</v>
      </c>
      <c r="N82" s="10" t="n">
        <v>282.14</v>
      </c>
      <c r="O82" s="10" t="n">
        <v>122.06</v>
      </c>
      <c r="P82" s="10" t="n">
        <v>2.06</v>
      </c>
      <c r="Q82" s="11" t="n">
        <f aca="false">F82/E82</f>
        <v>0.330824572424174</v>
      </c>
      <c r="R82" s="11" t="n">
        <f aca="false">G82/E82</f>
        <v>0.0954237830534188</v>
      </c>
      <c r="S82" s="11" t="n">
        <f aca="false">H82/E82</f>
        <v>0.041388628794254</v>
      </c>
      <c r="T82" s="11" t="n">
        <f aca="false">K82/E82</f>
        <v>0.0892012658377879</v>
      </c>
      <c r="U82" s="11" t="n">
        <f aca="false">N82/E82</f>
        <v>0.16720200068744</v>
      </c>
      <c r="V82" s="11" t="n">
        <f aca="false">E82/E$13</f>
        <v>0.0146161964315907</v>
      </c>
      <c r="W82" s="12" t="n">
        <f aca="false">E82-E80-E81</f>
        <v>0</v>
      </c>
    </row>
    <row r="83" customFormat="false" ht="15" hidden="false" customHeight="false" outlineLevel="0" collapsed="false">
      <c r="A83" s="9" t="n">
        <v>77</v>
      </c>
      <c r="B83" s="9" t="s">
        <v>80</v>
      </c>
      <c r="C83" s="9" t="s">
        <v>87</v>
      </c>
      <c r="D83" s="9" t="s">
        <v>61</v>
      </c>
      <c r="E83" s="10" t="n">
        <v>17691.09</v>
      </c>
      <c r="F83" s="10" t="n">
        <v>14701.18</v>
      </c>
      <c r="G83" s="10" t="n">
        <v>11245.23</v>
      </c>
      <c r="H83" s="10" t="n">
        <v>-38.81</v>
      </c>
      <c r="I83" s="10" t="n">
        <v>-52.37</v>
      </c>
      <c r="J83" s="10" t="n">
        <v>-44.17</v>
      </c>
      <c r="K83" s="10" t="n">
        <v>-58.53</v>
      </c>
      <c r="L83" s="10" t="n">
        <v>204.23</v>
      </c>
      <c r="M83" s="10" t="n">
        <v>130.77</v>
      </c>
      <c r="N83" s="10" t="n">
        <v>40.46</v>
      </c>
      <c r="O83" s="10" t="n">
        <v>43.11</v>
      </c>
      <c r="P83" s="10" t="n">
        <v>11.09</v>
      </c>
      <c r="Q83" s="11" t="n">
        <f aca="false">F83/E83</f>
        <v>0.830993454897352</v>
      </c>
      <c r="R83" s="11" t="n">
        <f aca="false">G83/E83</f>
        <v>0.63564370539068</v>
      </c>
      <c r="S83" s="11" t="n">
        <f aca="false">H83/E83</f>
        <v>-0.00219375968354692</v>
      </c>
      <c r="T83" s="11" t="n">
        <f aca="false">K83/E83</f>
        <v>-0.0033084450986344</v>
      </c>
      <c r="U83" s="11" t="n">
        <f aca="false">N83/E83</f>
        <v>0.00228702697233466</v>
      </c>
      <c r="V83" s="11" t="n">
        <f aca="false">E83/E$13</f>
        <v>0.153237751436483</v>
      </c>
    </row>
    <row r="84" customFormat="false" ht="15" hidden="false" customHeight="false" outlineLevel="0" collapsed="false">
      <c r="A84" s="9" t="n">
        <v>78</v>
      </c>
      <c r="B84" s="9" t="s">
        <v>80</v>
      </c>
      <c r="C84" s="9" t="s">
        <v>87</v>
      </c>
      <c r="D84" s="9" t="s">
        <v>65</v>
      </c>
      <c r="E84" s="10" t="n">
        <v>34494.66</v>
      </c>
      <c r="F84" s="10" t="n">
        <v>32796.36</v>
      </c>
      <c r="G84" s="10" t="n">
        <v>23674.55</v>
      </c>
      <c r="H84" s="10" t="n">
        <v>352.53</v>
      </c>
      <c r="I84" s="10" t="n">
        <v>702.05</v>
      </c>
      <c r="J84" s="10" t="n">
        <v>248.79</v>
      </c>
      <c r="K84" s="10" t="n">
        <v>899.47</v>
      </c>
      <c r="L84" s="10" t="n">
        <v>1323.46</v>
      </c>
      <c r="M84" s="10" t="n">
        <v>596.35</v>
      </c>
      <c r="N84" s="10" t="n">
        <v>3721.68</v>
      </c>
      <c r="O84" s="10" t="n">
        <v>3988.5</v>
      </c>
      <c r="P84" s="10" t="n">
        <v>2255.87</v>
      </c>
      <c r="Q84" s="11" t="n">
        <f aca="false">F84/E84</f>
        <v>0.950766292521799</v>
      </c>
      <c r="R84" s="11" t="n">
        <f aca="false">G84/E84</f>
        <v>0.686325071764731</v>
      </c>
      <c r="S84" s="11" t="n">
        <f aca="false">H84/E84</f>
        <v>0.0102198427234824</v>
      </c>
      <c r="T84" s="11" t="n">
        <f aca="false">K84/E84</f>
        <v>0.0260756302569731</v>
      </c>
      <c r="U84" s="11" t="n">
        <f aca="false">N84/E84</f>
        <v>0.107891482333787</v>
      </c>
      <c r="V84" s="11" t="n">
        <f aca="false">E84/E$13</f>
        <v>0.298787928554204</v>
      </c>
    </row>
    <row r="85" customFormat="false" ht="15" hidden="false" customHeight="false" outlineLevel="0" collapsed="false">
      <c r="A85" s="9" t="n">
        <v>79</v>
      </c>
      <c r="B85" s="9" t="s">
        <v>80</v>
      </c>
      <c r="C85" s="14" t="s">
        <v>87</v>
      </c>
      <c r="D85" s="14" t="s">
        <v>64</v>
      </c>
      <c r="E85" s="10" t="n">
        <v>52185.75</v>
      </c>
      <c r="F85" s="10" t="n">
        <v>47497.54</v>
      </c>
      <c r="G85" s="10" t="n">
        <v>34919.78</v>
      </c>
      <c r="H85" s="10" t="n">
        <v>313.72</v>
      </c>
      <c r="I85" s="10" t="n">
        <v>649.68</v>
      </c>
      <c r="J85" s="10" t="n">
        <v>204.62</v>
      </c>
      <c r="K85" s="10" t="n">
        <v>840.94</v>
      </c>
      <c r="L85" s="10" t="n">
        <v>1527.69</v>
      </c>
      <c r="M85" s="10" t="n">
        <v>727.12</v>
      </c>
      <c r="N85" s="10" t="n">
        <v>3762.13</v>
      </c>
      <c r="O85" s="10" t="n">
        <v>4031.62</v>
      </c>
      <c r="P85" s="10" t="n">
        <v>2266.96</v>
      </c>
      <c r="Q85" s="11" t="n">
        <f aca="false">F85/E85</f>
        <v>0.910163023430726</v>
      </c>
      <c r="R85" s="11" t="n">
        <f aca="false">G85/E85</f>
        <v>0.669143971294846</v>
      </c>
      <c r="S85" s="11" t="n">
        <f aca="false">H85/E85</f>
        <v>0.00601160278428498</v>
      </c>
      <c r="T85" s="11" t="n">
        <f aca="false">K85/E85</f>
        <v>0.0161143607210781</v>
      </c>
      <c r="U85" s="11" t="n">
        <f aca="false">N85/E85</f>
        <v>0.0720911359901889</v>
      </c>
      <c r="V85" s="11" t="n">
        <f aca="false">E85/E$13</f>
        <v>0.452025679990687</v>
      </c>
      <c r="W85" s="12" t="n">
        <f aca="false">E85-E83-E84</f>
        <v>0</v>
      </c>
    </row>
    <row r="86" customFormat="false" ht="15" hidden="false" customHeight="false" outlineLevel="0" collapsed="false">
      <c r="A86" s="9" t="n">
        <v>80</v>
      </c>
      <c r="B86" s="9" t="s">
        <v>80</v>
      </c>
      <c r="C86" s="14" t="s">
        <v>68</v>
      </c>
      <c r="D86" s="14" t="s">
        <v>68</v>
      </c>
      <c r="E86" s="10" t="n">
        <v>115448.64</v>
      </c>
      <c r="F86" s="10" t="n">
        <v>64103.64</v>
      </c>
      <c r="G86" s="10" t="n">
        <v>44426.48</v>
      </c>
      <c r="H86" s="10" t="n">
        <v>20567.85</v>
      </c>
      <c r="I86" s="10" t="n">
        <v>982.36</v>
      </c>
      <c r="J86" s="10" t="n">
        <v>417.21</v>
      </c>
      <c r="K86" s="10" t="n">
        <v>28049.87</v>
      </c>
      <c r="L86" s="10" t="n">
        <v>2162.64</v>
      </c>
      <c r="M86" s="10" t="n">
        <v>1102.6</v>
      </c>
      <c r="N86" s="10" t="n">
        <v>32349.73</v>
      </c>
      <c r="O86" s="10" t="n">
        <v>5037.91</v>
      </c>
      <c r="P86" s="10" t="n">
        <v>2921.84</v>
      </c>
      <c r="Q86" s="11" t="n">
        <f aca="false">F86/E86</f>
        <v>0.555256779118403</v>
      </c>
      <c r="R86" s="11" t="n">
        <f aca="false">G86/E86</f>
        <v>0.384815966649759</v>
      </c>
      <c r="S86" s="11" t="n">
        <f aca="false">H86/E86</f>
        <v>0.17815584488479</v>
      </c>
      <c r="T86" s="11" t="n">
        <f aca="false">K86/E86</f>
        <v>0.242964057437143</v>
      </c>
      <c r="U86" s="11" t="n">
        <f aca="false">N86/E86</f>
        <v>0.280208844383095</v>
      </c>
      <c r="V86" s="11" t="n">
        <f aca="false">E86/E$13</f>
        <v>1</v>
      </c>
      <c r="W86" s="12" t="n">
        <f aca="false">E86-(E67+E70+E73+E76+E79+E82+E85)</f>
        <v>-0.00999999999476131</v>
      </c>
      <c r="X86" s="10" t="n">
        <v>94880.79</v>
      </c>
      <c r="Y86" s="12" t="n">
        <f aca="false">E86-X86</f>
        <v>20567.85</v>
      </c>
      <c r="Z86" s="13" t="str">
        <f aca="false">TEXT(83098.91,"#,##0.00")&amp;" / "&amp;TEXT(E86-83098.91,"+#,##0.00;-#,##0.00")</f>
        <v>83,098.91 / +32,349.73</v>
      </c>
      <c r="AA86" s="12" t="n">
        <f aca="false">H86-Y86</f>
        <v>0</v>
      </c>
    </row>
    <row r="89" customFormat="false" ht="15" hidden="false" customHeight="false" outlineLevel="0" collapsed="false">
      <c r="A89" s="4" t="s">
        <v>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23.85" hidden="false" customHeight="false" outlineLevel="0" collapsed="false">
      <c r="A90" s="8" t="s">
        <v>33</v>
      </c>
      <c r="B90" s="8" t="s">
        <v>89</v>
      </c>
      <c r="C90" s="8" t="s">
        <v>90</v>
      </c>
      <c r="D90" s="8" t="s">
        <v>91</v>
      </c>
      <c r="E90" s="8" t="s">
        <v>92</v>
      </c>
    </row>
    <row r="91" customFormat="false" ht="102.2" hidden="false" customHeight="false" outlineLevel="0" collapsed="false">
      <c r="A91" s="9" t="n">
        <v>1</v>
      </c>
      <c r="B91" s="15" t="s">
        <v>93</v>
      </c>
      <c r="C91" s="12" t="n">
        <f aca="false">MAX(ABS(MIN(AA7:AA86)),MAX(AA7:AA86))</f>
        <v>0.0100000000005593</v>
      </c>
      <c r="D91" s="9" t="s">
        <v>94</v>
      </c>
      <c r="E91" s="16" t="s">
        <v>95</v>
      </c>
    </row>
    <row r="92" customFormat="false" ht="91" hidden="false" customHeight="false" outlineLevel="0" collapsed="false">
      <c r="A92" s="9" t="n">
        <v>2</v>
      </c>
      <c r="B92" s="15" t="s">
        <v>96</v>
      </c>
      <c r="C92" s="12" t="n">
        <f aca="false">H69</f>
        <v>20713.2</v>
      </c>
      <c r="D92" s="9" t="s">
        <v>94</v>
      </c>
      <c r="E92" s="16" t="s">
        <v>97</v>
      </c>
    </row>
    <row r="93" customFormat="false" ht="68.65" hidden="false" customHeight="false" outlineLevel="0" collapsed="false">
      <c r="A93" s="9" t="n">
        <v>3</v>
      </c>
      <c r="B93" s="15" t="s">
        <v>98</v>
      </c>
      <c r="C93" s="12" t="n">
        <f aca="false">SUMPRODUCT(ABS(W7:W86))</f>
        <v>0.120000000007057</v>
      </c>
      <c r="D93" s="9" t="s">
        <v>94</v>
      </c>
      <c r="E93" s="16" t="s">
        <v>99</v>
      </c>
    </row>
    <row r="94" customFormat="false" ht="57.45" hidden="false" customHeight="false" outlineLevel="0" collapsed="false">
      <c r="A94" s="9" t="n">
        <v>4</v>
      </c>
      <c r="B94" s="15" t="s">
        <v>100</v>
      </c>
      <c r="C94" s="12" t="n">
        <f aca="false">E57-E82</f>
        <v>34.48</v>
      </c>
      <c r="D94" s="9" t="s">
        <v>94</v>
      </c>
      <c r="E94" s="16" t="s">
        <v>101</v>
      </c>
    </row>
    <row r="95" customFormat="false" ht="102.2" hidden="false" customHeight="false" outlineLevel="0" collapsed="false">
      <c r="A95" s="9" t="n">
        <v>5</v>
      </c>
      <c r="B95" s="15" t="s">
        <v>102</v>
      </c>
      <c r="C95" s="11" t="n">
        <f aca="false">E53/E24</f>
        <v>0.6142841042131</v>
      </c>
      <c r="D95" s="9" t="s">
        <v>103</v>
      </c>
      <c r="E95" s="16" t="s">
        <v>104</v>
      </c>
    </row>
    <row r="96" customFormat="false" ht="46.25" hidden="false" customHeight="false" outlineLevel="0" collapsed="false">
      <c r="A96" s="9" t="n">
        <v>6</v>
      </c>
      <c r="B96" s="15" t="s">
        <v>105</v>
      </c>
      <c r="C96" s="12" t="n">
        <f aca="false">K13</f>
        <v>28049.87</v>
      </c>
      <c r="D96" s="9" t="s">
        <v>94</v>
      </c>
      <c r="E96" s="16" t="s">
        <v>106</v>
      </c>
    </row>
    <row r="98" customFormat="false" ht="15" hidden="false" customHeight="false" outlineLevel="0" collapsed="false">
      <c r="A98" s="4" t="s">
        <v>107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100" customFormat="false" ht="15" hidden="false" customHeight="false" outlineLevel="0" collapsed="false">
      <c r="A100" s="4" t="s">
        <v>108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23.85" hidden="false" customHeight="false" outlineLevel="0" collapsed="false">
      <c r="A101" s="8" t="s">
        <v>33</v>
      </c>
      <c r="B101" s="8" t="s">
        <v>109</v>
      </c>
      <c r="C101" s="8" t="s">
        <v>110</v>
      </c>
      <c r="D101" s="8" t="s">
        <v>111</v>
      </c>
      <c r="E101" s="8" t="s">
        <v>112</v>
      </c>
      <c r="F101" s="8" t="s">
        <v>91</v>
      </c>
      <c r="G101" s="8" t="s">
        <v>113</v>
      </c>
    </row>
    <row r="102" customFormat="false" ht="23.85" hidden="false" customHeight="false" outlineLevel="0" collapsed="false">
      <c r="A102" s="9" t="n">
        <v>1</v>
      </c>
      <c r="B102" s="14" t="s">
        <v>114</v>
      </c>
      <c r="C102" s="16" t="s">
        <v>115</v>
      </c>
      <c r="D102" s="16" t="s">
        <v>116</v>
      </c>
      <c r="E102" s="12" t="n">
        <f aca="false">E13</f>
        <v>115448.64</v>
      </c>
      <c r="F102" s="9" t="s">
        <v>94</v>
      </c>
      <c r="G102" s="16"/>
    </row>
    <row r="103" customFormat="false" ht="35.05" hidden="false" customHeight="false" outlineLevel="0" collapsed="false">
      <c r="A103" s="9" t="n">
        <v>2</v>
      </c>
      <c r="B103" s="14" t="s">
        <v>114</v>
      </c>
      <c r="C103" s="16" t="s">
        <v>117</v>
      </c>
      <c r="D103" s="16" t="s">
        <v>116</v>
      </c>
      <c r="E103" s="12" t="n">
        <f aca="false">E15</f>
        <v>53845.06</v>
      </c>
      <c r="F103" s="9" t="s">
        <v>94</v>
      </c>
      <c r="G103" s="16"/>
    </row>
    <row r="104" customFormat="false" ht="23.85" hidden="false" customHeight="false" outlineLevel="0" collapsed="false">
      <c r="A104" s="9" t="n">
        <v>3</v>
      </c>
      <c r="B104" s="14" t="s">
        <v>114</v>
      </c>
      <c r="C104" s="16" t="s">
        <v>118</v>
      </c>
      <c r="D104" s="16" t="s">
        <v>116</v>
      </c>
      <c r="E104" s="12" t="n">
        <f aca="false">E70</f>
        <v>38190.58</v>
      </c>
      <c r="F104" s="9" t="s">
        <v>94</v>
      </c>
      <c r="G104" s="16"/>
    </row>
    <row r="105" customFormat="false" ht="23.85" hidden="false" customHeight="false" outlineLevel="0" collapsed="false">
      <c r="A105" s="9" t="n">
        <v>4</v>
      </c>
      <c r="B105" s="14" t="s">
        <v>119</v>
      </c>
      <c r="C105" s="16" t="s">
        <v>120</v>
      </c>
      <c r="D105" s="16" t="s">
        <v>121</v>
      </c>
      <c r="E105" s="11" t="n">
        <f aca="false">E9/E13</f>
        <v>0.221046172566433</v>
      </c>
      <c r="F105" s="9" t="s">
        <v>103</v>
      </c>
      <c r="G105" s="16"/>
    </row>
    <row r="106" customFormat="false" ht="57.45" hidden="false" customHeight="false" outlineLevel="0" collapsed="false">
      <c r="A106" s="9" t="n">
        <v>5</v>
      </c>
      <c r="B106" s="14" t="s">
        <v>119</v>
      </c>
      <c r="C106" s="16" t="s">
        <v>122</v>
      </c>
      <c r="D106" s="16" t="s">
        <v>123</v>
      </c>
      <c r="E106" s="11" t="n">
        <f aca="false">R13</f>
        <v>0.384815966649759</v>
      </c>
      <c r="F106" s="9" t="s">
        <v>103</v>
      </c>
      <c r="G106" s="16"/>
    </row>
    <row r="107" customFormat="false" ht="57.45" hidden="false" customHeight="false" outlineLevel="0" collapsed="false">
      <c r="A107" s="9" t="n">
        <v>6</v>
      </c>
      <c r="B107" s="14" t="s">
        <v>119</v>
      </c>
      <c r="C107" s="16" t="s">
        <v>124</v>
      </c>
      <c r="D107" s="16" t="s">
        <v>125</v>
      </c>
      <c r="E107" s="11" t="n">
        <f aca="false">V16</f>
        <v>0.595671720342483</v>
      </c>
      <c r="F107" s="9" t="s">
        <v>103</v>
      </c>
      <c r="G107" s="16"/>
    </row>
    <row r="108" customFormat="false" ht="46.25" hidden="false" customHeight="false" outlineLevel="0" collapsed="false">
      <c r="A108" s="9" t="n">
        <v>7</v>
      </c>
      <c r="B108" s="14" t="s">
        <v>119</v>
      </c>
      <c r="C108" s="16" t="s">
        <v>126</v>
      </c>
      <c r="D108" s="16" t="s">
        <v>127</v>
      </c>
      <c r="E108" s="11" t="n">
        <f aca="false">E13/X13-1</f>
        <v>0.216775703490665</v>
      </c>
      <c r="F108" s="9" t="s">
        <v>103</v>
      </c>
      <c r="G108" s="16"/>
    </row>
    <row r="109" customFormat="false" ht="57.45" hidden="false" customHeight="false" outlineLevel="0" collapsed="false">
      <c r="A109" s="9" t="n">
        <v>8</v>
      </c>
      <c r="B109" s="14" t="s">
        <v>128</v>
      </c>
      <c r="C109" s="16" t="s">
        <v>129</v>
      </c>
      <c r="D109" s="16" t="s">
        <v>130</v>
      </c>
      <c r="E109" s="11" t="n">
        <f aca="false">H69/H10</f>
        <v>1.02608051233682</v>
      </c>
      <c r="F109" s="9" t="s">
        <v>103</v>
      </c>
      <c r="G109" s="16" t="s">
        <v>131</v>
      </c>
    </row>
    <row r="110" customFormat="false" ht="57.45" hidden="false" customHeight="false" outlineLevel="0" collapsed="false">
      <c r="A110" s="9" t="n">
        <v>9</v>
      </c>
      <c r="B110" s="14" t="s">
        <v>128</v>
      </c>
      <c r="C110" s="16" t="s">
        <v>132</v>
      </c>
      <c r="D110" s="16" t="s">
        <v>133</v>
      </c>
      <c r="E110" s="12" t="n">
        <f aca="false">H7</f>
        <v>-72.18</v>
      </c>
      <c r="F110" s="9" t="s">
        <v>94</v>
      </c>
      <c r="G110" s="16" t="s">
        <v>134</v>
      </c>
    </row>
    <row r="111" customFormat="false" ht="68.65" hidden="false" customHeight="false" outlineLevel="0" collapsed="false">
      <c r="A111" s="9" t="n">
        <v>10</v>
      </c>
      <c r="B111" s="14" t="s">
        <v>128</v>
      </c>
      <c r="C111" s="16" t="s">
        <v>135</v>
      </c>
      <c r="D111" s="16" t="s">
        <v>136</v>
      </c>
      <c r="E111" s="11" t="n">
        <f aca="false">1-E53/E24</f>
        <v>0.3857158957869</v>
      </c>
      <c r="F111" s="9" t="s">
        <v>103</v>
      </c>
      <c r="G111" s="16" t="s">
        <v>137</v>
      </c>
    </row>
    <row r="113" customFormat="false" ht="15" hidden="false" customHeight="false" outlineLevel="0" collapsed="false">
      <c r="A113" s="4" t="s">
        <v>138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69.75" hidden="false" customHeight="true" outlineLevel="0" collapsed="false">
      <c r="A114" s="17" t="s">
        <v>139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6" customFormat="false" ht="15" hidden="false" customHeight="false" outlineLevel="0" collapsed="false">
      <c r="A116" s="3" t="s">
        <v>2</v>
      </c>
    </row>
  </sheetData>
  <mergeCells count="1">
    <mergeCell ref="A114:Z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142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18" t="s">
        <v>143</v>
      </c>
      <c r="C6" s="18" t="s">
        <v>144</v>
      </c>
      <c r="D6" s="18"/>
      <c r="E6" s="18"/>
      <c r="F6" s="18"/>
    </row>
    <row r="7" customFormat="false" ht="15" hidden="false" customHeight="true" outlineLevel="0" collapsed="false">
      <c r="B7" s="14" t="s">
        <v>145</v>
      </c>
      <c r="C7" s="16" t="s">
        <v>146</v>
      </c>
      <c r="D7" s="16"/>
      <c r="E7" s="16"/>
      <c r="F7" s="16"/>
    </row>
    <row r="8" customFormat="false" ht="15" hidden="false" customHeight="true" outlineLevel="0" collapsed="false">
      <c r="B8" s="14" t="s">
        <v>147</v>
      </c>
      <c r="C8" s="16" t="s">
        <v>148</v>
      </c>
      <c r="D8" s="16"/>
      <c r="E8" s="16"/>
      <c r="F8" s="16"/>
    </row>
    <row r="9" customFormat="false" ht="15" hidden="false" customHeight="true" outlineLevel="0" collapsed="false">
      <c r="B9" s="14" t="s">
        <v>149</v>
      </c>
      <c r="C9" s="16" t="s">
        <v>150</v>
      </c>
      <c r="D9" s="16"/>
      <c r="E9" s="16"/>
      <c r="F9" s="16"/>
    </row>
    <row r="10" customFormat="false" ht="15" hidden="false" customHeight="true" outlineLevel="0" collapsed="false">
      <c r="B10" s="14" t="s">
        <v>151</v>
      </c>
      <c r="C10" s="16" t="s">
        <v>152</v>
      </c>
      <c r="D10" s="16"/>
      <c r="E10" s="16"/>
      <c r="F10" s="16"/>
    </row>
    <row r="11" customFormat="false" ht="15" hidden="false" customHeight="true" outlineLevel="0" collapsed="false">
      <c r="B11" s="14" t="s">
        <v>153</v>
      </c>
      <c r="C11" s="16" t="s">
        <v>154</v>
      </c>
      <c r="D11" s="16"/>
      <c r="E11" s="16"/>
      <c r="F11" s="16"/>
    </row>
    <row r="12" customFormat="false" ht="15" hidden="false" customHeight="true" outlineLevel="0" collapsed="false">
      <c r="B12" s="14" t="s">
        <v>155</v>
      </c>
      <c r="C12" s="16" t="s">
        <v>156</v>
      </c>
      <c r="D12" s="16"/>
      <c r="E12" s="16"/>
      <c r="F12" s="16"/>
    </row>
    <row r="13" customFormat="false" ht="15" hidden="false" customHeight="true" outlineLevel="0" collapsed="false">
      <c r="B13" s="14" t="s">
        <v>157</v>
      </c>
      <c r="C13" s="16" t="s">
        <v>158</v>
      </c>
      <c r="D13" s="16"/>
      <c r="E13" s="16"/>
      <c r="F13" s="16"/>
    </row>
    <row r="14" customFormat="false" ht="15" hidden="false" customHeight="true" outlineLevel="0" collapsed="false">
      <c r="B14" s="14" t="s">
        <v>159</v>
      </c>
      <c r="C14" s="16" t="s">
        <v>160</v>
      </c>
      <c r="D14" s="16"/>
      <c r="E14" s="16"/>
      <c r="F14" s="16"/>
    </row>
    <row r="15" customFormat="false" ht="15" hidden="false" customHeight="true" outlineLevel="0" collapsed="false">
      <c r="B15" s="14" t="s">
        <v>161</v>
      </c>
      <c r="C15" s="16" t="s">
        <v>162</v>
      </c>
      <c r="D15" s="16"/>
      <c r="E15" s="16"/>
      <c r="F15" s="16"/>
    </row>
    <row r="16" customFormat="false" ht="15" hidden="false" customHeight="false" outlineLevel="0" collapsed="false">
      <c r="B16" s="19" t="s">
        <v>163</v>
      </c>
    </row>
    <row r="18" customFormat="false" ht="15" hidden="false" customHeight="false" outlineLevel="0" collapsed="false">
      <c r="A18" s="4" t="s">
        <v>164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8" t="s">
        <v>33</v>
      </c>
      <c r="B19" s="8" t="s">
        <v>165</v>
      </c>
      <c r="C19" s="8" t="s">
        <v>166</v>
      </c>
      <c r="D19" s="8" t="s">
        <v>167</v>
      </c>
      <c r="E19" s="8" t="s">
        <v>168</v>
      </c>
      <c r="F19" s="8" t="s">
        <v>169</v>
      </c>
    </row>
    <row r="20" customFormat="false" ht="15" hidden="false" customHeight="false" outlineLevel="0" collapsed="false">
      <c r="A20" s="9" t="n">
        <v>1</v>
      </c>
      <c r="B20" s="16" t="s">
        <v>170</v>
      </c>
      <c r="C20" s="16" t="s">
        <v>171</v>
      </c>
      <c r="D20" s="16" t="s">
        <v>172</v>
      </c>
      <c r="E20" s="16" t="s">
        <v>173</v>
      </c>
      <c r="F20" s="20" t="str">
        <f aca="false">"Deposits "&amp;TEXT(B1_MAB_Tables!E10,"#,##0.00;-#,##0.00;0.00")&amp;" / "&amp;TEXT(B1_MAB_Tables!F10,"#,##0.00;-#,##0.00;0.00")&amp;" / "&amp;TEXT(B1_MAB_Tables!G10,"#,##0.00;-#,##0.00;0.00")</f>
        <v>Deposits 89,901.29 / 44,854.51 / 29,867.57</v>
      </c>
    </row>
    <row r="21" customFormat="false" ht="15" hidden="false" customHeight="false" outlineLevel="0" collapsed="false">
      <c r="A21" s="9" t="n">
        <v>2</v>
      </c>
      <c r="B21" s="16" t="s">
        <v>170</v>
      </c>
      <c r="C21" s="16" t="s">
        <v>174</v>
      </c>
      <c r="D21" s="16" t="s">
        <v>175</v>
      </c>
      <c r="E21" s="16" t="s">
        <v>176</v>
      </c>
      <c r="F21" s="20" t="str">
        <f aca="false">"GT: LM "&amp;TEXT(B1_MAB_Tables!H13,"#,##0.00;-#,##0.00;0.00")&amp;"; M-1 "&amp;TEXT(B1_MAB_Tables!K13,"#,##0.00;-#,##0.00;0.00")&amp;"; LY "&amp;TEXT(B1_MAB_Tables!N13,"#,##0.00;-#,##0.00;0.00")</f>
        <v>GT: LM 20,567.85; M-1 28,049.87; LY 32,349.73</v>
      </c>
    </row>
    <row r="22" customFormat="false" ht="15" hidden="false" customHeight="false" outlineLevel="0" collapsed="false">
      <c r="A22" s="9" t="n">
        <v>3</v>
      </c>
      <c r="B22" s="16" t="s">
        <v>177</v>
      </c>
      <c r="C22" s="16" t="s">
        <v>178</v>
      </c>
      <c r="D22" s="16" t="s">
        <v>179</v>
      </c>
      <c r="E22" s="16" t="s">
        <v>180</v>
      </c>
      <c r="F22" s="20" t="str">
        <f aca="false">"Σ |gaps| "&amp;TEXT(SUMPRODUCT(ABS(B1_MAB_Tables!W7:W86)),"#,##0.00;-#,##0.00;0.00")</f>
        <v>Σ |gaps| 0.12</v>
      </c>
    </row>
    <row r="23" customFormat="false" ht="15" hidden="false" customHeight="false" outlineLevel="0" collapsed="false">
      <c r="A23" s="9" t="n">
        <v>4</v>
      </c>
      <c r="B23" s="16" t="s">
        <v>177</v>
      </c>
      <c r="C23" s="16" t="s">
        <v>181</v>
      </c>
      <c r="D23" s="16" t="s">
        <v>182</v>
      </c>
      <c r="E23" s="16" t="s">
        <v>183</v>
      </c>
      <c r="F23" s="20" t="str">
        <f aca="false">TEXT(B1_MAB_Tables!E13,"#,##0.00;-#,##0.00;0.00")&amp;" / "&amp;TEXT(B1_MAB_Tables!E26,"#,##0.00;-#,##0.00;0.00")&amp;" / "&amp;TEXT(B1_MAB_Tables!E39,"#,##0.00;-#,##0.00;0.00")&amp;" / "&amp;TEXT(B1_MAB_Tables!E64,"#,##0.00;-#,##0.00;0.00")&amp;" / "&amp;TEXT(B1_MAB_Tables!E86,"#,##0.00;-#,##0.00;0.00")</f>
        <v>115,448.64 / 115,448.64 / 115,448.64 / 115,448.64 / 115,448.64</v>
      </c>
    </row>
    <row r="24" customFormat="false" ht="15" hidden="false" customHeight="false" outlineLevel="0" collapsed="false">
      <c r="A24" s="9" t="n">
        <v>5</v>
      </c>
      <c r="B24" s="16" t="s">
        <v>184</v>
      </c>
      <c r="C24" s="16" t="s">
        <v>185</v>
      </c>
      <c r="D24" s="16" t="s">
        <v>186</v>
      </c>
      <c r="E24" s="16" t="s">
        <v>187</v>
      </c>
      <c r="F24" s="20" t="str">
        <f aca="false">"Bank "&amp;TEXT(B1_MAB_Tables!E9/B1_MAB_Tables!E13,"0.0%")&amp;"; INSIGNIA "&amp;TEXT(B1_MAB_Tables!E14/B1_MAB_Tables!E16,"0.0%")&amp;"; MASS "&amp;TEXT(B1_MAB_Tables!E23/B1_MAB_Tables!E25,"0.0%")&amp;"; NR "&amp;TEXT(B1_MAB_Tables!E68/B1_MAB_Tables!E70,"0.0%")</f>
        <v>Bank 22.1%; INSIGNIA 21.7%; MASS 18.3%; NR 9.0%</v>
      </c>
    </row>
    <row r="25" customFormat="false" ht="15" hidden="false" customHeight="false" outlineLevel="0" collapsed="false">
      <c r="A25" s="9" t="n">
        <v>6</v>
      </c>
      <c r="B25" s="16" t="s">
        <v>184</v>
      </c>
      <c r="C25" s="16" t="s">
        <v>188</v>
      </c>
      <c r="D25" s="16" t="s">
        <v>189</v>
      </c>
      <c r="E25" s="16" t="s">
        <v>190</v>
      </c>
      <c r="F25" s="20" t="str">
        <f aca="false">TEXT(B1_MAB_Tables!V16,"0.0%")&amp;" / "&amp;TEXT(B1_MAB_Tables!V19,"0.0%")&amp;" / "&amp;TEXT(B1_MAB_Tables!V22,"0.0%")&amp;" / "&amp;TEXT(B1_MAB_Tables!V25,"0.0%")</f>
        <v>59.6% / 9.8% / 7.6% / 23.0%</v>
      </c>
    </row>
    <row r="26" customFormat="false" ht="23.85" hidden="false" customHeight="false" outlineLevel="0" collapsed="false">
      <c r="A26" s="9" t="n">
        <v>7</v>
      </c>
      <c r="B26" s="16" t="s">
        <v>184</v>
      </c>
      <c r="C26" s="16" t="s">
        <v>191</v>
      </c>
      <c r="D26" s="16" t="s">
        <v>192</v>
      </c>
      <c r="E26" s="16" t="s">
        <v>193</v>
      </c>
      <c r="F26" s="20" t="str">
        <f aca="false">TEXT(B1_MAB_Tables!E29-B1_MAB_Tables!E16,"#,##0.00;-#,##0.00;0.00")&amp;" / "&amp;TEXT(B1_MAB_Tables!E32-B1_MAB_Tables!E19,"#,##0.00;-#,##0.00;0.00")&amp;" / "&amp;TEXT(B1_MAB_Tables!E35-B1_MAB_Tables!E22,"#,##0.00;-#,##0.00;0.00")&amp;" / "&amp;TEXT(B1_MAB_Tables!E38-B1_MAB_Tables!E25,"#,##0.00;-#,##0.00;0.00")&amp;" (INSIGNIA … MASS)"</f>
        <v>-7,832.06 / -1,296.27 / -870.94 / 9,999.26 (INSIGNIA … MASS)</v>
      </c>
    </row>
    <row r="27" customFormat="false" ht="15" hidden="false" customHeight="false" outlineLevel="0" collapsed="false">
      <c r="A27" s="9" t="n">
        <v>8</v>
      </c>
      <c r="B27" s="16" t="s">
        <v>184</v>
      </c>
      <c r="C27" s="16" t="s">
        <v>194</v>
      </c>
      <c r="D27" s="16" t="s">
        <v>195</v>
      </c>
      <c r="E27" s="16" t="s">
        <v>196</v>
      </c>
      <c r="F27" s="20" t="str">
        <f aca="false">"COOP "&amp;TEXT(B1_MAB_Tables!V54,"0.0%")&amp;"; Affluence "&amp;TEXT(B1_MAB_Tables!V51,"0.0%")&amp;"; FIGU "&amp;TEXT(B1_MAB_Tables!V60,"0.0%")&amp;"; Diplomat "&amp;TEXT(B1_MAB_Tables!V57,"0.0%")</f>
        <v>COOP 11.6%; Affluence 2.1%; FIGU 2.3%; Diplomat 1.5%</v>
      </c>
    </row>
    <row r="28" customFormat="false" ht="15" hidden="false" customHeight="false" outlineLevel="0" collapsed="false">
      <c r="A28" s="9" t="n">
        <v>9</v>
      </c>
      <c r="B28" s="16" t="s">
        <v>184</v>
      </c>
      <c r="C28" s="16" t="s">
        <v>197</v>
      </c>
      <c r="D28" s="16" t="s">
        <v>198</v>
      </c>
      <c r="E28" s="16" t="s">
        <v>199</v>
      </c>
      <c r="F28" s="20" t="str">
        <f aca="false">"NR "&amp;TEXT(B1_MAB_Tables!V70,"0.0%")&amp;"; TASC "&amp;TEXT(B1_MAB_Tables!V73,"0.0%")&amp;"; SALARY "&amp;TEXT(B1_MAB_Tables!V67,"0.0%")&amp;"; OTHER "&amp;TEXT(B1_MAB_Tables!V85,"0.0%")</f>
        <v>NR 33.1%; TASC 6.9%; SALARY 1.3%; OTHER 45.2%</v>
      </c>
    </row>
    <row r="29" customFormat="false" ht="15" hidden="false" customHeight="false" outlineLevel="0" collapsed="false">
      <c r="A29" s="9" t="n">
        <v>10</v>
      </c>
      <c r="B29" s="16" t="s">
        <v>184</v>
      </c>
      <c r="C29" s="16" t="s">
        <v>200</v>
      </c>
      <c r="D29" s="16" t="s">
        <v>201</v>
      </c>
      <c r="E29" s="16" t="s">
        <v>202</v>
      </c>
      <c r="F29" s="20" t="str">
        <f aca="false">"GT "&amp;TEXT(B1_MAB_Tables!Q13,"0.0%")&amp;"; TD "&amp;TEXT(B1_MAB_Tables!Q10,"0.0%")&amp;"; CA "&amp;TEXT(B1_MAB_Tables!Q7,"0.0%")&amp;"; NR TD "&amp;TEXT(B1_MAB_Tables!Q69,"0.0%")</f>
        <v>GT 55.5%; TD 49.9%; CA 63.5%; NR TD 16.3%</v>
      </c>
    </row>
    <row r="30" customFormat="false" ht="15" hidden="false" customHeight="false" outlineLevel="0" collapsed="false">
      <c r="A30" s="9" t="n">
        <v>11</v>
      </c>
      <c r="B30" s="16" t="s">
        <v>184</v>
      </c>
      <c r="C30" s="16" t="s">
        <v>203</v>
      </c>
      <c r="D30" s="16" t="s">
        <v>204</v>
      </c>
      <c r="E30" s="16" t="s">
        <v>202</v>
      </c>
      <c r="F30" s="20" t="str">
        <f aca="false">"GT "&amp;TEXT(B1_MAB_Tables!R13,"0.0%")&amp;"; SA "&amp;TEXT(B1_MAB_Tables!R8,"0.0%")&amp;"; TD "&amp;TEXT(B1_MAB_Tables!R10,"0.0%")</f>
        <v>GT 38.5%; SA 73.4%; TD 33.2%</v>
      </c>
    </row>
    <row r="31" customFormat="false" ht="15" hidden="false" customHeight="false" outlineLevel="0" collapsed="false">
      <c r="A31" s="9" t="n">
        <v>12</v>
      </c>
      <c r="B31" s="16" t="s">
        <v>184</v>
      </c>
      <c r="C31" s="16" t="s">
        <v>205</v>
      </c>
      <c r="D31" s="16" t="s">
        <v>206</v>
      </c>
      <c r="E31" s="16" t="s">
        <v>207</v>
      </c>
      <c r="F31" s="20" t="str">
        <f aca="false">TEXT(1-B1_MAB_Tables!R10,"0.0%")</f>
        <v>66.8%</v>
      </c>
    </row>
    <row r="32" customFormat="false" ht="23.85" hidden="false" customHeight="false" outlineLevel="0" collapsed="false">
      <c r="A32" s="9" t="n">
        <v>13</v>
      </c>
      <c r="B32" s="16" t="s">
        <v>208</v>
      </c>
      <c r="C32" s="16" t="s">
        <v>209</v>
      </c>
      <c r="D32" s="16" t="s">
        <v>210</v>
      </c>
      <c r="E32" s="16" t="s">
        <v>211</v>
      </c>
      <c r="F32" s="20" t="str">
        <f aca="false">"CA "&amp;TEXT(B1_MAB_Tables!Y7,"#,##0.00;-#,##0.00;0.00")&amp;"; SA "&amp;TEXT(B1_MAB_Tables!Y8,"#,##0.00;-#,##0.00;0.00")&amp;"; Deposits "&amp;TEXT(B1_MAB_Tables!Y10,"#,##0.00;-#,##0.00;0.00")&amp;"; GT "&amp;TEXT(B1_MAB_Tables!Y13,"#,##0.00;-#,##0.00;0.00")</f>
        <v>CA -72.18; SA 456.89; Deposits 20,186.72; GT 20,567.85</v>
      </c>
    </row>
    <row r="33" customFormat="false" ht="23.85" hidden="false" customHeight="false" outlineLevel="0" collapsed="false">
      <c r="A33" s="9" t="n">
        <v>14</v>
      </c>
      <c r="B33" s="16" t="s">
        <v>208</v>
      </c>
      <c r="C33" s="16" t="s">
        <v>212</v>
      </c>
      <c r="D33" s="16" t="s">
        <v>213</v>
      </c>
      <c r="E33" s="16" t="s">
        <v>211</v>
      </c>
      <c r="F33" s="20" t="str">
        <f aca="false">"GT "&amp;TEXT(B1_MAB_Tables!E13/B1_MAB_Tables!X13-1,"+0.0%;-0.0%;0.0%")&amp;"; Deposits "&amp;TEXT(B1_MAB_Tables!E10/B1_MAB_Tables!X10-1,"+0.0%;-0.0%;0.0%")&amp;"; CA "&amp;TEXT(B1_MAB_Tables!E7/B1_MAB_Tables!X7-1,"+0.0%;-0.0%;0.0%")</f>
        <v>GT +21.7%; Deposits +29.0%; CA -1.2%</v>
      </c>
    </row>
    <row r="34" customFormat="false" ht="23.85" hidden="false" customHeight="false" outlineLevel="0" collapsed="false">
      <c r="A34" s="9" t="n">
        <v>15</v>
      </c>
      <c r="B34" s="16" t="s">
        <v>208</v>
      </c>
      <c r="C34" s="16" t="s">
        <v>214</v>
      </c>
      <c r="D34" s="16" t="s">
        <v>215</v>
      </c>
      <c r="E34" s="16" t="s">
        <v>211</v>
      </c>
      <c r="F34" s="20" t="str">
        <f aca="false">"GT "&amp;TEXT(B1_MAB_Tables!E13/83098.91-1,"+0.0%;-0.0%;0.0%")&amp;"; Deposits "&amp;TEXT(B1_MAB_Tables!E10/58003.56-1,"+0.0%;-0.0%;0.0%")&amp;"; INSIGNIA "&amp;TEXT(B1_MAB_Tables!E16/39393-1,"+0.0%;-0.0%;0.0%")</f>
        <v>GT +38.9%; Deposits +55.0%; INSIGNIA +74.6%</v>
      </c>
    </row>
    <row r="35" customFormat="false" ht="15" hidden="false" customHeight="false" outlineLevel="0" collapsed="false">
      <c r="A35" s="9" t="n">
        <v>16</v>
      </c>
      <c r="B35" s="16" t="s">
        <v>208</v>
      </c>
      <c r="C35" s="16" t="s">
        <v>216</v>
      </c>
      <c r="D35" s="16" t="s">
        <v>217</v>
      </c>
      <c r="E35" s="16" t="s">
        <v>218</v>
      </c>
      <c r="F35" s="20" t="str">
        <f aca="false">"GT: LM "&amp;TEXT(B1_MAB_Tables!S13,"0.0%")&amp;"; M-1 "&amp;TEXT(B1_MAB_Tables!T13,"0.0%")&amp;"; LY "&amp;TEXT(B1_MAB_Tables!U13,"0.0%")</f>
        <v>GT: LM 17.8%; M-1 24.3%; LY 28.0%</v>
      </c>
    </row>
    <row r="36" customFormat="false" ht="15" hidden="false" customHeight="false" outlineLevel="0" collapsed="false">
      <c r="A36" s="9" t="n">
        <v>17</v>
      </c>
      <c r="B36" s="16" t="s">
        <v>219</v>
      </c>
      <c r="C36" s="16" t="s">
        <v>220</v>
      </c>
      <c r="D36" s="16" t="s">
        <v>221</v>
      </c>
      <c r="E36" s="16" t="s">
        <v>222</v>
      </c>
      <c r="F36" s="20" t="str">
        <f aca="false">TEXT(B1_MAB_Tables!H69/B1_MAB_Tables!H10,"0.0%")</f>
        <v>102.6%</v>
      </c>
    </row>
    <row r="37" customFormat="false" ht="15" hidden="false" customHeight="false" outlineLevel="0" collapsed="false">
      <c r="A37" s="9" t="n">
        <v>18</v>
      </c>
      <c r="B37" s="16" t="s">
        <v>219</v>
      </c>
      <c r="C37" s="16" t="s">
        <v>223</v>
      </c>
      <c r="D37" s="16" t="s">
        <v>224</v>
      </c>
      <c r="E37" s="16" t="s">
        <v>225</v>
      </c>
      <c r="F37" s="20" t="str">
        <f aca="false">TEXT(B1_MAB_Tables!H16/B1_MAB_Tables!H13,"0.0%")</f>
        <v>93.7%</v>
      </c>
    </row>
    <row r="38" customFormat="false" ht="15" hidden="false" customHeight="false" outlineLevel="0" collapsed="false">
      <c r="A38" s="9" t="n">
        <v>19</v>
      </c>
      <c r="B38" s="16" t="s">
        <v>219</v>
      </c>
      <c r="C38" s="16" t="s">
        <v>226</v>
      </c>
      <c r="D38" s="16" t="s">
        <v>227</v>
      </c>
      <c r="E38" s="16" t="s">
        <v>225</v>
      </c>
      <c r="F38" s="20" t="str">
        <f aca="false">TEXT(B1_MAB_Tables!N15/B1_MAB_Tables!N13,"0.0%")</f>
        <v>89.6%</v>
      </c>
    </row>
    <row r="39" customFormat="false" ht="15" hidden="false" customHeight="false" outlineLevel="0" collapsed="false">
      <c r="A39" s="9" t="n">
        <v>20</v>
      </c>
      <c r="B39" s="16" t="s">
        <v>219</v>
      </c>
      <c r="C39" s="16" t="s">
        <v>228</v>
      </c>
      <c r="D39" s="16" t="s">
        <v>229</v>
      </c>
      <c r="E39" s="16" t="s">
        <v>60</v>
      </c>
      <c r="F39" s="20" t="str">
        <f aca="false">TEXT(1-B1_MAB_Tables!J10/B1_MAB_Tables!H10,"0.0%")</f>
        <v>98.3%</v>
      </c>
    </row>
    <row r="40" customFormat="false" ht="15" hidden="false" customHeight="false" outlineLevel="0" collapsed="false">
      <c r="A40" s="9" t="n">
        <v>21</v>
      </c>
      <c r="B40" s="16" t="s">
        <v>230</v>
      </c>
      <c r="C40" s="16" t="s">
        <v>231</v>
      </c>
      <c r="D40" s="16" t="s">
        <v>232</v>
      </c>
      <c r="E40" s="16" t="s">
        <v>225</v>
      </c>
      <c r="F40" s="20" t="str">
        <f aca="false">TEXT(B1_MAB_Tables!V16,"0.0%")&amp;" INSIGNIA"</f>
        <v>59.6% INSIGNIA</v>
      </c>
    </row>
    <row r="41" customFormat="false" ht="15" hidden="false" customHeight="false" outlineLevel="0" collapsed="false">
      <c r="A41" s="9" t="n">
        <v>22</v>
      </c>
      <c r="B41" s="16" t="s">
        <v>230</v>
      </c>
      <c r="C41" s="16" t="s">
        <v>233</v>
      </c>
      <c r="D41" s="16" t="s">
        <v>234</v>
      </c>
      <c r="E41" s="16" t="s">
        <v>193</v>
      </c>
      <c r="F41" s="20" t="str">
        <f aca="false">TEXT((B1_MAB_Tables!E16^2+B1_MAB_Tables!E19^2+B1_MAB_Tables!E22^2+B1_MAB_Tables!E25^2)/B1_MAB_Tables!E13^2*10000,"#,##0")</f>
        <v>4,233</v>
      </c>
    </row>
    <row r="42" customFormat="false" ht="15" hidden="false" customHeight="false" outlineLevel="0" collapsed="false">
      <c r="A42" s="9" t="n">
        <v>23</v>
      </c>
      <c r="B42" s="16" t="s">
        <v>230</v>
      </c>
      <c r="C42" s="16" t="s">
        <v>235</v>
      </c>
      <c r="D42" s="16" t="s">
        <v>236</v>
      </c>
      <c r="E42" s="16" t="s">
        <v>237</v>
      </c>
      <c r="F42" s="20" t="str">
        <f aca="false">TEXT(B1_MAB_Tables!E53/B1_MAB_Tables!E24,"0.0%")</f>
        <v>61.4%</v>
      </c>
    </row>
    <row r="43" customFormat="false" ht="23.85" hidden="false" customHeight="false" outlineLevel="0" collapsed="false">
      <c r="A43" s="9" t="n">
        <v>24</v>
      </c>
      <c r="B43" s="16" t="s">
        <v>238</v>
      </c>
      <c r="C43" s="16" t="s">
        <v>239</v>
      </c>
      <c r="D43" s="16" t="s">
        <v>240</v>
      </c>
      <c r="E43" s="16" t="s">
        <v>211</v>
      </c>
      <c r="F43" s="20" t="str">
        <f aca="false">"max |gap| "&amp;TEXT(MAX(ABS(MIN(B1_MAB_Tables!AA7:AA86)),MAX(B1_MAB_Tables!AA7:AA86)),"#,##0.00;-#,##0.00;0.00")&amp;"; CA printed "&amp;TEXT(B1_MAB_Tables!H7,"#,##0.00;-#,##0.00;0.00")&amp;" vs recomputed "&amp;TEXT(B1_MAB_Tables!Y7,"#,##0.00;-#,##0.00;0.00")</f>
        <v>max |gap| 0.01; CA printed -72.18 vs recomputed -72.18</v>
      </c>
    </row>
    <row r="44" customFormat="false" ht="23.85" hidden="false" customHeight="false" outlineLevel="0" collapsed="false">
      <c r="A44" s="9" t="n">
        <v>25</v>
      </c>
      <c r="B44" s="16" t="s">
        <v>238</v>
      </c>
      <c r="C44" s="16" t="s">
        <v>241</v>
      </c>
      <c r="D44" s="16" t="s">
        <v>242</v>
      </c>
      <c r="E44" s="16" t="s">
        <v>243</v>
      </c>
      <c r="F44" s="20" t="str">
        <f aca="false">"COOP gap "&amp;TEXT(B1_MAB_Tables!E54-B1_MAB_Tables!E76,"#,##0.00;-#,##0.00;0.00")&amp;"; Diplomat gap "&amp;TEXT(B1_MAB_Tables!E57-B1_MAB_Tables!E82,"#,##0.00;-#,##0.00;0.00")</f>
        <v>COOP gap 0.00; Diplomat gap 34.48</v>
      </c>
    </row>
    <row r="45" customFormat="false" ht="15" hidden="false" customHeight="false" outlineLevel="0" collapsed="false">
      <c r="A45" s="9" t="n">
        <v>26</v>
      </c>
      <c r="B45" s="16" t="s">
        <v>238</v>
      </c>
      <c r="C45" s="16" t="s">
        <v>244</v>
      </c>
      <c r="D45" s="16" t="s">
        <v>245</v>
      </c>
      <c r="E45" s="16" t="s">
        <v>155</v>
      </c>
      <c r="F45" s="20" t="str">
        <f aca="false">TEXT(B1_MAB_Tables!K13,"#,##0.00;-#,##0.00;0.00")&amp;" vs LM "&amp;TEXT(B1_MAB_Tables!H13,"#,##0.00;-#,##0.00;0.00")&amp;" — M-1 is an earlier base; definition to confirm"</f>
        <v>28,049.87 vs LM 20,567.85 — M-1 is an earlier base; definition to confirm</v>
      </c>
    </row>
    <row r="47" customFormat="false" ht="15" hidden="false" customHeight="false" outlineLevel="0" collapsed="false">
      <c r="A47" s="3" t="s">
        <v>2</v>
      </c>
    </row>
  </sheetData>
  <mergeCells count="10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2026-10-09T21:17:21Z</dcterms:created>
  <dc:creator>openpyxl</dc:creator>
  <dc:description/>
  <dc:language>en-US</dc:language>
  <cp:lastModifiedBy/>
  <dcterms:modified xsi:type="dcterms:W3CDTF">2026-10-09T21:17:21Z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