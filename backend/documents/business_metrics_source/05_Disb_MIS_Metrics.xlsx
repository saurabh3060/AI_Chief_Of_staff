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Disbursement_MIS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<sst xmlns="http://schemas.openxmlformats.org/spreadsheetml/2006/main" count="389" uniqueCount="295">
  <si>
    <t xml:space="preserve">RBL Bank — Retail Disbursement MIS: page-wise metric extraction</t>
  </si>
  <si>
    <t xml:space="preserve">Source: 05_Disb_MIS.pdf (1 page; main quarterly table + unlabelled FY27 Q2 table; latest date 18-Aug-2026) | ₹ Cr, counts, yield %</t>
  </si>
  <si>
    <t xml:space="preserve">⚠ DRAFT ONLY — Requires review and approval by a qualified Alvarez and Marsal professional before use.</t>
  </si>
  <si>
    <t xml:space="preserve">Sheet map</t>
  </si>
  <si>
    <t xml:space="preserve">B1_Disbursement_MIS</t>
  </si>
  <si>
    <t xml:space="preserve">Quarterly disbursement by sub-product (Disb ₹ Cr, #, Yield %) with ATS, growth, run-rate, mix and yield checks; unlabelled lower table with inferred labels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</si>
  <si>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</si>
  <si>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</si>
  <si>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</si>
  <si>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</si>
  <si>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</si>
  <si>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</si>
  <si>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</si>
  <si>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</si>
  <si>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</si>
  <si>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</si>
  <si>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</si>
  <si>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</si>
  <si>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</si>
  <si>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</si>
  <si>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</si>
  <si>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Q2 FY27 is partial (data to 18-Aug-2026 = 49 of 92 days). Run-rate annualisation uses 92 ÷ 49; both parameters are editable inputs.</t>
  </si>
  <si>
    <t xml:space="preserve">2</t>
  </si>
  <si>
    <t xml:space="preserve">The lower 'FY 2027 Q2' table has no row labels; labels are inferred by matching values to the upper table. Three rows (₹56.4 Cr / 2, ₹4.1 Cr / 41, ₹864.8 Cr / 139,608 @ 25%) do not exist in the upper table, so the lower totals exceed the upper ones. The 139,608-account row looks like Micro Banking.</t>
  </si>
  <si>
    <t xml:space="preserve">3</t>
  </si>
  <si>
    <t xml:space="preserve">Printed category and Grand Total yields are SIMPLE (unweighted) averages of sub-product yields, not disbursement-weighted. The true weighted yields are computed alongside (e.g. LAP Q3: printed 10.60% vs weighted 9.22%).</t>
  </si>
  <si>
    <t xml:space="preserve">4</t>
  </si>
  <si>
    <t xml:space="preserve">Note on page: Cards, BBG and Agri TL are not part of the dashboard.</t>
  </si>
  <si>
    <t xml:space="preserve">Confidentiality</t>
  </si>
  <si>
    <t xml:space="preserve">Client-confidential RBL Bank data.</t>
  </si>
  <si>
    <t xml:space="preserve">Block 1 — Retail disbursement MIS by sub-product and quarter</t>
  </si>
  <si>
    <t xml:space="preserve">Source: Disb MIS.pdf | Disb ₹ Cr, Disb # (count), Yield % | Q3 FY26 – Q2 FY27 (Q2 to 18-Aug-2026)</t>
  </si>
  <si>
    <t xml:space="preserve">Q2 FY27 days in quarter</t>
  </si>
  <si>
    <t xml:space="preserve">Days elapsed to 18-Aug</t>
  </si>
  <si>
    <t xml:space="preserve">Annualisation factor</t>
  </si>
  <si>
    <t xml:space="preserve">A. Source data (blue) with live calculations</t>
  </si>
  <si>
    <t xml:space="preserve">#</t>
  </si>
  <si>
    <t xml:space="preserve">Category</t>
  </si>
  <si>
    <t xml:space="preserve">Sub product</t>
  </si>
  <si>
    <t xml:space="preserve">Q3 FY26 Disb ₹ Cr</t>
  </si>
  <si>
    <t xml:space="preserve">Q3 FY26 #</t>
  </si>
  <si>
    <t xml:space="preserve">Q3 FY26 Yield %</t>
  </si>
  <si>
    <t xml:space="preserve">Q4 FY26 Disb ₹ Cr</t>
  </si>
  <si>
    <t xml:space="preserve">Q4 FY26 #</t>
  </si>
  <si>
    <t xml:space="preserve">Q4 FY26 Yield %</t>
  </si>
  <si>
    <t xml:space="preserve">Q1 FY27 Disb ₹ Cr</t>
  </si>
  <si>
    <t xml:space="preserve">Q1 FY27 #</t>
  </si>
  <si>
    <t xml:space="preserve">Q1 FY27 Yield %</t>
  </si>
  <si>
    <t xml:space="preserve">Q2 FY27 (to 18-Aug) Disb ₹ Cr</t>
  </si>
  <si>
    <t xml:space="preserve">Q2 FY27 (to 18-Aug) #</t>
  </si>
  <si>
    <t xml:space="preserve">Q2 FY27 (to 18-Aug) Yield %</t>
  </si>
  <si>
    <t xml:space="preserve">ATS Q3 (₹ lakh)</t>
  </si>
  <si>
    <t xml:space="preserve">ATS Q4</t>
  </si>
  <si>
    <t xml:space="preserve">ATS Q1</t>
  </si>
  <si>
    <t xml:space="preserve">ATS Q2</t>
  </si>
  <si>
    <t xml:space="preserve">QoQ Q4/Q3</t>
  </si>
  <si>
    <t xml:space="preserve">QoQ Q1/Q4</t>
  </si>
  <si>
    <t xml:space="preserve">Q2 run-rate (full quarter)</t>
  </si>
  <si>
    <t xml:space="preserve">Q2 run-rate vs Q1</t>
  </si>
  <si>
    <t xml:space="preserve">Share of GT (Q1)</t>
  </si>
  <si>
    <t xml:space="preserve">Yield Δ Q1 − Q3 (bp)</t>
  </si>
  <si>
    <t xml:space="preserve">Σ sub-products check (Totals)</t>
  </si>
  <si>
    <t xml:space="preserve">Printed − simple-avg yield (pp)</t>
  </si>
  <si>
    <t xml:space="preserve">Wtd yield Q3 (true)</t>
  </si>
  <si>
    <t xml:space="preserve">Wtd yield Q1 (true)</t>
  </si>
  <si>
    <t xml:space="preserve">Loan Against Property</t>
  </si>
  <si>
    <t xml:space="preserve">LAP</t>
  </si>
  <si>
    <t xml:space="preserve">Micro LAP</t>
  </si>
  <si>
    <t xml:space="preserve">Micro LAP RFL</t>
  </si>
  <si>
    <t xml:space="preserve">LAP Colending</t>
  </si>
  <si>
    <t xml:space="preserve">DA Portfolio LAP</t>
  </si>
  <si>
    <t xml:space="preserve">Total</t>
  </si>
  <si>
    <t xml:space="preserve">Home Loan</t>
  </si>
  <si>
    <t xml:space="preserve">PHL</t>
  </si>
  <si>
    <t xml:space="preserve">AHL</t>
  </si>
  <si>
    <t xml:space="preserve">AHL RFL</t>
  </si>
  <si>
    <t xml:space="preserve">AHL Colending</t>
  </si>
  <si>
    <t xml:space="preserve">PHL Colending</t>
  </si>
  <si>
    <t xml:space="preserve">Wheels</t>
  </si>
  <si>
    <t xml:space="preserve">New Car Loan</t>
  </si>
  <si>
    <t xml:space="preserve">Two Wheeler</t>
  </si>
  <si>
    <t xml:space="preserve">Used Car Loan</t>
  </si>
  <si>
    <t xml:space="preserve">RVF</t>
  </si>
  <si>
    <t xml:space="preserve">Retail Others</t>
  </si>
  <si>
    <t xml:space="preserve">BIL</t>
  </si>
  <si>
    <t xml:space="preserve">Education Loan</t>
  </si>
  <si>
    <t xml:space="preserve">Gold Loan-BBB</t>
  </si>
  <si>
    <t xml:space="preserve">Grand Total</t>
  </si>
  <si>
    <t xml:space="preserve">B. Lower 'FY 2027 Q2' table — unlabelled in the original; labels inferred (blue values as printed)</t>
  </si>
  <si>
    <t xml:space="preserve">Inferred label</t>
  </si>
  <si>
    <t xml:space="preserve">Disb ₹ Cr</t>
  </si>
  <si>
    <t xml:space="preserve">Yield %</t>
  </si>
  <si>
    <t xml:space="preserve">Match to upper Q2 (Disb)</t>
  </si>
  <si>
    <t xml:space="preserve">Match to upper Q2 (#)</t>
  </si>
  <si>
    <t xml:space="preserve">Micro LAP RFL (inferred)</t>
  </si>
  <si>
    <t xml:space="preserve">Micro LAP (inferred)</t>
  </si>
  <si>
    <t xml:space="preserve">LAP Colending (inferred)</t>
  </si>
  <si>
    <t xml:space="preserve">LAP (inferred)</t>
  </si>
  <si>
    <t xml:space="preserve">DA Portfolio LAP (inferred)</t>
  </si>
  <si>
    <t xml:space="preserve">LAP Total (inferred)</t>
  </si>
  <si>
    <t xml:space="preserve">PHL (inferred)</t>
  </si>
  <si>
    <t xml:space="preserve">Unlabelled — not in upper table (PHL Colending / DA?)</t>
  </si>
  <si>
    <t xml:space="preserve">AHL RFL (inferred)</t>
  </si>
  <si>
    <t xml:space="preserve">Unlabelled — not in upper table (AHL Colending?)</t>
  </si>
  <si>
    <t xml:space="preserve">AHL (inferred)</t>
  </si>
  <si>
    <t xml:space="preserve">Home Loan Total (inferred; ≠ upper 225.43)</t>
  </si>
  <si>
    <t xml:space="preserve">Used Car Loan (inferred)</t>
  </si>
  <si>
    <t xml:space="preserve">Two Wheeler (inferred)</t>
  </si>
  <si>
    <t xml:space="preserve">RVF (inferred)</t>
  </si>
  <si>
    <t xml:space="preserve">New Car Loan (inferred)</t>
  </si>
  <si>
    <t xml:space="preserve">Wheels Total (inferred)</t>
  </si>
  <si>
    <t xml:space="preserve">Blank row</t>
  </si>
  <si>
    <t xml:space="preserve">Unlabelled — not in upper table (Micro Banking?)</t>
  </si>
  <si>
    <t xml:space="preserve">Gold Loan-BBB (inferred)</t>
  </si>
  <si>
    <t xml:space="preserve">Education Loan (inferred)</t>
  </si>
  <si>
    <t xml:space="preserve">BIL (inferred)</t>
  </si>
  <si>
    <t xml:space="preserve">Retail Others Total (inferred; ≠ upper 155.68)</t>
  </si>
  <si>
    <t xml:space="preserve">Grand Total (inferred; ≠ upper 1,110.20)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</si>
  <si>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</si>
  <si>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</si>
  <si>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</si>
  <si>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</si>
  <si>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</si>
  <si>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Printed category / Grand Total yields are simple averages of sub-product yields, not disbursement-weighted. LAP Q3: printed 10.60% vs true weighted:</t>
  </si>
  <si>
    <t xml:space="preserve">%</t>
  </si>
  <si>
    <t xml:space="preserve">Re-state all portfolio yields on a weighted basis before using them for income or pricing analysis.</t>
  </si>
  <si>
    <t xml:space="preserve">Gap printed − simple average (pp) across Totals (should be ~0):</t>
  </si>
  <si>
    <t xml:space="preserve">pp</t>
  </si>
  <si>
    <t xml:space="preserve">Confirms the simple-average construction.</t>
  </si>
  <si>
    <t xml:space="preserve">Q2 FY27 is partial (49 of 92 days). Reported Q2 Grand Total vs Q1:</t>
  </si>
  <si>
    <t xml:space="preserve">Use the run-rate column (×92/49); run-rate vs Q1 is in column W.</t>
  </si>
  <si>
    <t xml:space="preserve">Lower Q2 table Grand Total exceeds the upper by the three unlabelled rows (₹56.4 + ₹4.1 + ₹864.8 Cr):</t>
  </si>
  <si>
    <t xml:space="preserve">₹ Cr</t>
  </si>
  <si>
    <t xml:space="preserve">The ₹864.8 Cr / 139,608-account / 25%-yield row is almost certainly Micro Banking, outside the upper dashboard scope.</t>
  </si>
  <si>
    <t xml:space="preserve">Σ sub-products vs printed category totals (max |gap|):</t>
  </si>
  <si>
    <t xml:space="preserve">Rounding only.</t>
  </si>
  <si>
    <t xml:space="preserve">DA Portfolio LAP: ₹545 Cr in Q3 FY26 on 3 deals, then ₹9–42 Cr — pool purchases make LAP Q3 non-comparable.</t>
  </si>
  <si>
    <t xml:space="preserve">Show LAP growth ex-DA.</t>
  </si>
  <si>
    <t xml:space="preserve">Disbursement count fell every quarter (40,960 → 32,917 → 28,161):</t>
  </si>
  <si>
    <t xml:space="preserve">Count down ~31% in two quarters; value down ~32% — origination in the dashboard scope is contracting.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</si>
  <si>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</si>
  <si>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</si>
  <si>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</si>
  <si>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</si>
  <si>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</si>
  <si>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</si>
  <si>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</si>
  <si>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</si>
  <si>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was Q1 FY27 Grand Total disbursement?</t>
  </si>
  <si>
    <t xml:space="preserve">Lookup</t>
  </si>
  <si>
    <t xml:space="preserve">How many Two Wheeler loans were disbursed in Q4 FY26?</t>
  </si>
  <si>
    <t xml:space="preserve">count</t>
  </si>
  <si>
    <t xml:space="preserve">What is the Q1 FY27 yield on AHL?</t>
  </si>
  <si>
    <t xml:space="preserve">Medium</t>
  </si>
  <si>
    <t xml:space="preserve">What is the Q1 FY27 ATS for LAP (₹ lakh)?</t>
  </si>
  <si>
    <t xml:space="preserve">Disb × 100 ÷ #</t>
  </si>
  <si>
    <t xml:space="preserve">₹ lakh</t>
  </si>
  <si>
    <t xml:space="preserve">What is QoQ growth of Grand Total disbursement, Q1 vs Q4?</t>
  </si>
  <si>
    <t xml:space="preserve">Q1 ÷ Q4 − 1</t>
  </si>
  <si>
    <t xml:space="preserve">What is the Q2 run-rate (full quarter) for Grand Total relative to Q1?</t>
  </si>
  <si>
    <t xml:space="preserve">Q2 × 92/49 ÷ Q1 − 1</t>
  </si>
  <si>
    <t xml:space="preserve">What share of Q1 disbursement is the LAP category?</t>
  </si>
  <si>
    <t xml:space="preserve">LAP Total ÷ GT</t>
  </si>
  <si>
    <t xml:space="preserve">High</t>
  </si>
  <si>
    <t xml:space="preserve">Strip DA Portfolio LAP: what is LAP category QoQ growth Q4 vs Q3 ex-DA?</t>
  </si>
  <si>
    <t xml:space="preserve">(LAP Tot − DA) Q4 ÷ same Q3 − 1</t>
  </si>
  <si>
    <t xml:space="preserve">Organic LAP grew ~22% in Q4 even though the reported total fell ~15%.</t>
  </si>
  <si>
    <t xml:space="preserve">What is the true disbursement-weighted Grand Total yield in Q1 vs the printed figure (pp)?</t>
  </si>
  <si>
    <t xml:space="preserve">Weighted − printed</t>
  </si>
  <si>
    <t xml:space="preserve">Printed yield is a simple average — overstates blended yield because small high-yield products count equally.</t>
  </si>
  <si>
    <t xml:space="preserve">Reconcile the two Q2 tables: how much of the lower Grand Total is not in the upper table?</t>
  </si>
  <si>
    <t xml:space="preserve">Lower GT − upper GT</t>
  </si>
  <si>
    <t xml:space="preserve">₹925 Cr, mostly a 139,608-account, 25%-yield row (Micro Banking) outside the upper dashboard scope.</t>
  </si>
  <si>
    <t xml:space="preserve">What this page cannot support (feeds the data request)</t>
  </si>
  <si>
    <t xml:space="preserve">Not derivable: sanctions and conversion, logins / approval rates, channel and geography, Cards / BBG / Agri TL disbursement (excluded by note), the true labels of the three unlabelled lower-table rows, cost of funds to turn yield into spread, and early delinquency of these disbursement vintages.</t>
  </si>
  <si>
    <t xml:space="preserve">Retail disbursement MIS: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</si>
  <si>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</si>
  <si>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</si>
  <si>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</si>
  <si>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</si>
  <si>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D(s,q)</t>
  </si>
  <si>
    <t xml:space="preserve">Disbursement ₹ Cr for sub-product s in quarter q</t>
  </si>
  <si>
    <t xml:space="preserve">N(s,q)</t>
  </si>
  <si>
    <t xml:space="preserve">Number of disbursements</t>
  </si>
  <si>
    <t xml:space="preserve">Y(s,q)</t>
  </si>
  <si>
    <t xml:space="preserve">Yield % on disbursement as printed</t>
  </si>
  <si>
    <t xml:space="preserve">q</t>
  </si>
  <si>
    <t xml:space="preserve">Q3 FY26, Q4 FY26, Q1 FY27, Q2 FY27 (partial to 18-Aug-2026)</t>
  </si>
  <si>
    <t xml:space="preserve">C</t>
  </si>
  <si>
    <t xml:space="preserve">Category total (LAP, Home Loan, Wheels, Retail Others); GT = Grand Total</t>
  </si>
  <si>
    <t xml:space="preserve">ATS</t>
  </si>
  <si>
    <t xml:space="preserve">D × 100 ÷ N, ₹ lakh</t>
  </si>
  <si>
    <t xml:space="preserve">RR(Q2)</t>
  </si>
  <si>
    <t xml:space="preserve">Run-rate = D(Q2) × days-in-quarter ÷ days-elapsed (92 ÷ 49)</t>
  </si>
  <si>
    <t xml:space="preserve">g</t>
  </si>
  <si>
    <t xml:space="preserve">D(q) ÷ D(q−1) − 1</t>
  </si>
  <si>
    <t xml:space="preserve">Ȳ(C)</t>
  </si>
  <si>
    <t xml:space="preserve">True disbursement-weighted yield = Σ D × Y ÷ Σ D</t>
  </si>
  <si>
    <t xml:space="preserve">Ȳs(C)</t>
  </si>
  <si>
    <t xml:space="preserve">Simple average of sub-product yields — what the page prints as the category yield</t>
  </si>
  <si>
    <t xml:space="preserve">bp / pp</t>
  </si>
  <si>
    <t xml:space="preserve">Basis points / percentage points</t>
  </si>
  <si>
    <t xml:space="preserve">L</t>
  </si>
  <si>
    <t xml:space="preserve">Lower unlabelled FY27 Q2 table</t>
  </si>
  <si>
    <t xml:space="preserve">Disbursement in ₹ Cr, counts, yield in %; ATS in ₹ lakh; Q2 FY27 partial (to 18-Aug-2026); printed yields are simple averages.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</si>
  <si>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</si>
  <si>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</si>
  <si>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</si>
  <si>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</si>
  <si>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</si>
  <si>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</si>
  <si>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</si>
  <si>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Disbursement</t>
  </si>
  <si>
    <t xml:space="preserve">16 sub-products × 4 quarters</t>
  </si>
  <si>
    <t xml:space="preserve">Count</t>
  </si>
  <si>
    <t xml:space="preserve">16 × 4</t>
  </si>
  <si>
    <t xml:space="preserve">Yield</t>
  </si>
  <si>
    <t xml:space="preserve">Category and Grand totals</t>
  </si>
  <si>
    <t xml:space="preserve">D(C,q), N(C,q), Y(C,q)</t>
  </si>
  <si>
    <t xml:space="preserve">5 × 4</t>
  </si>
  <si>
    <t xml:space="preserve">Roll-up check</t>
  </si>
  <si>
    <t xml:space="preserve">Sub-products to category</t>
  </si>
  <si>
    <t xml:space="preserve">D(C) − Σ D(s)</t>
  </si>
  <si>
    <t xml:space="preserve">4 categories + GT (Q3)</t>
  </si>
  <si>
    <t xml:space="preserve">Yield construction</t>
  </si>
  <si>
    <t xml:space="preserve">Y(C) − Ȳs(C), pp (≈0 → printed yields are simple averages)</t>
  </si>
  <si>
    <t xml:space="preserve">Pricing</t>
  </si>
  <si>
    <t xml:space="preserve">True weighted yield</t>
  </si>
  <si>
    <t xml:space="preserve">Ȳ(C) = Σ D × Y ÷ Σ D</t>
  </si>
  <si>
    <t xml:space="preserve">4 categories + GT; Q3 and Q1</t>
  </si>
  <si>
    <t xml:space="preserve">Printed − weighted yield</t>
  </si>
  <si>
    <t xml:space="preserve">(Y(C) − Ȳ(C)) × 100, pp</t>
  </si>
  <si>
    <t xml:space="preserve">Blended yield trend (printed)</t>
  </si>
  <si>
    <t xml:space="preserve">Y(GT,q)</t>
  </si>
  <si>
    <t xml:space="preserve">4 quarters</t>
  </si>
  <si>
    <t xml:space="preserve">Yield change Q1 − Q3</t>
  </si>
  <si>
    <t xml:space="preserve">(Y(Q1) − Y(Q3)) × 10,000 bp</t>
  </si>
  <si>
    <t xml:space="preserve">All rows</t>
  </si>
  <si>
    <t xml:space="preserve">Yield spread to GT</t>
  </si>
  <si>
    <t xml:space="preserve">Y(s,Q1) − Y(GT,Q1), pp</t>
  </si>
  <si>
    <t xml:space="preserve">16 sub-products</t>
  </si>
  <si>
    <t xml:space="preserve">Yield-weighted disbursement (income proxy)</t>
  </si>
  <si>
    <t xml:space="preserve">Σ D × Y over sub-products</t>
  </si>
  <si>
    <t xml:space="preserve">GT by quarter</t>
  </si>
  <si>
    <t xml:space="preserve">Ticket size</t>
  </si>
  <si>
    <t xml:space="preserve">ATS by sub-product</t>
  </si>
  <si>
    <t xml:space="preserve">ATS(s,q)</t>
  </si>
  <si>
    <t xml:space="preserve">ATS by category / GT</t>
  </si>
  <si>
    <t xml:space="preserve">ATS(C,q)</t>
  </si>
  <si>
    <t xml:space="preserve">ATS change</t>
  </si>
  <si>
    <t xml:space="preserve">ATS(Q1) ÷ ATS(Q3) − 1</t>
  </si>
  <si>
    <t xml:space="preserve">Growth &amp; momentum</t>
  </si>
  <si>
    <t xml:space="preserve">QoQ growth</t>
  </si>
  <si>
    <t xml:space="preserve">g(Q4/Q3), g(Q1/Q4)</t>
  </si>
  <si>
    <t xml:space="preserve">Two-quarter change</t>
  </si>
  <si>
    <t xml:space="preserve">D(Q1) ÷ D(Q3) − 1; N(Q1) ÷ N(Q3) − 1</t>
  </si>
  <si>
    <t xml:space="preserve">LAP growth ex DA Portfolio</t>
  </si>
  <si>
    <t xml:space="preserve">(D(LAP) − D(DA))(q) ÷ same (q−1) − 1</t>
  </si>
  <si>
    <t xml:space="preserve">Q4, Q1</t>
  </si>
  <si>
    <t xml:space="preserve">Run-rate &amp; pacing</t>
  </si>
  <si>
    <t xml:space="preserve">Q2 annualised run-rate</t>
  </si>
  <si>
    <t xml:space="preserve">RR(Q2) ÷ D(Q1) − 1</t>
  </si>
  <si>
    <t xml:space="preserve">Q2 completion</t>
  </si>
  <si>
    <t xml:space="preserve">Days elapsed ÷ days in quarter</t>
  </si>
  <si>
    <t xml:space="preserve">Page</t>
  </si>
  <si>
    <t xml:space="preserve">Average quarterly disbursement (3 full quarters)</t>
  </si>
  <si>
    <t xml:space="preserve">AVERAGE(D(Q3..Q1))</t>
  </si>
  <si>
    <t xml:space="preserve">GT</t>
  </si>
  <si>
    <t xml:space="preserve">Mix &amp; share</t>
  </si>
  <si>
    <t xml:space="preserve">Category share of GT</t>
  </si>
  <si>
    <t xml:space="preserve">D(C,Q1) ÷ D(GT,Q1)</t>
  </si>
  <si>
    <t xml:space="preserve">4 categories × 4 quarters</t>
  </si>
  <si>
    <t xml:space="preserve">Sub-product share of GT</t>
  </si>
  <si>
    <t xml:space="preserve">D(s,Q1) ÷ D(GT,Q1)</t>
  </si>
  <si>
    <t xml:space="preserve">Count share</t>
  </si>
  <si>
    <t xml:space="preserve">N(C,Q1) ÷ N(GT,Q1)</t>
  </si>
  <si>
    <t xml:space="preserve">4 categories</t>
  </si>
  <si>
    <t xml:space="preserve">Share shift Q3 → Q1</t>
  </si>
  <si>
    <t xml:space="preserve">(D(C,Q1) ÷ GT(Q1) − D(C,Q3) ÷ GT(Q3)) × 100</t>
  </si>
  <si>
    <t xml:space="preserve">Concentration</t>
  </si>
  <si>
    <t xml:space="preserve">Top-3 sub-products share (Q1)</t>
  </si>
  <si>
    <t xml:space="preserve">(D(LAP) + D(RVF) + D(Gold-BBB)) ÷ GT</t>
  </si>
  <si>
    <t xml:space="preserve">Data integrity</t>
  </si>
  <si>
    <t xml:space="preserve">Partial quarter</t>
  </si>
  <si>
    <t xml:space="preserve">D(Q2) ÷ D(Q1)</t>
  </si>
  <si>
    <t xml:space="preserve">Lower table reconciliation</t>
  </si>
  <si>
    <t xml:space="preserve">L − upper Q2 by row</t>
  </si>
  <si>
    <t xml:space="preserve">24 rows</t>
  </si>
  <si>
    <t xml:space="preserve">Unlabelled rows</t>
  </si>
  <si>
    <t xml:space="preserve">Rows in L with no upper match</t>
  </si>
  <si>
    <t xml:space="preserve">3 rows</t>
  </si>
  <si>
    <t xml:space="preserve">Colending rows</t>
  </si>
  <si>
    <t xml:space="preserve">Only Q3 FY26 populated</t>
  </si>
  <si>
    <t xml:space="preserve">2 rows</t>
  </si>
  <si>
    <t xml:space="preserve">AHL Colending and PHL Colending have Q3 FY26 values only; blank thereafter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</si>
</sst>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\x"/>
    <numFmt numFmtId="167" formatCode="#,##0.00;\(#,##0.00\);\-"/>
    <numFmt numFmtId="168" formatCode="0.00%;\-0.00%;0.00%"/>
    <numFmt numFmtId="169" formatCode="#,##0.00"/>
    <numFmt numFmtId="170" formatCode="0.0%;\-0.0%;0.0%"/>
    <numFmt numFmtId="171" formatCode="0"/>
    <numFmt numFmtId="172" formatCode="\+0.0&quot; pp&quot;;\-0.0&quot; pp&quot;;0.0&quot; pp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</row>
    <row r="6" customFormat="false" ht="23.8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/>
      <c r="B8" s="7"/>
    </row>
    <row r="9" customFormat="false" ht="15" hidden="false" customHeight="false" outlineLevel="0" collapsed="false">
      <c r="A9" s="4" t="s">
        <v>8</v>
      </c>
      <c r="B9" s="5"/>
    </row>
    <row r="10" customFormat="false" ht="15" hidden="false" customHeight="false" outlineLevel="0" collapsed="false">
      <c r="A10" s="6" t="s">
        <v>9</v>
      </c>
      <c r="B10" s="7" t="s">
        <v>10</v>
      </c>
    </row>
    <row r="11" customFormat="false" ht="15" hidden="false" customHeight="false" outlineLevel="0" collapsed="false">
      <c r="A11" s="6" t="s">
        <v>11</v>
      </c>
      <c r="B11" s="7" t="s">
        <v>12</v>
      </c>
    </row>
    <row r="12" customFormat="false" ht="15" hidden="false" customHeight="false" outlineLevel="0" collapsed="false">
      <c r="A12" s="6" t="s">
        <v>13</v>
      </c>
      <c r="B12" s="7" t="s">
        <v>14</v>
      </c>
    </row>
    <row r="13" customFormat="false" ht="15" hidden="false" customHeight="false" outlineLevel="0" collapsed="false">
      <c r="A13" s="6" t="s">
        <v>15</v>
      </c>
      <c r="B13" s="7" t="s">
        <v>16</v>
      </c>
    </row>
    <row r="14" customFormat="false" ht="15" hidden="false" customHeight="false" outlineLevel="0" collapsed="false">
      <c r="A14" s="6" t="s">
        <v>17</v>
      </c>
      <c r="B14" s="7" t="s">
        <v>18</v>
      </c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4" t="s">
        <v>19</v>
      </c>
      <c r="B16" s="5"/>
    </row>
    <row r="17" customFormat="false" ht="15" hidden="false" customHeight="false" outlineLevel="0" collapsed="false">
      <c r="A17" s="6" t="s">
        <v>20</v>
      </c>
      <c r="B17" s="7" t="s">
        <v>21</v>
      </c>
    </row>
    <row r="18" customFormat="false" ht="35.05" hidden="false" customHeight="false" outlineLevel="0" collapsed="false">
      <c r="A18" s="6" t="s">
        <v>22</v>
      </c>
      <c r="B18" s="7" t="s">
        <v>23</v>
      </c>
    </row>
    <row r="19" customFormat="false" ht="23.85" hidden="false" customHeight="false" outlineLevel="0" collapsed="false">
      <c r="A19" s="6" t="s">
        <v>24</v>
      </c>
      <c r="B19" s="7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15" hidden="false" customHeight="false" outlineLevel="0" collapsed="false">
      <c r="A21" s="6" t="s">
        <v>28</v>
      </c>
      <c r="B21" s="7" t="s">
        <v>29</v>
      </c>
    </row>
    <row r="23" customFormat="false" ht="15" hidden="false" customHeight="false" outlineLevel="0" collapsed="false">
      <c r="A23" s="3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29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B4" s="8" t="s">
        <v>32</v>
      </c>
      <c r="C4" s="9" t="n">
        <v>92</v>
      </c>
      <c r="D4" s="8" t="s">
        <v>33</v>
      </c>
      <c r="E4" s="9" t="n">
        <v>49</v>
      </c>
      <c r="F4" s="8" t="s">
        <v>34</v>
      </c>
      <c r="G4" s="10" t="n">
        <f aca="false">C4/E4</f>
        <v>1.87755102040816</v>
      </c>
    </row>
    <row r="5" customFormat="false" ht="15" hidden="false" customHeight="false" outlineLevel="0" collapsed="false">
      <c r="A5" s="4" t="s">
        <v>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customFormat="false" ht="46.25" hidden="false" customHeight="false" outlineLevel="0" collapsed="false">
      <c r="A6" s="11" t="s">
        <v>36</v>
      </c>
      <c r="B6" s="11" t="s">
        <v>37</v>
      </c>
      <c r="C6" s="11" t="s">
        <v>38</v>
      </c>
      <c r="D6" s="11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I6" s="11" t="s">
        <v>44</v>
      </c>
      <c r="J6" s="11" t="s">
        <v>45</v>
      </c>
      <c r="K6" s="11" t="s">
        <v>46</v>
      </c>
      <c r="L6" s="11" t="s">
        <v>47</v>
      </c>
      <c r="M6" s="11" t="s">
        <v>48</v>
      </c>
      <c r="N6" s="11" t="s">
        <v>49</v>
      </c>
      <c r="O6" s="11" t="s">
        <v>50</v>
      </c>
      <c r="P6" s="11" t="s">
        <v>51</v>
      </c>
      <c r="Q6" s="11" t="s">
        <v>52</v>
      </c>
      <c r="R6" s="11" t="s">
        <v>53</v>
      </c>
      <c r="S6" s="11" t="s">
        <v>54</v>
      </c>
      <c r="T6" s="11" t="s">
        <v>55</v>
      </c>
      <c r="U6" s="11" t="s">
        <v>56</v>
      </c>
      <c r="V6" s="11" t="s">
        <v>57</v>
      </c>
      <c r="W6" s="11" t="s">
        <v>58</v>
      </c>
      <c r="X6" s="11" t="s">
        <v>59</v>
      </c>
      <c r="Y6" s="11" t="s">
        <v>60</v>
      </c>
      <c r="Z6" s="11" t="s">
        <v>61</v>
      </c>
      <c r="AA6" s="11" t="s">
        <v>62</v>
      </c>
      <c r="AB6" s="11" t="s">
        <v>63</v>
      </c>
      <c r="AC6" s="11" t="s">
        <v>64</v>
      </c>
    </row>
    <row r="7" customFormat="false" ht="15" hidden="false" customHeight="false" outlineLevel="0" collapsed="false">
      <c r="A7" s="8" t="n">
        <v>1</v>
      </c>
      <c r="B7" s="8" t="s">
        <v>65</v>
      </c>
      <c r="C7" s="8" t="s">
        <v>66</v>
      </c>
      <c r="D7" s="12" t="n">
        <v>1030.19</v>
      </c>
      <c r="E7" s="9" t="n">
        <v>516</v>
      </c>
      <c r="F7" s="13" t="n">
        <v>0.0944</v>
      </c>
      <c r="G7" s="12" t="n">
        <v>1305.36</v>
      </c>
      <c r="H7" s="9" t="n">
        <v>584</v>
      </c>
      <c r="I7" s="13" t="n">
        <v>0.0911</v>
      </c>
      <c r="J7" s="12" t="n">
        <v>960.54</v>
      </c>
      <c r="K7" s="9" t="n">
        <v>533</v>
      </c>
      <c r="L7" s="13" t="n">
        <v>0.0896</v>
      </c>
      <c r="M7" s="12" t="n">
        <v>455.23</v>
      </c>
      <c r="N7" s="9" t="n">
        <v>287</v>
      </c>
      <c r="O7" s="13" t="n">
        <v>0.089</v>
      </c>
      <c r="P7" s="14" t="n">
        <f aca="false">IF(OR(E7="",E7=0),"",D7*100/E7)</f>
        <v>199.649224806202</v>
      </c>
      <c r="Q7" s="14" t="n">
        <f aca="false">IF(OR(H7="",H7=0),"",G7*100/H7)</f>
        <v>223.520547945205</v>
      </c>
      <c r="R7" s="14" t="n">
        <f aca="false">IF(OR(K7="",K7=0),"",J7*100/K7)</f>
        <v>180.213883677298</v>
      </c>
      <c r="S7" s="14" t="n">
        <f aca="false">IF(OR(N7="",N7=0),"",M7*100/N7)</f>
        <v>158.616724738676</v>
      </c>
      <c r="T7" s="15" t="n">
        <f aca="false">IF(OR(D7="",G7="",D7=0),"n/a",G7/D7-1)</f>
        <v>0.267106067812734</v>
      </c>
      <c r="U7" s="15" t="n">
        <f aca="false">IF(OR(G7="",J7="",G7=0),"n/a",J7/G7-1)</f>
        <v>-0.264157014157014</v>
      </c>
      <c r="V7" s="16" t="n">
        <f aca="false">IF(M7="","",M7*$G$4)</f>
        <v>854.717551020408</v>
      </c>
      <c r="W7" s="15" t="n">
        <f aca="false">IF(OR(J7="",V7=""),"n/a",V7/J7-1)</f>
        <v>-0.110169747204272</v>
      </c>
      <c r="X7" s="15" t="n">
        <f aca="false">IF(J7="","",J7/$J$28)</f>
        <v>0.376457954474196</v>
      </c>
      <c r="Y7" s="17" t="n">
        <f aca="false">IF(OR(F7="",L7=""),"",(L7-F7)*10000)</f>
        <v>-47.9999999999999</v>
      </c>
    </row>
    <row r="8" customFormat="false" ht="15" hidden="false" customHeight="false" outlineLevel="0" collapsed="false">
      <c r="A8" s="8" t="n">
        <v>2</v>
      </c>
      <c r="B8" s="8" t="s">
        <v>65</v>
      </c>
      <c r="C8" s="8" t="s">
        <v>67</v>
      </c>
      <c r="D8" s="12" t="n">
        <v>88.98</v>
      </c>
      <c r="E8" s="9" t="n">
        <v>447</v>
      </c>
      <c r="F8" s="13" t="n">
        <v>0.1308</v>
      </c>
      <c r="G8" s="12" t="n">
        <v>90.74</v>
      </c>
      <c r="H8" s="9" t="n">
        <v>420</v>
      </c>
      <c r="I8" s="13" t="n">
        <v>0.1299</v>
      </c>
      <c r="J8" s="12" t="n">
        <v>68.18</v>
      </c>
      <c r="K8" s="9" t="n">
        <v>293</v>
      </c>
      <c r="L8" s="13" t="n">
        <v>0.1289</v>
      </c>
      <c r="M8" s="12" t="n">
        <v>34.6</v>
      </c>
      <c r="N8" s="9" t="n">
        <v>164</v>
      </c>
      <c r="O8" s="13" t="n">
        <v>0.1234</v>
      </c>
      <c r="P8" s="14" t="n">
        <f aca="false">IF(OR(E8="",E8=0),"",D8*100/E8)</f>
        <v>19.9060402684564</v>
      </c>
      <c r="Q8" s="14" t="n">
        <f aca="false">IF(OR(H8="",H8=0),"",G8*100/H8)</f>
        <v>21.6047619047619</v>
      </c>
      <c r="R8" s="14" t="n">
        <f aca="false">IF(OR(K8="",K8=0),"",J8*100/K8)</f>
        <v>23.2696245733788</v>
      </c>
      <c r="S8" s="14" t="n">
        <f aca="false">IF(OR(N8="",N8=0),"",M8*100/N8)</f>
        <v>21.0975609756098</v>
      </c>
      <c r="T8" s="15" t="n">
        <f aca="false">IF(OR(D8="",G8="",D8=0),"n/a",G8/D8-1)</f>
        <v>0.0197797257810743</v>
      </c>
      <c r="U8" s="15" t="n">
        <f aca="false">IF(OR(G8="",J8="",G8=0),"n/a",J8/G8-1)</f>
        <v>-0.248622437734185</v>
      </c>
      <c r="V8" s="16" t="n">
        <f aca="false">IF(M8="","",M8*$G$4)</f>
        <v>64.9632653061225</v>
      </c>
      <c r="W8" s="15" t="n">
        <f aca="false">IF(OR(J8="",V8=""),"n/a",V8/J8-1)</f>
        <v>-0.0471800336444347</v>
      </c>
      <c r="X8" s="15" t="n">
        <f aca="false">IF(J8="","",J8/$J$28)</f>
        <v>0.0267213268953408</v>
      </c>
      <c r="Y8" s="17" t="n">
        <f aca="false">IF(OR(F8="",L8=""),"",(L8-F8)*10000)</f>
        <v>-19.0000000000001</v>
      </c>
    </row>
    <row r="9" customFormat="false" ht="15" hidden="false" customHeight="false" outlineLevel="0" collapsed="false">
      <c r="A9" s="8" t="n">
        <v>3</v>
      </c>
      <c r="B9" s="8" t="s">
        <v>65</v>
      </c>
      <c r="C9" s="8" t="s">
        <v>68</v>
      </c>
      <c r="D9" s="12" t="n">
        <v>13.78</v>
      </c>
      <c r="E9" s="9" t="n">
        <v>86</v>
      </c>
      <c r="F9" s="13" t="n">
        <v>0.1303</v>
      </c>
      <c r="G9" s="12" t="n">
        <v>17.66</v>
      </c>
      <c r="H9" s="9" t="n">
        <v>108</v>
      </c>
      <c r="I9" s="13" t="n">
        <v>0.1299</v>
      </c>
      <c r="J9" s="12" t="n">
        <v>10</v>
      </c>
      <c r="K9" s="9" t="n">
        <v>59</v>
      </c>
      <c r="L9" s="13" t="n">
        <v>0.1275</v>
      </c>
      <c r="M9" s="12" t="n">
        <v>5.29</v>
      </c>
      <c r="N9" s="9" t="n">
        <v>25</v>
      </c>
      <c r="O9" s="13" t="n">
        <v>0.1278</v>
      </c>
      <c r="P9" s="14" t="n">
        <f aca="false">IF(OR(E9="",E9=0),"",D9*100/E9)</f>
        <v>16.0232558139535</v>
      </c>
      <c r="Q9" s="14" t="n">
        <f aca="false">IF(OR(H9="",H9=0),"",G9*100/H9)</f>
        <v>16.3518518518519</v>
      </c>
      <c r="R9" s="14" t="n">
        <f aca="false">IF(OR(K9="",K9=0),"",J9*100/K9)</f>
        <v>16.9491525423729</v>
      </c>
      <c r="S9" s="14" t="n">
        <f aca="false">IF(OR(N9="",N9=0),"",M9*100/N9)</f>
        <v>21.16</v>
      </c>
      <c r="T9" s="15" t="n">
        <f aca="false">IF(OR(D9="",G9="",D9=0),"n/a",G9/D9-1)</f>
        <v>0.281567489114659</v>
      </c>
      <c r="U9" s="15" t="n">
        <f aca="false">IF(OR(G9="",J9="",G9=0),"n/a",J9/G9-1)</f>
        <v>-0.433748584371461</v>
      </c>
      <c r="V9" s="16" t="n">
        <f aca="false">IF(M9="","",M9*$G$4)</f>
        <v>9.93224489795919</v>
      </c>
      <c r="W9" s="15" t="n">
        <f aca="false">IF(OR(J9="",V9=""),"n/a",V9/J9-1)</f>
        <v>-0.00677551020408151</v>
      </c>
      <c r="X9" s="15" t="n">
        <f aca="false">IF(J9="","",J9/$J$28)</f>
        <v>0.00391923245751552</v>
      </c>
      <c r="Y9" s="17" t="n">
        <f aca="false">IF(OR(F9="",L9=""),"",(L9-F9)*10000)</f>
        <v>-28</v>
      </c>
    </row>
    <row r="10" customFormat="false" ht="15" hidden="false" customHeight="false" outlineLevel="0" collapsed="false">
      <c r="A10" s="8" t="n">
        <v>4</v>
      </c>
      <c r="B10" s="8" t="s">
        <v>65</v>
      </c>
      <c r="C10" s="8" t="s">
        <v>69</v>
      </c>
      <c r="D10" s="12" t="n">
        <v>96.14</v>
      </c>
      <c r="E10" s="9" t="n">
        <v>9</v>
      </c>
      <c r="F10" s="13" t="n">
        <v>0.094</v>
      </c>
      <c r="G10" s="12" t="n">
        <v>90.23</v>
      </c>
      <c r="H10" s="9" t="n">
        <v>59</v>
      </c>
      <c r="I10" s="13" t="n">
        <v>0.0886</v>
      </c>
      <c r="J10" s="12" t="n">
        <v>33.08</v>
      </c>
      <c r="K10" s="9" t="n">
        <v>62</v>
      </c>
      <c r="L10" s="13" t="n">
        <v>0.0942</v>
      </c>
      <c r="M10" s="12" t="n">
        <v>11.77</v>
      </c>
      <c r="N10" s="9" t="n">
        <v>24</v>
      </c>
      <c r="O10" s="13" t="n">
        <v>0.0941</v>
      </c>
      <c r="P10" s="14" t="n">
        <f aca="false">IF(OR(E10="",E10=0),"",D10*100/E10)</f>
        <v>1068.22222222222</v>
      </c>
      <c r="Q10" s="14" t="n">
        <f aca="false">IF(OR(H10="",H10=0),"",G10*100/H10)</f>
        <v>152.932203389831</v>
      </c>
      <c r="R10" s="14" t="n">
        <f aca="false">IF(OR(K10="",K10=0),"",J10*100/K10)</f>
        <v>53.3548387096774</v>
      </c>
      <c r="S10" s="14" t="n">
        <f aca="false">IF(OR(N10="",N10=0),"",M10*100/N10)</f>
        <v>49.0416666666667</v>
      </c>
      <c r="T10" s="15" t="n">
        <f aca="false">IF(OR(D10="",G10="",D10=0),"n/a",G10/D10-1)</f>
        <v>-0.0614728520907011</v>
      </c>
      <c r="U10" s="15" t="n">
        <f aca="false">IF(OR(G10="",J10="",G10=0),"n/a",J10/G10-1)</f>
        <v>-0.633381358749862</v>
      </c>
      <c r="V10" s="16" t="n">
        <f aca="false">IF(M10="","",M10*$G$4)</f>
        <v>22.0987755102041</v>
      </c>
      <c r="W10" s="15" t="n">
        <f aca="false">IF(OR(J10="",V10=""),"n/a",V10/J10-1)</f>
        <v>-0.331959627865656</v>
      </c>
      <c r="X10" s="15" t="n">
        <f aca="false">IF(J10="","",J10/$J$28)</f>
        <v>0.0129648209694613</v>
      </c>
      <c r="Y10" s="17" t="n">
        <f aca="false">IF(OR(F10="",L10=""),"",(L10-F10)*10000)</f>
        <v>2.00000000000006</v>
      </c>
    </row>
    <row r="11" customFormat="false" ht="15" hidden="false" customHeight="false" outlineLevel="0" collapsed="false">
      <c r="A11" s="8" t="n">
        <v>5</v>
      </c>
      <c r="B11" s="8" t="s">
        <v>65</v>
      </c>
      <c r="C11" s="8" t="s">
        <v>70</v>
      </c>
      <c r="D11" s="12" t="n">
        <v>545.18</v>
      </c>
      <c r="E11" s="9" t="n">
        <v>3</v>
      </c>
      <c r="F11" s="13" t="n">
        <v>0.0806</v>
      </c>
      <c r="G11" s="12" t="n">
        <v>8.85</v>
      </c>
      <c r="H11" s="9" t="n">
        <v>2</v>
      </c>
      <c r="I11" s="13" t="n">
        <v>0.0984</v>
      </c>
      <c r="J11" s="12" t="n">
        <v>42.15</v>
      </c>
      <c r="K11" s="9" t="n">
        <v>1</v>
      </c>
      <c r="L11" s="13" t="n">
        <v>0.087</v>
      </c>
      <c r="M11" s="12" t="n">
        <v>29.72</v>
      </c>
      <c r="N11" s="9" t="n">
        <v>3</v>
      </c>
      <c r="O11" s="13" t="n">
        <v>0.0876</v>
      </c>
      <c r="P11" s="14" t="n">
        <f aca="false">IF(OR(E11="",E11=0),"",D11*100/E11)</f>
        <v>18172.6666666667</v>
      </c>
      <c r="Q11" s="14" t="n">
        <f aca="false">IF(OR(H11="",H11=0),"",G11*100/H11)</f>
        <v>442.5</v>
      </c>
      <c r="R11" s="14" t="n">
        <f aca="false">IF(OR(K11="",K11=0),"",J11*100/K11)</f>
        <v>4215</v>
      </c>
      <c r="S11" s="14" t="n">
        <f aca="false">IF(OR(N11="",N11=0),"",M11*100/N11)</f>
        <v>990.666666666667</v>
      </c>
      <c r="T11" s="15" t="n">
        <f aca="false">IF(OR(D11="",G11="",D11=0),"n/a",G11/D11-1)</f>
        <v>-0.983766829304083</v>
      </c>
      <c r="U11" s="15" t="n">
        <f aca="false">IF(OR(G11="",J11="",G11=0),"n/a",J11/G11-1)</f>
        <v>3.76271186440678</v>
      </c>
      <c r="V11" s="16" t="n">
        <f aca="false">IF(M11="","",M11*$G$4)</f>
        <v>55.8008163265306</v>
      </c>
      <c r="W11" s="15" t="n">
        <f aca="false">IF(OR(J11="",V11=""),"n/a",V11/J11-1)</f>
        <v>0.323862783547583</v>
      </c>
      <c r="X11" s="15" t="n">
        <f aca="false">IF(J11="","",J11/$J$28)</f>
        <v>0.0165195648084279</v>
      </c>
      <c r="Y11" s="17" t="n">
        <f aca="false">IF(OR(F11="",L11=""),"",(L11-F11)*10000)</f>
        <v>63.9999999999999</v>
      </c>
    </row>
    <row r="12" customFormat="false" ht="15" hidden="false" customHeight="false" outlineLevel="0" collapsed="false">
      <c r="A12" s="8" t="n">
        <v>6</v>
      </c>
      <c r="B12" s="8" t="s">
        <v>65</v>
      </c>
      <c r="C12" s="18" t="s">
        <v>71</v>
      </c>
      <c r="D12" s="12" t="n">
        <v>1774.27</v>
      </c>
      <c r="E12" s="9" t="n">
        <v>1061</v>
      </c>
      <c r="F12" s="13" t="n">
        <v>0.106</v>
      </c>
      <c r="G12" s="12" t="n">
        <v>1512.84</v>
      </c>
      <c r="H12" s="9" t="n">
        <v>1173</v>
      </c>
      <c r="I12" s="13" t="n">
        <v>0.1076</v>
      </c>
      <c r="J12" s="12" t="n">
        <v>1113.94</v>
      </c>
      <c r="K12" s="9" t="n">
        <v>948</v>
      </c>
      <c r="L12" s="13" t="n">
        <v>0.1054</v>
      </c>
      <c r="M12" s="12" t="n">
        <v>536.61</v>
      </c>
      <c r="N12" s="9" t="n">
        <v>503</v>
      </c>
      <c r="O12" s="13" t="n">
        <v>0.1044</v>
      </c>
      <c r="P12" s="14" t="n">
        <f aca="false">IF(OR(E12="",E12=0),"",D12*100/E12)</f>
        <v>167.226201696513</v>
      </c>
      <c r="Q12" s="14" t="n">
        <f aca="false">IF(OR(H12="",H12=0),"",G12*100/H12)</f>
        <v>128.971867007673</v>
      </c>
      <c r="R12" s="14" t="n">
        <f aca="false">IF(OR(K12="",K12=0),"",J12*100/K12)</f>
        <v>117.504219409283</v>
      </c>
      <c r="S12" s="14" t="n">
        <f aca="false">IF(OR(N12="",N12=0),"",M12*100/N12)</f>
        <v>106.681908548708</v>
      </c>
      <c r="T12" s="15" t="n">
        <f aca="false">IF(OR(D12="",G12="",D12=0),"n/a",G12/D12-1)</f>
        <v>-0.147345105310917</v>
      </c>
      <c r="U12" s="15" t="n">
        <f aca="false">IF(OR(G12="",J12="",G12=0),"n/a",J12/G12-1)</f>
        <v>-0.263676264509135</v>
      </c>
      <c r="V12" s="16" t="n">
        <f aca="false">IF(M12="","",M12*$G$4)</f>
        <v>1007.51265306122</v>
      </c>
      <c r="W12" s="15" t="n">
        <f aca="false">IF(OR(J12="",V12=""),"n/a",V12/J12-1)</f>
        <v>-0.0955413639323263</v>
      </c>
      <c r="X12" s="15" t="n">
        <f aca="false">IF(J12="","",J12/$J$28)</f>
        <v>0.436578980372484</v>
      </c>
      <c r="Y12" s="17" t="n">
        <f aca="false">IF(OR(F12="",L12=""),"",(L12-F12)*10000)</f>
        <v>-6.00000000000003</v>
      </c>
      <c r="Z12" s="16" t="n">
        <f aca="false">D12-SUM(D7:D11)</f>
        <v>0</v>
      </c>
      <c r="AA12" s="19" t="n">
        <f aca="false">(F12-AVERAGE(F7:F11))*100</f>
        <v>-0.00200000000000061</v>
      </c>
      <c r="AB12" s="20" t="n">
        <f aca="false">SUMPRODUCT(D7:D11,F7:F11)/SUM(D7:D11)</f>
        <v>0.0922422866869191</v>
      </c>
      <c r="AC12" s="20" t="n">
        <f aca="false">SUMPRODUCT(J7:J11,L7:L11)/SUM(J7:J11)</f>
        <v>0.0923838341038646</v>
      </c>
    </row>
    <row r="13" customFormat="false" ht="15" hidden="false" customHeight="false" outlineLevel="0" collapsed="false">
      <c r="A13" s="8" t="n">
        <v>7</v>
      </c>
      <c r="B13" s="8" t="s">
        <v>72</v>
      </c>
      <c r="C13" s="8" t="s">
        <v>73</v>
      </c>
      <c r="D13" s="12" t="n">
        <v>192.15</v>
      </c>
      <c r="E13" s="9" t="n">
        <v>495</v>
      </c>
      <c r="F13" s="13" t="n">
        <v>0.086</v>
      </c>
      <c r="G13" s="12" t="n">
        <v>180.13</v>
      </c>
      <c r="H13" s="9" t="n">
        <v>434</v>
      </c>
      <c r="I13" s="13" t="n">
        <v>0.0838</v>
      </c>
      <c r="J13" s="12" t="n">
        <v>215.02</v>
      </c>
      <c r="K13" s="9" t="n">
        <v>420</v>
      </c>
      <c r="L13" s="13" t="n">
        <v>0.0844</v>
      </c>
      <c r="M13" s="12" t="n">
        <v>88.52</v>
      </c>
      <c r="N13" s="9" t="n">
        <v>224</v>
      </c>
      <c r="O13" s="13" t="n">
        <v>0.0836</v>
      </c>
      <c r="P13" s="14" t="n">
        <f aca="false">IF(OR(E13="",E13=0),"",D13*100/E13)</f>
        <v>38.8181818181818</v>
      </c>
      <c r="Q13" s="14" t="n">
        <f aca="false">IF(OR(H13="",H13=0),"",G13*100/H13)</f>
        <v>41.5046082949309</v>
      </c>
      <c r="R13" s="14" t="n">
        <f aca="false">IF(OR(K13="",K13=0),"",J13*100/K13)</f>
        <v>51.1952380952381</v>
      </c>
      <c r="S13" s="14" t="n">
        <f aca="false">IF(OR(N13="",N13=0),"",M13*100/N13)</f>
        <v>39.5178571428571</v>
      </c>
      <c r="T13" s="15" t="n">
        <f aca="false">IF(OR(D13="",G13="",D13=0),"n/a",G13/D13-1)</f>
        <v>-0.0625552953421806</v>
      </c>
      <c r="U13" s="15" t="n">
        <f aca="false">IF(OR(G13="",J13="",G13=0),"n/a",J13/G13-1)</f>
        <v>0.193693443624049</v>
      </c>
      <c r="V13" s="16" t="n">
        <f aca="false">IF(M13="","",M13*$G$4)</f>
        <v>166.200816326531</v>
      </c>
      <c r="W13" s="15" t="n">
        <f aca="false">IF(OR(J13="",V13=""),"n/a",V13/J13-1)</f>
        <v>-0.227044850123102</v>
      </c>
      <c r="X13" s="15" t="n">
        <f aca="false">IF(J13="","",J13/$J$28)</f>
        <v>0.0842713363014987</v>
      </c>
      <c r="Y13" s="17" t="n">
        <f aca="false">IF(OR(F13="",L13=""),"",(L13-F13)*10000)</f>
        <v>-16</v>
      </c>
    </row>
    <row r="14" customFormat="false" ht="15" hidden="false" customHeight="false" outlineLevel="0" collapsed="false">
      <c r="A14" s="8" t="n">
        <v>8</v>
      </c>
      <c r="B14" s="8" t="s">
        <v>72</v>
      </c>
      <c r="C14" s="8" t="s">
        <v>74</v>
      </c>
      <c r="D14" s="12" t="n">
        <v>264.71</v>
      </c>
      <c r="E14" s="9" t="n">
        <v>1835</v>
      </c>
      <c r="F14" s="13" t="n">
        <v>0.1087</v>
      </c>
      <c r="G14" s="12" t="n">
        <v>361.18</v>
      </c>
      <c r="H14" s="9" t="n">
        <v>2390</v>
      </c>
      <c r="I14" s="13" t="n">
        <v>0.1069</v>
      </c>
      <c r="J14" s="12" t="n">
        <v>275.19</v>
      </c>
      <c r="K14" s="9" t="n">
        <v>2165</v>
      </c>
      <c r="L14" s="13" t="n">
        <v>0.1069</v>
      </c>
      <c r="M14" s="12" t="n">
        <v>123.3</v>
      </c>
      <c r="N14" s="9" t="n">
        <v>1059</v>
      </c>
      <c r="O14" s="13" t="n">
        <v>0.1069</v>
      </c>
      <c r="P14" s="14" t="n">
        <f aca="false">IF(OR(E14="",E14=0),"",D14*100/E14)</f>
        <v>14.4256130790191</v>
      </c>
      <c r="Q14" s="14" t="n">
        <f aca="false">IF(OR(H14="",H14=0),"",G14*100/H14)</f>
        <v>15.1121338912134</v>
      </c>
      <c r="R14" s="14" t="n">
        <f aca="false">IF(OR(K14="",K14=0),"",J14*100/K14)</f>
        <v>12.7108545034642</v>
      </c>
      <c r="S14" s="14" t="n">
        <f aca="false">IF(OR(N14="",N14=0),"",M14*100/N14)</f>
        <v>11.643059490085</v>
      </c>
      <c r="T14" s="15" t="n">
        <f aca="false">IF(OR(D14="",G14="",D14=0),"n/a",G14/D14-1)</f>
        <v>0.364436553209172</v>
      </c>
      <c r="U14" s="15" t="n">
        <f aca="false">IF(OR(G14="",J14="",G14=0),"n/a",J14/G14-1)</f>
        <v>-0.238080735367407</v>
      </c>
      <c r="V14" s="16" t="n">
        <f aca="false">IF(M14="","",M14*$G$4)</f>
        <v>231.502040816327</v>
      </c>
      <c r="W14" s="15" t="n">
        <f aca="false">IF(OR(J14="",V14=""),"n/a",V14/J14-1)</f>
        <v>-0.158755620421067</v>
      </c>
      <c r="X14" s="15" t="n">
        <f aca="false">IF(J14="","",J14/$J$28)</f>
        <v>0.10785335799837</v>
      </c>
      <c r="Y14" s="17" t="n">
        <f aca="false">IF(OR(F14="",L14=""),"",(L14-F14)*10000)</f>
        <v>-18.0000000000001</v>
      </c>
    </row>
    <row r="15" customFormat="false" ht="15" hidden="false" customHeight="false" outlineLevel="0" collapsed="false">
      <c r="A15" s="8" t="n">
        <v>9</v>
      </c>
      <c r="B15" s="8" t="s">
        <v>72</v>
      </c>
      <c r="C15" s="8" t="s">
        <v>75</v>
      </c>
      <c r="D15" s="12" t="n">
        <v>25.96</v>
      </c>
      <c r="E15" s="9" t="n">
        <v>248</v>
      </c>
      <c r="F15" s="13" t="n">
        <v>0.1139</v>
      </c>
      <c r="G15" s="12" t="n">
        <v>35.64</v>
      </c>
      <c r="H15" s="9" t="n">
        <v>340</v>
      </c>
      <c r="I15" s="13" t="n">
        <v>0.1148</v>
      </c>
      <c r="J15" s="12" t="n">
        <v>32.39</v>
      </c>
      <c r="K15" s="9" t="n">
        <v>294</v>
      </c>
      <c r="L15" s="13" t="n">
        <v>0.1134</v>
      </c>
      <c r="M15" s="12" t="n">
        <v>13.61</v>
      </c>
      <c r="N15" s="9" t="n">
        <v>148</v>
      </c>
      <c r="O15" s="13" t="n">
        <v>0.113</v>
      </c>
      <c r="P15" s="14" t="n">
        <f aca="false">IF(OR(E15="",E15=0),"",D15*100/E15)</f>
        <v>10.4677419354839</v>
      </c>
      <c r="Q15" s="14" t="n">
        <f aca="false">IF(OR(H15="",H15=0),"",G15*100/H15)</f>
        <v>10.4823529411765</v>
      </c>
      <c r="R15" s="14" t="n">
        <f aca="false">IF(OR(K15="",K15=0),"",J15*100/K15)</f>
        <v>11.0170068027211</v>
      </c>
      <c r="S15" s="14" t="n">
        <f aca="false">IF(OR(N15="",N15=0),"",M15*100/N15)</f>
        <v>9.19594594594595</v>
      </c>
      <c r="T15" s="15" t="n">
        <f aca="false">IF(OR(D15="",G15="",D15=0),"n/a",G15/D15-1)</f>
        <v>0.372881355932203</v>
      </c>
      <c r="U15" s="15" t="n">
        <f aca="false">IF(OR(G15="",J15="",G15=0),"n/a",J15/G15-1)</f>
        <v>-0.0911896745230079</v>
      </c>
      <c r="V15" s="16" t="n">
        <f aca="false">IF(M15="","",M15*$G$4)</f>
        <v>25.5534693877551</v>
      </c>
      <c r="W15" s="15" t="n">
        <f aca="false">IF(OR(J15="",V15=""),"n/a",V15/J15-1)</f>
        <v>-0.211069176049549</v>
      </c>
      <c r="X15" s="15" t="n">
        <f aca="false">IF(J15="","",J15/$J$28)</f>
        <v>0.0126943939298928</v>
      </c>
      <c r="Y15" s="17" t="n">
        <f aca="false">IF(OR(F15="",L15=""),"",(L15-F15)*10000)</f>
        <v>-5</v>
      </c>
    </row>
    <row r="16" customFormat="false" ht="15" hidden="false" customHeight="false" outlineLevel="0" collapsed="false">
      <c r="A16" s="8" t="n">
        <v>10</v>
      </c>
      <c r="B16" s="8" t="s">
        <v>72</v>
      </c>
      <c r="C16" s="8" t="s">
        <v>76</v>
      </c>
      <c r="D16" s="12" t="n">
        <v>2.98</v>
      </c>
      <c r="E16" s="9" t="n">
        <v>3</v>
      </c>
      <c r="F16" s="13" t="n">
        <v>0.1005</v>
      </c>
      <c r="G16" s="12"/>
      <c r="H16" s="9"/>
      <c r="I16" s="13"/>
      <c r="J16" s="12"/>
      <c r="K16" s="9"/>
      <c r="L16" s="13"/>
      <c r="M16" s="12"/>
      <c r="N16" s="9"/>
      <c r="O16" s="13"/>
      <c r="P16" s="14" t="n">
        <f aca="false">IF(OR(E16="",E16=0),"",D16*100/E16)</f>
        <v>99.3333333333333</v>
      </c>
      <c r="Q16" s="14" t="str">
        <f aca="false">IF(OR(H16="",H16=0),"",G16*100/H16)</f>
        <v/>
      </c>
      <c r="R16" s="14" t="str">
        <f aca="false">IF(OR(K16="",K16=0),"",J16*100/K16)</f>
        <v/>
      </c>
      <c r="S16" s="14" t="str">
        <f aca="false">IF(OR(N16="",N16=0),"",M16*100/N16)</f>
        <v/>
      </c>
      <c r="T16" s="15" t="str">
        <f aca="false">IF(OR(D16="",G16="",D16=0),"n/a",G16/D16-1)</f>
        <v>n/a</v>
      </c>
      <c r="U16" s="15" t="str">
        <f aca="false">IF(OR(G16="",J16="",G16=0),"n/a",J16/G16-1)</f>
        <v>n/a</v>
      </c>
      <c r="V16" s="16" t="str">
        <f aca="false">IF(M16="","",M16*$G$4)</f>
        <v/>
      </c>
      <c r="W16" s="15" t="str">
        <f aca="false">IF(OR(J16="",V16=""),"n/a",V16/J16-1)</f>
        <v>n/a</v>
      </c>
      <c r="X16" s="15" t="str">
        <f aca="false">IF(J16="","",J16/$J$28)</f>
        <v/>
      </c>
      <c r="Y16" s="17" t="str">
        <f aca="false">IF(OR(F16="",L16=""),"",(L16-F16)*10000)</f>
        <v/>
      </c>
    </row>
    <row r="17" customFormat="false" ht="15" hidden="false" customHeight="false" outlineLevel="0" collapsed="false">
      <c r="A17" s="8" t="n">
        <v>11</v>
      </c>
      <c r="B17" s="8" t="s">
        <v>72</v>
      </c>
      <c r="C17" s="8" t="s">
        <v>77</v>
      </c>
      <c r="D17" s="12" t="n">
        <v>123.28</v>
      </c>
      <c r="E17" s="9" t="n">
        <v>3</v>
      </c>
      <c r="F17" s="13" t="n">
        <v>0.09</v>
      </c>
      <c r="G17" s="12"/>
      <c r="H17" s="9"/>
      <c r="I17" s="13"/>
      <c r="J17" s="12"/>
      <c r="K17" s="9"/>
      <c r="L17" s="13"/>
      <c r="M17" s="12"/>
      <c r="N17" s="9"/>
      <c r="O17" s="13"/>
      <c r="P17" s="14" t="n">
        <f aca="false">IF(OR(E17="",E17=0),"",D17*100/E17)</f>
        <v>4109.33333333333</v>
      </c>
      <c r="Q17" s="14" t="str">
        <f aca="false">IF(OR(H17="",H17=0),"",G17*100/H17)</f>
        <v/>
      </c>
      <c r="R17" s="14" t="str">
        <f aca="false">IF(OR(K17="",K17=0),"",J17*100/K17)</f>
        <v/>
      </c>
      <c r="S17" s="14" t="str">
        <f aca="false">IF(OR(N17="",N17=0),"",M17*100/N17)</f>
        <v/>
      </c>
      <c r="T17" s="15" t="str">
        <f aca="false">IF(OR(D17="",G17="",D17=0),"n/a",G17/D17-1)</f>
        <v>n/a</v>
      </c>
      <c r="U17" s="15" t="str">
        <f aca="false">IF(OR(G17="",J17="",G17=0),"n/a",J17/G17-1)</f>
        <v>n/a</v>
      </c>
      <c r="V17" s="16" t="str">
        <f aca="false">IF(M17="","",M17*$G$4)</f>
        <v/>
      </c>
      <c r="W17" s="15" t="str">
        <f aca="false">IF(OR(J17="",V17=""),"n/a",V17/J17-1)</f>
        <v>n/a</v>
      </c>
      <c r="X17" s="15" t="str">
        <f aca="false">IF(J17="","",J17/$J$28)</f>
        <v/>
      </c>
      <c r="Y17" s="17" t="str">
        <f aca="false">IF(OR(F17="",L17=""),"",(L17-F17)*10000)</f>
        <v/>
      </c>
    </row>
    <row r="18" customFormat="false" ht="15" hidden="false" customHeight="false" outlineLevel="0" collapsed="false">
      <c r="A18" s="8" t="n">
        <v>12</v>
      </c>
      <c r="B18" s="8" t="s">
        <v>72</v>
      </c>
      <c r="C18" s="18" t="s">
        <v>71</v>
      </c>
      <c r="D18" s="12" t="n">
        <v>609.08</v>
      </c>
      <c r="E18" s="9" t="n">
        <v>2584</v>
      </c>
      <c r="F18" s="13" t="n">
        <v>0.0998</v>
      </c>
      <c r="G18" s="12" t="n">
        <v>576.95</v>
      </c>
      <c r="H18" s="9" t="n">
        <v>3164</v>
      </c>
      <c r="I18" s="13" t="n">
        <v>0.1019</v>
      </c>
      <c r="J18" s="12" t="n">
        <v>522.61</v>
      </c>
      <c r="K18" s="9" t="n">
        <v>2879</v>
      </c>
      <c r="L18" s="13" t="n">
        <v>0.1016</v>
      </c>
      <c r="M18" s="12" t="n">
        <v>225.43</v>
      </c>
      <c r="N18" s="9" t="n">
        <v>1431</v>
      </c>
      <c r="O18" s="13" t="n">
        <v>0.1011</v>
      </c>
      <c r="P18" s="14" t="n">
        <f aca="false">IF(OR(E18="",E18=0),"",D18*100/E18)</f>
        <v>23.5712074303406</v>
      </c>
      <c r="Q18" s="14" t="n">
        <f aca="false">IF(OR(H18="",H18=0),"",G18*100/H18)</f>
        <v>18.2348293299621</v>
      </c>
      <c r="R18" s="14" t="n">
        <f aca="false">IF(OR(K18="",K18=0),"",J18*100/K18)</f>
        <v>18.1524835012157</v>
      </c>
      <c r="S18" s="14" t="n">
        <f aca="false">IF(OR(N18="",N18=0),"",M18*100/N18)</f>
        <v>15.7533193570929</v>
      </c>
      <c r="T18" s="15" t="n">
        <f aca="false">IF(OR(D18="",G18="",D18=0),"n/a",G18/D18-1)</f>
        <v>-0.0527516910750641</v>
      </c>
      <c r="U18" s="15" t="n">
        <f aca="false">IF(OR(G18="",J18="",G18=0),"n/a",J18/G18-1)</f>
        <v>-0.0941849380362251</v>
      </c>
      <c r="V18" s="16" t="n">
        <f aca="false">IF(M18="","",M18*$G$4)</f>
        <v>423.256326530612</v>
      </c>
      <c r="W18" s="15" t="n">
        <f aca="false">IF(OR(J18="",V18=""),"n/a",V18/J18-1)</f>
        <v>-0.190110547960023</v>
      </c>
      <c r="X18" s="15" t="n">
        <f aca="false">IF(J18="","",J18/$J$28)</f>
        <v>0.204823007462219</v>
      </c>
      <c r="Y18" s="17" t="n">
        <f aca="false">IF(OR(F18="",L18=""),"",(L18-F18)*10000)</f>
        <v>18</v>
      </c>
      <c r="Z18" s="16" t="n">
        <f aca="false">D18-SUM(D13:D17)</f>
        <v>0</v>
      </c>
      <c r="AA18" s="19" t="n">
        <f aca="false">(F18-AVERAGE(F13:F17))*100</f>
        <v>-0.00199999999999922</v>
      </c>
      <c r="AB18" s="20" t="n">
        <f aca="false">SUMPRODUCT(D13:D17,F13:F17)/SUM(D13:D17)</f>
        <v>0.0979352646614566</v>
      </c>
      <c r="AC18" s="20" t="n">
        <f aca="false">SUMPRODUCT(J13:J17,L13:L17)/SUM(J13:J17)</f>
        <v>0.0980453980099502</v>
      </c>
    </row>
    <row r="19" customFormat="false" ht="15" hidden="false" customHeight="false" outlineLevel="0" collapsed="false">
      <c r="A19" s="8" t="n">
        <v>13</v>
      </c>
      <c r="B19" s="8" t="s">
        <v>78</v>
      </c>
      <c r="C19" s="8" t="s">
        <v>79</v>
      </c>
      <c r="D19" s="12" t="n">
        <v>5.57</v>
      </c>
      <c r="E19" s="9" t="n">
        <v>39</v>
      </c>
      <c r="F19" s="13" t="n">
        <v>0.089</v>
      </c>
      <c r="G19" s="12" t="n">
        <v>5.4</v>
      </c>
      <c r="H19" s="9" t="n">
        <v>47</v>
      </c>
      <c r="I19" s="13" t="n">
        <v>0.0928</v>
      </c>
      <c r="J19" s="12" t="n">
        <v>2.41</v>
      </c>
      <c r="K19" s="9" t="n">
        <v>22</v>
      </c>
      <c r="L19" s="13" t="n">
        <v>0.0926</v>
      </c>
      <c r="M19" s="12" t="n">
        <v>1.34</v>
      </c>
      <c r="N19" s="9" t="n">
        <v>11</v>
      </c>
      <c r="O19" s="13" t="n">
        <v>0.0939</v>
      </c>
      <c r="P19" s="14" t="n">
        <f aca="false">IF(OR(E19="",E19=0),"",D19*100/E19)</f>
        <v>14.2820512820513</v>
      </c>
      <c r="Q19" s="14" t="n">
        <f aca="false">IF(OR(H19="",H19=0),"",G19*100/H19)</f>
        <v>11.4893617021277</v>
      </c>
      <c r="R19" s="14" t="n">
        <f aca="false">IF(OR(K19="",K19=0),"",J19*100/K19)</f>
        <v>10.9545454545455</v>
      </c>
      <c r="S19" s="14" t="n">
        <f aca="false">IF(OR(N19="",N19=0),"",M19*100/N19)</f>
        <v>12.1818181818182</v>
      </c>
      <c r="T19" s="15" t="n">
        <f aca="false">IF(OR(D19="",G19="",D19=0),"n/a",G19/D19-1)</f>
        <v>-0.0305206463195691</v>
      </c>
      <c r="U19" s="15" t="n">
        <f aca="false">IF(OR(G19="",J19="",G19=0),"n/a",J19/G19-1)</f>
        <v>-0.553703703703704</v>
      </c>
      <c r="V19" s="16" t="n">
        <f aca="false">IF(M19="","",M19*$G$4)</f>
        <v>2.51591836734694</v>
      </c>
      <c r="W19" s="15" t="n">
        <f aca="false">IF(OR(J19="",V19=""),"n/a",V19/J19-1)</f>
        <v>0.0439495300194768</v>
      </c>
      <c r="X19" s="15" t="n">
        <f aca="false">IF(J19="","",J19/$J$28)</f>
        <v>0.00094453502226124</v>
      </c>
      <c r="Y19" s="17" t="n">
        <f aca="false">IF(OR(F19="",L19=""),"",(L19-F19)*10000)</f>
        <v>35.9999999999999</v>
      </c>
    </row>
    <row r="20" customFormat="false" ht="15" hidden="false" customHeight="false" outlineLevel="0" collapsed="false">
      <c r="A20" s="8" t="n">
        <v>14</v>
      </c>
      <c r="B20" s="8" t="s">
        <v>78</v>
      </c>
      <c r="C20" s="8" t="s">
        <v>80</v>
      </c>
      <c r="D20" s="12" t="n">
        <v>112.68</v>
      </c>
      <c r="E20" s="9" t="n">
        <v>13330</v>
      </c>
      <c r="F20" s="13" t="n">
        <v>0.2081</v>
      </c>
      <c r="G20" s="12" t="n">
        <v>68.4</v>
      </c>
      <c r="H20" s="9" t="n">
        <v>7980</v>
      </c>
      <c r="I20" s="13" t="n">
        <v>0.2085</v>
      </c>
      <c r="J20" s="12" t="n">
        <v>60.78</v>
      </c>
      <c r="K20" s="9" t="n">
        <v>7011</v>
      </c>
      <c r="L20" s="13" t="n">
        <v>0.2083</v>
      </c>
      <c r="M20" s="12" t="n">
        <v>31.65</v>
      </c>
      <c r="N20" s="9" t="n">
        <v>3622</v>
      </c>
      <c r="O20" s="13" t="n">
        <v>0.2085</v>
      </c>
      <c r="P20" s="14" t="n">
        <f aca="false">IF(OR(E20="",E20=0),"",D20*100/E20)</f>
        <v>0.845311327831958</v>
      </c>
      <c r="Q20" s="14" t="n">
        <f aca="false">IF(OR(H20="",H20=0),"",G20*100/H20)</f>
        <v>0.857142857142857</v>
      </c>
      <c r="R20" s="14" t="n">
        <f aca="false">IF(OR(K20="",K20=0),"",J20*100/K20)</f>
        <v>0.866923406076166</v>
      </c>
      <c r="S20" s="14" t="n">
        <f aca="false">IF(OR(N20="",N20=0),"",M20*100/N20)</f>
        <v>0.873826615129763</v>
      </c>
      <c r="T20" s="15" t="n">
        <f aca="false">IF(OR(D20="",G20="",D20=0),"n/a",G20/D20-1)</f>
        <v>-0.39297124600639</v>
      </c>
      <c r="U20" s="15" t="n">
        <f aca="false">IF(OR(G20="",J20="",G20=0),"n/a",J20/G20-1)</f>
        <v>-0.11140350877193</v>
      </c>
      <c r="V20" s="16" t="n">
        <f aca="false">IF(M20="","",M20*$G$4)</f>
        <v>59.4244897959184</v>
      </c>
      <c r="W20" s="15" t="n">
        <f aca="false">IF(OR(J20="",V20=""),"n/a",V20/J20-1)</f>
        <v>-0.0223019118802507</v>
      </c>
      <c r="X20" s="15" t="n">
        <f aca="false">IF(J20="","",J20/$J$28)</f>
        <v>0.0238210948767793</v>
      </c>
      <c r="Y20" s="17" t="n">
        <f aca="false">IF(OR(F20="",L20=""),"",(L20-F20)*10000)</f>
        <v>2.00000000000006</v>
      </c>
    </row>
    <row r="21" customFormat="false" ht="15" hidden="false" customHeight="false" outlineLevel="0" collapsed="false">
      <c r="A21" s="8" t="n">
        <v>15</v>
      </c>
      <c r="B21" s="8" t="s">
        <v>78</v>
      </c>
      <c r="C21" s="8" t="s">
        <v>81</v>
      </c>
      <c r="D21" s="12" t="n">
        <v>6.1</v>
      </c>
      <c r="E21" s="9" t="n">
        <v>109</v>
      </c>
      <c r="F21" s="13" t="n">
        <v>0.1417</v>
      </c>
      <c r="G21" s="12" t="n">
        <v>4.93</v>
      </c>
      <c r="H21" s="9" t="n">
        <v>81</v>
      </c>
      <c r="I21" s="13" t="n">
        <v>0.1403</v>
      </c>
      <c r="J21" s="12" t="n">
        <v>2.88</v>
      </c>
      <c r="K21" s="9" t="n">
        <v>53</v>
      </c>
      <c r="L21" s="13" t="n">
        <v>0.1369</v>
      </c>
      <c r="M21" s="12" t="n">
        <v>0.61</v>
      </c>
      <c r="N21" s="9" t="n">
        <v>15</v>
      </c>
      <c r="O21" s="13" t="n">
        <v>0.1387</v>
      </c>
      <c r="P21" s="14" t="n">
        <f aca="false">IF(OR(E21="",E21=0),"",D21*100/E21)</f>
        <v>5.59633027522936</v>
      </c>
      <c r="Q21" s="14" t="n">
        <f aca="false">IF(OR(H21="",H21=0),"",G21*100/H21)</f>
        <v>6.08641975308642</v>
      </c>
      <c r="R21" s="14" t="n">
        <f aca="false">IF(OR(K21="",K21=0),"",J21*100/K21)</f>
        <v>5.43396226415094</v>
      </c>
      <c r="S21" s="14" t="n">
        <f aca="false">IF(OR(N21="",N21=0),"",M21*100/N21)</f>
        <v>4.06666666666667</v>
      </c>
      <c r="T21" s="15" t="n">
        <f aca="false">IF(OR(D21="",G21="",D21=0),"n/a",G21/D21-1)</f>
        <v>-0.191803278688525</v>
      </c>
      <c r="U21" s="15" t="n">
        <f aca="false">IF(OR(G21="",J21="",G21=0),"n/a",J21/G21-1)</f>
        <v>-0.415821501014199</v>
      </c>
      <c r="V21" s="16" t="n">
        <f aca="false">IF(M21="","",M21*$G$4)</f>
        <v>1.14530612244898</v>
      </c>
      <c r="W21" s="15" t="n">
        <f aca="false">IF(OR(J21="",V21=""),"n/a",V21/J21-1)</f>
        <v>-0.602324263038549</v>
      </c>
      <c r="X21" s="15" t="n">
        <f aca="false">IF(J21="","",J21/$J$28)</f>
        <v>0.00112873894776447</v>
      </c>
      <c r="Y21" s="17" t="n">
        <f aca="false">IF(OR(F21="",L21=""),"",(L21-F21)*10000)</f>
        <v>-48</v>
      </c>
    </row>
    <row r="22" customFormat="false" ht="15" hidden="false" customHeight="false" outlineLevel="0" collapsed="false">
      <c r="A22" s="8" t="n">
        <v>16</v>
      </c>
      <c r="B22" s="8" t="s">
        <v>78</v>
      </c>
      <c r="C22" s="8" t="s">
        <v>82</v>
      </c>
      <c r="D22" s="12" t="n">
        <v>563.72</v>
      </c>
      <c r="E22" s="9" t="n">
        <v>11936</v>
      </c>
      <c r="F22" s="13" t="n">
        <v>0.157</v>
      </c>
      <c r="G22" s="12" t="n">
        <v>401.71</v>
      </c>
      <c r="H22" s="9" t="n">
        <v>9029</v>
      </c>
      <c r="I22" s="13" t="n">
        <v>0.1608</v>
      </c>
      <c r="J22" s="12" t="n">
        <v>447.82</v>
      </c>
      <c r="K22" s="9" t="n">
        <v>9826</v>
      </c>
      <c r="L22" s="13" t="n">
        <v>0.1593</v>
      </c>
      <c r="M22" s="12" t="n">
        <v>158.88</v>
      </c>
      <c r="N22" s="9" t="n">
        <v>3584</v>
      </c>
      <c r="O22" s="13" t="n">
        <v>0.1636</v>
      </c>
      <c r="P22" s="14" t="n">
        <f aca="false">IF(OR(E22="",E22=0),"",D22*100/E22)</f>
        <v>4.72285522788204</v>
      </c>
      <c r="Q22" s="14" t="n">
        <f aca="false">IF(OR(H22="",H22=0),"",G22*100/H22)</f>
        <v>4.44910842839739</v>
      </c>
      <c r="R22" s="14" t="n">
        <f aca="false">IF(OR(K22="",K22=0),"",J22*100/K22)</f>
        <v>4.55750050885406</v>
      </c>
      <c r="S22" s="14" t="n">
        <f aca="false">IF(OR(N22="",N22=0),"",M22*100/N22)</f>
        <v>4.43303571428571</v>
      </c>
      <c r="T22" s="15" t="n">
        <f aca="false">IF(OR(D22="",G22="",D22=0),"n/a",G22/D22-1)</f>
        <v>-0.287394451145959</v>
      </c>
      <c r="U22" s="15" t="n">
        <f aca="false">IF(OR(G22="",J22="",G22=0),"n/a",J22/G22-1)</f>
        <v>0.11478429712977</v>
      </c>
      <c r="V22" s="16" t="n">
        <f aca="false">IF(M22="","",M22*$G$4)</f>
        <v>298.305306122449</v>
      </c>
      <c r="W22" s="15" t="n">
        <f aca="false">IF(OR(J22="",V22=""),"n/a",V22/J22-1)</f>
        <v>-0.333872301097653</v>
      </c>
      <c r="X22" s="15" t="n">
        <f aca="false">IF(J22="","",J22/$J$28)</f>
        <v>0.17551106791246</v>
      </c>
      <c r="Y22" s="17" t="n">
        <f aca="false">IF(OR(F22="",L22=""),"",(L22-F22)*10000)</f>
        <v>23</v>
      </c>
    </row>
    <row r="23" customFormat="false" ht="15" hidden="false" customHeight="false" outlineLevel="0" collapsed="false">
      <c r="A23" s="8" t="n">
        <v>17</v>
      </c>
      <c r="B23" s="8" t="s">
        <v>78</v>
      </c>
      <c r="C23" s="18" t="s">
        <v>71</v>
      </c>
      <c r="D23" s="12" t="n">
        <v>688.08</v>
      </c>
      <c r="E23" s="9" t="n">
        <v>25414</v>
      </c>
      <c r="F23" s="13" t="n">
        <v>0.1489</v>
      </c>
      <c r="G23" s="12" t="n">
        <v>480.44</v>
      </c>
      <c r="H23" s="9" t="n">
        <v>17137</v>
      </c>
      <c r="I23" s="13" t="n">
        <v>0.1506</v>
      </c>
      <c r="J23" s="12" t="n">
        <v>513.89</v>
      </c>
      <c r="K23" s="9" t="n">
        <v>16912</v>
      </c>
      <c r="L23" s="13" t="n">
        <v>0.1493</v>
      </c>
      <c r="M23" s="12" t="n">
        <v>192.47</v>
      </c>
      <c r="N23" s="9" t="n">
        <v>7232</v>
      </c>
      <c r="O23" s="13" t="n">
        <v>0.1512</v>
      </c>
      <c r="P23" s="14" t="n">
        <f aca="false">IF(OR(E23="",E23=0),"",D23*100/E23)</f>
        <v>2.70748406390179</v>
      </c>
      <c r="Q23" s="14" t="n">
        <f aca="false">IF(OR(H23="",H23=0),"",G23*100/H23)</f>
        <v>2.80352453755033</v>
      </c>
      <c r="R23" s="14" t="n">
        <f aca="false">IF(OR(K23="",K23=0),"",J23*100/K23)</f>
        <v>3.03861163670766</v>
      </c>
      <c r="S23" s="14" t="n">
        <f aca="false">IF(OR(N23="",N23=0),"",M23*100/N23)</f>
        <v>2.66136615044248</v>
      </c>
      <c r="T23" s="15" t="n">
        <f aca="false">IF(OR(D23="",G23="",D23=0),"n/a",G23/D23-1)</f>
        <v>-0.301767236367864</v>
      </c>
      <c r="U23" s="15" t="n">
        <f aca="false">IF(OR(G23="",J23="",G23=0),"n/a",J23/G23-1)</f>
        <v>0.0696236782948962</v>
      </c>
      <c r="V23" s="16" t="n">
        <f aca="false">IF(M23="","",M23*$G$4)</f>
        <v>361.372244897959</v>
      </c>
      <c r="W23" s="15" t="n">
        <f aca="false">IF(OR(J23="",V23=""),"n/a",V23/J23-1)</f>
        <v>-0.296790665516046</v>
      </c>
      <c r="X23" s="15" t="n">
        <f aca="false">IF(J23="","",J23/$J$28)</f>
        <v>0.201405436759265</v>
      </c>
      <c r="Y23" s="17" t="n">
        <f aca="false">IF(OR(F23="",L23=""),"",(L23-F23)*10000)</f>
        <v>3.99999999999984</v>
      </c>
      <c r="Z23" s="16" t="n">
        <f aca="false">D23-SUM(D19:D22)</f>
        <v>0.00999999999999091</v>
      </c>
      <c r="AA23" s="19" t="n">
        <f aca="false">(F23-AVERAGE(F19:F22))*100</f>
        <v>-0.00499999999999945</v>
      </c>
      <c r="AB23" s="20" t="n">
        <f aca="false">SUMPRODUCT(D19:D22,F19:F22)/SUM(D19:D22)</f>
        <v>0.164682151525281</v>
      </c>
      <c r="AC23" s="20" t="n">
        <f aca="false">SUMPRODUCT(J19:J22,L19:L22)/SUM(J19:J22)</f>
        <v>0.164657101714375</v>
      </c>
    </row>
    <row r="24" customFormat="false" ht="15" hidden="false" customHeight="false" outlineLevel="0" collapsed="false">
      <c r="A24" s="8" t="n">
        <v>18</v>
      </c>
      <c r="B24" s="8" t="s">
        <v>83</v>
      </c>
      <c r="C24" s="8" t="s">
        <v>84</v>
      </c>
      <c r="D24" s="12" t="n">
        <v>7.86</v>
      </c>
      <c r="E24" s="9" t="n">
        <v>29</v>
      </c>
      <c r="F24" s="13" t="n">
        <v>0.1649</v>
      </c>
      <c r="G24" s="12" t="n">
        <v>5.5</v>
      </c>
      <c r="H24" s="9" t="n">
        <v>20</v>
      </c>
      <c r="I24" s="13" t="n">
        <v>0.1577</v>
      </c>
      <c r="J24" s="12" t="n">
        <v>1.11</v>
      </c>
      <c r="K24" s="9" t="n">
        <v>5</v>
      </c>
      <c r="L24" s="13" t="n">
        <v>0.1562</v>
      </c>
      <c r="M24" s="12" t="n">
        <v>1.25</v>
      </c>
      <c r="N24" s="9" t="n">
        <v>6</v>
      </c>
      <c r="O24" s="13" t="n">
        <v>0.1565</v>
      </c>
      <c r="P24" s="14" t="n">
        <f aca="false">IF(OR(E24="",E24=0),"",D24*100/E24)</f>
        <v>27.1034482758621</v>
      </c>
      <c r="Q24" s="14" t="n">
        <f aca="false">IF(OR(H24="",H24=0),"",G24*100/H24)</f>
        <v>27.5</v>
      </c>
      <c r="R24" s="14" t="n">
        <f aca="false">IF(OR(K24="",K24=0),"",J24*100/K24)</f>
        <v>22.2</v>
      </c>
      <c r="S24" s="14" t="n">
        <f aca="false">IF(OR(N24="",N24=0),"",M24*100/N24)</f>
        <v>20.8333333333333</v>
      </c>
      <c r="T24" s="15" t="n">
        <f aca="false">IF(OR(D24="",G24="",D24=0),"n/a",G24/D24-1)</f>
        <v>-0.300254452926209</v>
      </c>
      <c r="U24" s="15" t="n">
        <f aca="false">IF(OR(G24="",J24="",G24=0),"n/a",J24/G24-1)</f>
        <v>-0.798181818181818</v>
      </c>
      <c r="V24" s="16" t="n">
        <f aca="false">IF(M24="","",M24*$G$4)</f>
        <v>2.3469387755102</v>
      </c>
      <c r="W24" s="15" t="n">
        <f aca="false">IF(OR(J24="",V24=""),"n/a",V24/J24-1)</f>
        <v>1.1143592572164</v>
      </c>
      <c r="X24" s="15" t="n">
        <f aca="false">IF(J24="","",J24/$J$28)</f>
        <v>0.000435034802784223</v>
      </c>
      <c r="Y24" s="17" t="n">
        <f aca="false">IF(OR(F24="",L24=""),"",(L24-F24)*10000)</f>
        <v>-86.9999999999999</v>
      </c>
    </row>
    <row r="25" customFormat="false" ht="15" hidden="false" customHeight="false" outlineLevel="0" collapsed="false">
      <c r="A25" s="8" t="n">
        <v>19</v>
      </c>
      <c r="B25" s="8" t="s">
        <v>83</v>
      </c>
      <c r="C25" s="8" t="s">
        <v>85</v>
      </c>
      <c r="D25" s="12" t="n">
        <v>3.67</v>
      </c>
      <c r="E25" s="9" t="n">
        <v>29</v>
      </c>
      <c r="F25" s="13" t="n">
        <v>0.0943</v>
      </c>
      <c r="G25" s="12" t="n">
        <v>3.82</v>
      </c>
      <c r="H25" s="9" t="n">
        <v>29</v>
      </c>
      <c r="I25" s="13" t="n">
        <v>0.0931</v>
      </c>
      <c r="J25" s="12" t="n">
        <v>3.85</v>
      </c>
      <c r="K25" s="9" t="n">
        <v>22</v>
      </c>
      <c r="L25" s="13" t="n">
        <v>0.0931</v>
      </c>
      <c r="M25" s="12" t="n">
        <v>3.53</v>
      </c>
      <c r="N25" s="9" t="n">
        <v>19</v>
      </c>
      <c r="O25" s="13" t="n">
        <v>0.0925</v>
      </c>
      <c r="P25" s="14" t="n">
        <f aca="false">IF(OR(E25="",E25=0),"",D25*100/E25)</f>
        <v>12.6551724137931</v>
      </c>
      <c r="Q25" s="14" t="n">
        <f aca="false">IF(OR(H25="",H25=0),"",G25*100/H25)</f>
        <v>13.1724137931034</v>
      </c>
      <c r="R25" s="14" t="n">
        <f aca="false">IF(OR(K25="",K25=0),"",J25*100/K25)</f>
        <v>17.5</v>
      </c>
      <c r="S25" s="14" t="n">
        <f aca="false">IF(OR(N25="",N25=0),"",M25*100/N25)</f>
        <v>18.5789473684211</v>
      </c>
      <c r="T25" s="15" t="n">
        <f aca="false">IF(OR(D25="",G25="",D25=0),"n/a",G25/D25-1)</f>
        <v>0.0408719346049047</v>
      </c>
      <c r="U25" s="15" t="n">
        <f aca="false">IF(OR(G25="",J25="",G25=0),"n/a",J25/G25-1)</f>
        <v>0.00785340314136129</v>
      </c>
      <c r="V25" s="16" t="n">
        <f aca="false">IF(M25="","",M25*$G$4)</f>
        <v>6.62775510204082</v>
      </c>
      <c r="W25" s="15" t="n">
        <f aca="false">IF(OR(J25="",V25=""),"n/a",V25/J25-1)</f>
        <v>0.721494831698913</v>
      </c>
      <c r="X25" s="15" t="n">
        <f aca="false">IF(J25="","",J25/$J$28)</f>
        <v>0.00150890449614348</v>
      </c>
      <c r="Y25" s="17" t="n">
        <f aca="false">IF(OR(F25="",L25=""),"",(L25-F25)*10000)</f>
        <v>-11.9999999999999</v>
      </c>
    </row>
    <row r="26" customFormat="false" ht="15" hidden="false" customHeight="false" outlineLevel="0" collapsed="false">
      <c r="A26" s="8" t="n">
        <v>20</v>
      </c>
      <c r="B26" s="8" t="s">
        <v>83</v>
      </c>
      <c r="C26" s="8" t="s">
        <v>86</v>
      </c>
      <c r="D26" s="12" t="n">
        <v>655.21</v>
      </c>
      <c r="E26" s="9" t="n">
        <v>11843</v>
      </c>
      <c r="F26" s="13" t="n">
        <v>0.1156</v>
      </c>
      <c r="G26" s="12" t="n">
        <v>756.67</v>
      </c>
      <c r="H26" s="9" t="n">
        <v>11394</v>
      </c>
      <c r="I26" s="13" t="n">
        <v>0.1142</v>
      </c>
      <c r="J26" s="12" t="n">
        <v>396.14</v>
      </c>
      <c r="K26" s="9" t="n">
        <v>7395</v>
      </c>
      <c r="L26" s="13" t="n">
        <v>0.1159</v>
      </c>
      <c r="M26" s="12" t="n">
        <v>150.89</v>
      </c>
      <c r="N26" s="9" t="n">
        <v>3523</v>
      </c>
      <c r="O26" s="13" t="n">
        <v>0.1182</v>
      </c>
      <c r="P26" s="14" t="n">
        <f aca="false">IF(OR(E26="",E26=0),"",D26*100/E26)</f>
        <v>5.53246643586929</v>
      </c>
      <c r="Q26" s="14" t="n">
        <f aca="false">IF(OR(H26="",H26=0),"",G26*100/H26)</f>
        <v>6.6409513779182</v>
      </c>
      <c r="R26" s="14" t="n">
        <f aca="false">IF(OR(K26="",K26=0),"",J26*100/K26)</f>
        <v>5.35686274509804</v>
      </c>
      <c r="S26" s="14" t="n">
        <f aca="false">IF(OR(N26="",N26=0),"",M26*100/N26)</f>
        <v>4.28299744535907</v>
      </c>
      <c r="T26" s="15" t="n">
        <f aca="false">IF(OR(D26="",G26="",D26=0),"n/a",G26/D26-1)</f>
        <v>0.154851116435952</v>
      </c>
      <c r="U26" s="15" t="n">
        <f aca="false">IF(OR(G26="",J26="",G26=0),"n/a",J26/G26-1)</f>
        <v>-0.476469266655213</v>
      </c>
      <c r="V26" s="16" t="n">
        <f aca="false">IF(M26="","",M26*$G$4)</f>
        <v>283.303673469388</v>
      </c>
      <c r="W26" s="15" t="n">
        <f aca="false">IF(OR(J26="",V26=""),"n/a",V26/J26-1)</f>
        <v>-0.284839517672066</v>
      </c>
      <c r="X26" s="15" t="n">
        <f aca="false">IF(J26="","",J26/$J$28)</f>
        <v>0.15525647457202</v>
      </c>
      <c r="Y26" s="17" t="n">
        <f aca="false">IF(OR(F26="",L26=""),"",(L26-F26)*10000)</f>
        <v>3.00000000000009</v>
      </c>
    </row>
    <row r="27" customFormat="false" ht="15" hidden="false" customHeight="false" outlineLevel="0" collapsed="false">
      <c r="A27" s="8" t="n">
        <v>21</v>
      </c>
      <c r="B27" s="8" t="s">
        <v>83</v>
      </c>
      <c r="C27" s="18" t="s">
        <v>71</v>
      </c>
      <c r="D27" s="12" t="n">
        <v>666.74</v>
      </c>
      <c r="E27" s="9" t="n">
        <v>11901</v>
      </c>
      <c r="F27" s="13" t="n">
        <v>0.125</v>
      </c>
      <c r="G27" s="12" t="n">
        <v>765.99</v>
      </c>
      <c r="H27" s="9" t="n">
        <v>11443</v>
      </c>
      <c r="I27" s="13" t="n">
        <v>0.1217</v>
      </c>
      <c r="J27" s="12" t="n">
        <v>401.09</v>
      </c>
      <c r="K27" s="9" t="n">
        <v>7422</v>
      </c>
      <c r="L27" s="13" t="n">
        <v>0.1217</v>
      </c>
      <c r="M27" s="12" t="n">
        <v>155.68</v>
      </c>
      <c r="N27" s="9" t="n">
        <v>3548</v>
      </c>
      <c r="O27" s="13" t="n">
        <v>0.1224</v>
      </c>
      <c r="P27" s="14" t="n">
        <f aca="false">IF(OR(E27="",E27=0),"",D27*100/E27)</f>
        <v>5.60238635408789</v>
      </c>
      <c r="Q27" s="14" t="n">
        <f aca="false">IF(OR(H27="",H27=0),"",G27*100/H27)</f>
        <v>6.69396137376562</v>
      </c>
      <c r="R27" s="14" t="n">
        <f aca="false">IF(OR(K27="",K27=0),"",J27*100/K27)</f>
        <v>5.40406898410132</v>
      </c>
      <c r="S27" s="14" t="n">
        <f aca="false">IF(OR(N27="",N27=0),"",M27*100/N27)</f>
        <v>4.38782412626832</v>
      </c>
      <c r="T27" s="15" t="n">
        <f aca="false">IF(OR(D27="",G27="",D27=0),"n/a",G27/D27-1)</f>
        <v>0.148858625551189</v>
      </c>
      <c r="U27" s="15" t="n">
        <f aca="false">IF(OR(G27="",J27="",G27=0),"n/a",J27/G27-1)</f>
        <v>-0.476376976200734</v>
      </c>
      <c r="V27" s="16" t="n">
        <f aca="false">IF(M27="","",M27*$G$4)</f>
        <v>292.297142857143</v>
      </c>
      <c r="W27" s="15" t="n">
        <f aca="false">IF(OR(J27="",V27=""),"n/a",V27/J27-1)</f>
        <v>-0.271243005666701</v>
      </c>
      <c r="X27" s="15" t="n">
        <f aca="false">IF(J27="","",J27/$J$28)</f>
        <v>0.15719649463849</v>
      </c>
      <c r="Y27" s="17" t="n">
        <f aca="false">IF(OR(F27="",L27=""),"",(L27-F27)*10000)</f>
        <v>-33</v>
      </c>
      <c r="Z27" s="16" t="n">
        <f aca="false">D27-SUM(D24:D26)</f>
        <v>0</v>
      </c>
      <c r="AA27" s="19" t="n">
        <f aca="false">(F27-AVERAGE(F24:F26))*100</f>
        <v>0.00666666666666732</v>
      </c>
      <c r="AB27" s="20" t="n">
        <f aca="false">SUMPRODUCT(D24:D26,F24:F26)/SUM(D24:D26)</f>
        <v>0.116063939466659</v>
      </c>
      <c r="AC27" s="20" t="n">
        <f aca="false">SUMPRODUCT(J24:J26,L24:L26)/SUM(J24:J26)</f>
        <v>0.1157926776365</v>
      </c>
    </row>
    <row r="28" customFormat="false" ht="15" hidden="false" customHeight="false" outlineLevel="0" collapsed="false">
      <c r="A28" s="8" t="n">
        <v>22</v>
      </c>
      <c r="B28" s="8" t="s">
        <v>87</v>
      </c>
      <c r="C28" s="18" t="s">
        <v>87</v>
      </c>
      <c r="D28" s="12" t="n">
        <v>3738.17</v>
      </c>
      <c r="E28" s="9" t="n">
        <v>40960</v>
      </c>
      <c r="F28" s="13" t="n">
        <v>0.1176</v>
      </c>
      <c r="G28" s="12" t="n">
        <v>3336.22</v>
      </c>
      <c r="H28" s="9" t="n">
        <v>32917</v>
      </c>
      <c r="I28" s="13" t="n">
        <v>0.1207</v>
      </c>
      <c r="J28" s="12" t="n">
        <v>2551.52</v>
      </c>
      <c r="K28" s="9" t="n">
        <v>28161</v>
      </c>
      <c r="L28" s="13" t="n">
        <v>0.1196</v>
      </c>
      <c r="M28" s="12" t="n">
        <v>1110.2</v>
      </c>
      <c r="N28" s="9" t="n">
        <v>12714</v>
      </c>
      <c r="O28" s="13" t="n">
        <v>0.1198</v>
      </c>
      <c r="P28" s="14" t="n">
        <f aca="false">IF(OR(E28="",E28=0),"",D28*100/E28)</f>
        <v>9.1263916015625</v>
      </c>
      <c r="Q28" s="14" t="n">
        <f aca="false">IF(OR(H28="",H28=0),"",G28*100/H28)</f>
        <v>10.1352492632986</v>
      </c>
      <c r="R28" s="14" t="n">
        <f aca="false">IF(OR(K28="",K28=0),"",J28*100/K28)</f>
        <v>9.06047370476901</v>
      </c>
      <c r="S28" s="14" t="n">
        <f aca="false">IF(OR(N28="",N28=0),"",M28*100/N28)</f>
        <v>8.7321063394683</v>
      </c>
      <c r="T28" s="15" t="n">
        <f aca="false">IF(OR(D28="",G28="",D28=0),"n/a",G28/D28-1)</f>
        <v>-0.107525874960208</v>
      </c>
      <c r="U28" s="15" t="n">
        <f aca="false">IF(OR(G28="",J28="",G28=0),"n/a",J28/G28-1)</f>
        <v>-0.235206311334384</v>
      </c>
      <c r="V28" s="16" t="n">
        <f aca="false">IF(M28="","",M28*$G$4)</f>
        <v>2084.45714285714</v>
      </c>
      <c r="W28" s="15" t="n">
        <f aca="false">IF(OR(J28="",V28=""),"n/a",V28/J28-1)</f>
        <v>-0.183052790941422</v>
      </c>
      <c r="X28" s="15" t="n">
        <f aca="false">IF(J28="","",J28/$J$28)</f>
        <v>1</v>
      </c>
      <c r="Y28" s="17" t="n">
        <f aca="false">IF(OR(F28="",L28=""),"",(L28-F28)*10000)</f>
        <v>20</v>
      </c>
      <c r="Z28" s="16" t="n">
        <f aca="false">D28-(D12+D18+D23+D27)</f>
        <v>0</v>
      </c>
      <c r="AA28" s="19" t="n">
        <f aca="false">(F28-AVERAGEIF(C7:C27,"&lt;&gt;Total",F7:F27))*100</f>
        <v>-0.00352941176470639</v>
      </c>
      <c r="AB28" s="20" t="n">
        <f aca="false">SUMPRODUCT((C7:C27&lt;&gt;"Total")*D7:D27,F7:F27)/SUMPRODUCT((C7:C27&lt;&gt;"Total")*D7:D27)</f>
        <v>0.11075246966422</v>
      </c>
      <c r="AC28" s="20" t="n">
        <f aca="false">SUMPRODUCT((C7:C27&lt;&gt;"Total")*J7:J27,L7:L27)/SUMPRODUCT((C7:C27&lt;&gt;"Total")*J7:J27)</f>
        <v>0.111779387350384</v>
      </c>
    </row>
    <row r="31" customFormat="false" ht="15" hidden="false" customHeight="false" outlineLevel="0" collapsed="false">
      <c r="A31" s="4" t="s">
        <v>88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customFormat="false" ht="35.05" hidden="false" customHeight="false" outlineLevel="0" collapsed="false">
      <c r="A32" s="11" t="s">
        <v>36</v>
      </c>
      <c r="B32" s="11" t="s">
        <v>89</v>
      </c>
      <c r="C32" s="11"/>
      <c r="D32" s="11" t="s">
        <v>90</v>
      </c>
      <c r="E32" s="11" t="s">
        <v>36</v>
      </c>
      <c r="F32" s="11" t="s">
        <v>91</v>
      </c>
      <c r="G32" s="11" t="s">
        <v>92</v>
      </c>
      <c r="H32" s="11" t="s">
        <v>93</v>
      </c>
    </row>
    <row r="33" customFormat="false" ht="15" hidden="false" customHeight="false" outlineLevel="0" collapsed="false">
      <c r="A33" s="8" t="n">
        <v>1</v>
      </c>
      <c r="B33" s="8" t="s">
        <v>94</v>
      </c>
      <c r="D33" s="12" t="n">
        <v>5.3</v>
      </c>
      <c r="E33" s="9" t="n">
        <v>25</v>
      </c>
      <c r="F33" s="21" t="n">
        <v>0.128</v>
      </c>
      <c r="G33" s="16" t="n">
        <f aca="false">D33-M9</f>
        <v>0.00999999999999979</v>
      </c>
      <c r="H33" s="22" t="n">
        <f aca="false">E33-N9</f>
        <v>0</v>
      </c>
    </row>
    <row r="34" customFormat="false" ht="15" hidden="false" customHeight="false" outlineLevel="0" collapsed="false">
      <c r="A34" s="8" t="n">
        <v>2</v>
      </c>
      <c r="B34" s="8" t="s">
        <v>95</v>
      </c>
      <c r="D34" s="12" t="n">
        <v>34.6</v>
      </c>
      <c r="E34" s="9" t="n">
        <v>164</v>
      </c>
      <c r="F34" s="21" t="n">
        <v>0.123</v>
      </c>
      <c r="G34" s="16" t="n">
        <f aca="false">D34-M8</f>
        <v>0</v>
      </c>
      <c r="H34" s="22" t="n">
        <f aca="false">E34-N8</f>
        <v>0</v>
      </c>
    </row>
    <row r="35" customFormat="false" ht="15" hidden="false" customHeight="false" outlineLevel="0" collapsed="false">
      <c r="A35" s="8" t="n">
        <v>3</v>
      </c>
      <c r="B35" s="8" t="s">
        <v>96</v>
      </c>
      <c r="D35" s="12" t="n">
        <v>11.8</v>
      </c>
      <c r="E35" s="9" t="n">
        <v>24</v>
      </c>
      <c r="F35" s="21" t="n">
        <v>0.094</v>
      </c>
      <c r="G35" s="16" t="n">
        <f aca="false">D35-M10</f>
        <v>0.0300000000000011</v>
      </c>
      <c r="H35" s="22" t="n">
        <f aca="false">E35-N10</f>
        <v>0</v>
      </c>
    </row>
    <row r="36" customFormat="false" ht="15" hidden="false" customHeight="false" outlineLevel="0" collapsed="false">
      <c r="A36" s="8" t="n">
        <v>4</v>
      </c>
      <c r="B36" s="8" t="s">
        <v>97</v>
      </c>
      <c r="D36" s="12" t="n">
        <v>455.2</v>
      </c>
      <c r="E36" s="9" t="n">
        <v>287</v>
      </c>
      <c r="F36" s="21" t="n">
        <v>0.089</v>
      </c>
      <c r="G36" s="16" t="n">
        <f aca="false">D36-M7</f>
        <v>-0.0300000000000296</v>
      </c>
      <c r="H36" s="22" t="n">
        <f aca="false">E36-N7</f>
        <v>0</v>
      </c>
    </row>
    <row r="37" customFormat="false" ht="15" hidden="false" customHeight="false" outlineLevel="0" collapsed="false">
      <c r="A37" s="8" t="n">
        <v>5</v>
      </c>
      <c r="B37" s="8" t="s">
        <v>98</v>
      </c>
      <c r="D37" s="12" t="n">
        <v>29.7</v>
      </c>
      <c r="E37" s="9" t="n">
        <v>3</v>
      </c>
      <c r="F37" s="21" t="n">
        <v>0.088</v>
      </c>
      <c r="G37" s="16" t="n">
        <f aca="false">D37-M11</f>
        <v>-0.0199999999999996</v>
      </c>
      <c r="H37" s="22" t="n">
        <f aca="false">E37-N11</f>
        <v>0</v>
      </c>
    </row>
    <row r="38" customFormat="false" ht="15" hidden="false" customHeight="false" outlineLevel="0" collapsed="false">
      <c r="A38" s="8" t="n">
        <v>6</v>
      </c>
      <c r="B38" s="18" t="s">
        <v>99</v>
      </c>
      <c r="D38" s="12" t="n">
        <v>536.6</v>
      </c>
      <c r="E38" s="9" t="n">
        <v>503</v>
      </c>
      <c r="F38" s="21" t="n">
        <v>0.104</v>
      </c>
      <c r="G38" s="16" t="n">
        <f aca="false">D38-M12</f>
        <v>-0.00999999999999091</v>
      </c>
      <c r="H38" s="22" t="n">
        <f aca="false">E38-N12</f>
        <v>0</v>
      </c>
    </row>
    <row r="39" customFormat="false" ht="15" hidden="false" customHeight="false" outlineLevel="0" collapsed="false">
      <c r="A39" s="8" t="n">
        <v>7</v>
      </c>
      <c r="B39" s="8" t="s">
        <v>100</v>
      </c>
      <c r="D39" s="12" t="n">
        <v>88.5</v>
      </c>
      <c r="E39" s="9" t="n">
        <v>224</v>
      </c>
      <c r="F39" s="21" t="n">
        <v>0.084</v>
      </c>
      <c r="G39" s="16" t="n">
        <f aca="false">D39-M13</f>
        <v>-0.019999999999996</v>
      </c>
      <c r="H39" s="22" t="n">
        <f aca="false">E39-N13</f>
        <v>0</v>
      </c>
    </row>
    <row r="40" customFormat="false" ht="15" hidden="false" customHeight="false" outlineLevel="0" collapsed="false">
      <c r="A40" s="8" t="n">
        <v>8</v>
      </c>
      <c r="B40" s="8" t="s">
        <v>101</v>
      </c>
      <c r="D40" s="12" t="n">
        <v>56.4</v>
      </c>
      <c r="E40" s="9" t="n">
        <v>2</v>
      </c>
      <c r="F40" s="21" t="n">
        <v>0.088</v>
      </c>
    </row>
    <row r="41" customFormat="false" ht="15" hidden="false" customHeight="false" outlineLevel="0" collapsed="false">
      <c r="A41" s="8" t="n">
        <v>9</v>
      </c>
      <c r="B41" s="8" t="s">
        <v>102</v>
      </c>
      <c r="D41" s="12" t="n">
        <v>13.6</v>
      </c>
      <c r="E41" s="9" t="n">
        <v>148</v>
      </c>
      <c r="F41" s="21" t="n">
        <v>0.113</v>
      </c>
      <c r="G41" s="16" t="n">
        <f aca="false">D41-M15</f>
        <v>-0.00999999999999979</v>
      </c>
      <c r="H41" s="22" t="n">
        <f aca="false">E41-N15</f>
        <v>0</v>
      </c>
    </row>
    <row r="42" customFormat="false" ht="15" hidden="false" customHeight="false" outlineLevel="0" collapsed="false">
      <c r="A42" s="8" t="n">
        <v>10</v>
      </c>
      <c r="B42" s="8" t="s">
        <v>103</v>
      </c>
      <c r="D42" s="12" t="n">
        <v>4.1</v>
      </c>
      <c r="E42" s="9" t="n">
        <v>41</v>
      </c>
      <c r="F42" s="21" t="n">
        <v>0.123</v>
      </c>
    </row>
    <row r="43" customFormat="false" ht="15" hidden="false" customHeight="false" outlineLevel="0" collapsed="false">
      <c r="A43" s="8" t="n">
        <v>11</v>
      </c>
      <c r="B43" s="8" t="s">
        <v>104</v>
      </c>
      <c r="D43" s="12" t="n">
        <v>123.3</v>
      </c>
      <c r="E43" s="9" t="n">
        <v>1059</v>
      </c>
      <c r="F43" s="21" t="n">
        <v>0.107</v>
      </c>
      <c r="G43" s="16" t="n">
        <f aca="false">D43-M14</f>
        <v>0</v>
      </c>
      <c r="H43" s="22" t="n">
        <f aca="false">E43-N14</f>
        <v>0</v>
      </c>
    </row>
    <row r="44" customFormat="false" ht="15" hidden="false" customHeight="false" outlineLevel="0" collapsed="false">
      <c r="A44" s="8" t="n">
        <v>12</v>
      </c>
      <c r="B44" s="18" t="s">
        <v>105</v>
      </c>
      <c r="D44" s="12" t="n">
        <v>285.9</v>
      </c>
      <c r="E44" s="9" t="n">
        <v>1474</v>
      </c>
      <c r="F44" s="21" t="n">
        <v>0.103</v>
      </c>
      <c r="G44" s="16" t="n">
        <f aca="false">D44-M18</f>
        <v>60.47</v>
      </c>
      <c r="H44" s="22" t="n">
        <f aca="false">E44-N18</f>
        <v>43</v>
      </c>
    </row>
    <row r="45" customFormat="false" ht="15" hidden="false" customHeight="false" outlineLevel="0" collapsed="false">
      <c r="A45" s="8" t="n">
        <v>13</v>
      </c>
      <c r="B45" s="8" t="s">
        <v>106</v>
      </c>
      <c r="D45" s="12" t="n">
        <v>0.6</v>
      </c>
      <c r="E45" s="9" t="n">
        <v>15</v>
      </c>
      <c r="F45" s="21" t="n">
        <v>0.139</v>
      </c>
      <c r="G45" s="16" t="n">
        <f aca="false">D45-M21</f>
        <v>-0.01</v>
      </c>
      <c r="H45" s="22" t="n">
        <f aca="false">E45-N21</f>
        <v>0</v>
      </c>
    </row>
    <row r="46" customFormat="false" ht="15" hidden="false" customHeight="false" outlineLevel="0" collapsed="false">
      <c r="A46" s="8" t="n">
        <v>14</v>
      </c>
      <c r="B46" s="8" t="s">
        <v>107</v>
      </c>
      <c r="D46" s="12" t="n">
        <v>31.7</v>
      </c>
      <c r="E46" s="9" t="n">
        <v>3622</v>
      </c>
      <c r="F46" s="21" t="n">
        <v>0.208</v>
      </c>
      <c r="G46" s="16" t="n">
        <f aca="false">D46-M20</f>
        <v>0.0500000000000007</v>
      </c>
      <c r="H46" s="22" t="n">
        <f aca="false">E46-N20</f>
        <v>0</v>
      </c>
    </row>
    <row r="47" customFormat="false" ht="15" hidden="false" customHeight="false" outlineLevel="0" collapsed="false">
      <c r="A47" s="8" t="n">
        <v>15</v>
      </c>
      <c r="B47" s="8" t="s">
        <v>108</v>
      </c>
      <c r="D47" s="12" t="n">
        <v>158.9</v>
      </c>
      <c r="E47" s="9" t="n">
        <v>3584</v>
      </c>
      <c r="F47" s="21" t="n">
        <v>0.164</v>
      </c>
      <c r="G47" s="16" t="n">
        <f aca="false">D47-M22</f>
        <v>0.0200000000000102</v>
      </c>
      <c r="H47" s="22" t="n">
        <f aca="false">E47-N22</f>
        <v>0</v>
      </c>
    </row>
    <row r="48" customFormat="false" ht="15" hidden="false" customHeight="false" outlineLevel="0" collapsed="false">
      <c r="A48" s="8" t="n">
        <v>16</v>
      </c>
      <c r="B48" s="8" t="s">
        <v>109</v>
      </c>
      <c r="D48" s="12" t="n">
        <v>1.3</v>
      </c>
      <c r="E48" s="9" t="n">
        <v>11</v>
      </c>
      <c r="F48" s="21" t="n">
        <v>0.094</v>
      </c>
      <c r="G48" s="16" t="n">
        <f aca="false">D48-M19</f>
        <v>-0.04</v>
      </c>
      <c r="H48" s="22" t="n">
        <f aca="false">E48-N19</f>
        <v>0</v>
      </c>
    </row>
    <row r="49" customFormat="false" ht="15" hidden="false" customHeight="false" outlineLevel="0" collapsed="false">
      <c r="A49" s="8" t="n">
        <v>17</v>
      </c>
      <c r="B49" s="18" t="s">
        <v>110</v>
      </c>
      <c r="D49" s="12" t="n">
        <v>192.5</v>
      </c>
      <c r="E49" s="9" t="n">
        <v>7232</v>
      </c>
      <c r="F49" s="21" t="n">
        <v>0.151</v>
      </c>
      <c r="G49" s="16" t="n">
        <f aca="false">D49-M23</f>
        <v>0.0300000000000011</v>
      </c>
      <c r="H49" s="22" t="n">
        <f aca="false">E49-N23</f>
        <v>0</v>
      </c>
    </row>
    <row r="50" customFormat="false" ht="15" hidden="false" customHeight="false" outlineLevel="0" collapsed="false">
      <c r="A50" s="8" t="n">
        <v>18</v>
      </c>
      <c r="B50" s="8" t="s">
        <v>111</v>
      </c>
      <c r="D50" s="12" t="n">
        <v>0</v>
      </c>
      <c r="E50" s="9" t="n">
        <v>0</v>
      </c>
      <c r="F50" s="21"/>
    </row>
    <row r="51" customFormat="false" ht="15" hidden="false" customHeight="false" outlineLevel="0" collapsed="false">
      <c r="A51" s="8" t="n">
        <v>19</v>
      </c>
      <c r="B51" s="8" t="s">
        <v>112</v>
      </c>
      <c r="D51" s="12" t="n">
        <v>864.8</v>
      </c>
      <c r="E51" s="9" t="n">
        <v>139608</v>
      </c>
      <c r="F51" s="21" t="n">
        <v>0.25</v>
      </c>
    </row>
    <row r="52" customFormat="false" ht="15" hidden="false" customHeight="false" outlineLevel="0" collapsed="false">
      <c r="A52" s="8" t="n">
        <v>20</v>
      </c>
      <c r="B52" s="8" t="s">
        <v>113</v>
      </c>
      <c r="D52" s="12" t="n">
        <v>150.9</v>
      </c>
      <c r="E52" s="9" t="n">
        <v>3523</v>
      </c>
      <c r="F52" s="21" t="n">
        <v>0.118</v>
      </c>
      <c r="G52" s="16" t="n">
        <f aca="false">D52-M26</f>
        <v>0.0100000000000193</v>
      </c>
      <c r="H52" s="22" t="n">
        <f aca="false">E52-N26</f>
        <v>0</v>
      </c>
    </row>
    <row r="53" customFormat="false" ht="15" hidden="false" customHeight="false" outlineLevel="0" collapsed="false">
      <c r="A53" s="8" t="n">
        <v>21</v>
      </c>
      <c r="B53" s="8" t="s">
        <v>114</v>
      </c>
      <c r="D53" s="12" t="n">
        <v>3.5</v>
      </c>
      <c r="E53" s="9" t="n">
        <v>19</v>
      </c>
      <c r="F53" s="21" t="n">
        <v>0.092</v>
      </c>
      <c r="G53" s="16" t="n">
        <f aca="false">D53-M25</f>
        <v>-0.0299999999999998</v>
      </c>
      <c r="H53" s="22" t="n">
        <f aca="false">E53-N25</f>
        <v>0</v>
      </c>
    </row>
    <row r="54" customFormat="false" ht="15" hidden="false" customHeight="false" outlineLevel="0" collapsed="false">
      <c r="A54" s="8" t="n">
        <v>22</v>
      </c>
      <c r="B54" s="8" t="s">
        <v>115</v>
      </c>
      <c r="D54" s="12" t="n">
        <v>1.3</v>
      </c>
      <c r="E54" s="9" t="n">
        <v>6</v>
      </c>
      <c r="F54" s="21" t="n">
        <v>0.157</v>
      </c>
      <c r="G54" s="16" t="n">
        <f aca="false">D54-M24</f>
        <v>0.05</v>
      </c>
      <c r="H54" s="22" t="n">
        <f aca="false">E54-N24</f>
        <v>0</v>
      </c>
    </row>
    <row r="55" customFormat="false" ht="15" hidden="false" customHeight="false" outlineLevel="0" collapsed="false">
      <c r="A55" s="8" t="n">
        <v>23</v>
      </c>
      <c r="B55" s="18" t="s">
        <v>116</v>
      </c>
      <c r="D55" s="12" t="n">
        <v>1020.5</v>
      </c>
      <c r="E55" s="9" t="n">
        <v>143156</v>
      </c>
      <c r="F55" s="21" t="n">
        <v>0.154</v>
      </c>
      <c r="G55" s="16" t="n">
        <f aca="false">D55-M27</f>
        <v>864.82</v>
      </c>
      <c r="H55" s="22" t="n">
        <f aca="false">E55-N27</f>
        <v>139608</v>
      </c>
    </row>
    <row r="56" customFormat="false" ht="15" hidden="false" customHeight="false" outlineLevel="0" collapsed="false">
      <c r="A56" s="8" t="n">
        <v>24</v>
      </c>
      <c r="B56" s="18" t="s">
        <v>117</v>
      </c>
      <c r="D56" s="12" t="n">
        <v>2035.5</v>
      </c>
      <c r="E56" s="9" t="n">
        <v>152365</v>
      </c>
      <c r="F56" s="21" t="n">
        <v>0.125</v>
      </c>
      <c r="G56" s="16" t="n">
        <f aca="false">D56-M28</f>
        <v>925.3</v>
      </c>
      <c r="H56" s="22" t="n">
        <f aca="false">E56-N28</f>
        <v>139651</v>
      </c>
    </row>
    <row r="59" customFormat="false" ht="15" hidden="false" customHeight="false" outlineLevel="0" collapsed="false">
      <c r="A59" s="4" t="s">
        <v>118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customFormat="false" ht="23.85" hidden="false" customHeight="false" outlineLevel="0" collapsed="false">
      <c r="A60" s="11" t="s">
        <v>36</v>
      </c>
      <c r="B60" s="11" t="s">
        <v>119</v>
      </c>
      <c r="C60" s="11" t="s">
        <v>120</v>
      </c>
      <c r="D60" s="11" t="s">
        <v>121</v>
      </c>
      <c r="E60" s="11" t="s">
        <v>122</v>
      </c>
    </row>
    <row r="61" customFormat="false" ht="102.2" hidden="false" customHeight="false" outlineLevel="0" collapsed="false">
      <c r="A61" s="8" t="n">
        <v>1</v>
      </c>
      <c r="B61" s="23" t="s">
        <v>123</v>
      </c>
      <c r="C61" s="20" t="n">
        <f aca="false">AB12</f>
        <v>0.0922422866869191</v>
      </c>
      <c r="D61" s="8" t="s">
        <v>124</v>
      </c>
      <c r="E61" s="24" t="s">
        <v>125</v>
      </c>
    </row>
    <row r="62" customFormat="false" ht="46.25" hidden="false" customHeight="false" outlineLevel="0" collapsed="false">
      <c r="A62" s="8" t="n">
        <v>2</v>
      </c>
      <c r="B62" s="23" t="s">
        <v>126</v>
      </c>
      <c r="C62" s="19" t="n">
        <f aca="false">MAX(ABS(AA12),ABS(AA18),ABS(AA23),ABS(AA27),ABS(AA28))</f>
        <v>0.00666666666666732</v>
      </c>
      <c r="D62" s="8" t="s">
        <v>127</v>
      </c>
      <c r="E62" s="24" t="s">
        <v>128</v>
      </c>
    </row>
    <row r="63" customFormat="false" ht="68.65" hidden="false" customHeight="false" outlineLevel="0" collapsed="false">
      <c r="A63" s="8" t="n">
        <v>3</v>
      </c>
      <c r="B63" s="23" t="s">
        <v>129</v>
      </c>
      <c r="C63" s="15" t="n">
        <f aca="false">M28/J28-1</f>
        <v>-0.564886812566627</v>
      </c>
      <c r="D63" s="8" t="s">
        <v>124</v>
      </c>
      <c r="E63" s="24" t="s">
        <v>130</v>
      </c>
    </row>
    <row r="64" customFormat="false" ht="135.8" hidden="false" customHeight="false" outlineLevel="0" collapsed="false">
      <c r="A64" s="8" t="n">
        <v>4</v>
      </c>
      <c r="B64" s="23" t="s">
        <v>131</v>
      </c>
      <c r="C64" s="16" t="n">
        <f aca="false">G56</f>
        <v>925.3</v>
      </c>
      <c r="D64" s="8" t="s">
        <v>132</v>
      </c>
      <c r="E64" s="24" t="s">
        <v>133</v>
      </c>
    </row>
    <row r="65" customFormat="false" ht="35.05" hidden="false" customHeight="false" outlineLevel="0" collapsed="false">
      <c r="A65" s="8" t="n">
        <v>5</v>
      </c>
      <c r="B65" s="23" t="s">
        <v>134</v>
      </c>
      <c r="C65" s="16" t="n">
        <f aca="false">MAX(ABS(Z12),ABS(Z18),ABS(Z23),ABS(Z27),ABS(Z28))</f>
        <v>0.00999999999999091</v>
      </c>
      <c r="D65" s="8" t="s">
        <v>132</v>
      </c>
      <c r="E65" s="24" t="s">
        <v>135</v>
      </c>
    </row>
    <row r="66" customFormat="false" ht="57.45" hidden="false" customHeight="false" outlineLevel="0" collapsed="false">
      <c r="A66" s="8" t="n">
        <v>6</v>
      </c>
      <c r="B66" s="23" t="s">
        <v>136</v>
      </c>
      <c r="C66" s="15" t="n">
        <f aca="false">D11/D12</f>
        <v>0.30727003218225</v>
      </c>
      <c r="D66" s="8" t="s">
        <v>124</v>
      </c>
      <c r="E66" s="24" t="s">
        <v>137</v>
      </c>
    </row>
    <row r="67" customFormat="false" ht="113.4" hidden="false" customHeight="false" outlineLevel="0" collapsed="false">
      <c r="A67" s="8" t="n">
        <v>7</v>
      </c>
      <c r="B67" s="23" t="s">
        <v>138</v>
      </c>
      <c r="C67" s="15" t="n">
        <f aca="false">K28/E28-1</f>
        <v>-0.3124755859375</v>
      </c>
      <c r="D67" s="8" t="s">
        <v>124</v>
      </c>
      <c r="E67" s="24" t="s">
        <v>139</v>
      </c>
    </row>
    <row r="69" customFormat="false" ht="15" hidden="false" customHeight="false" outlineLevel="0" collapsed="false">
      <c r="A69" s="4" t="s">
        <v>140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1" customFormat="false" ht="15" hidden="false" customHeight="false" outlineLevel="0" collapsed="false">
      <c r="A71" s="4" t="s">
        <v>141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customFormat="false" ht="35.05" hidden="false" customHeight="false" outlineLevel="0" collapsed="false">
      <c r="A72" s="11" t="s">
        <v>36</v>
      </c>
      <c r="B72" s="11" t="s">
        <v>142</v>
      </c>
      <c r="C72" s="11" t="s">
        <v>143</v>
      </c>
      <c r="D72" s="11" t="s">
        <v>144</v>
      </c>
      <c r="E72" s="11" t="s">
        <v>145</v>
      </c>
      <c r="F72" s="11" t="s">
        <v>121</v>
      </c>
      <c r="G72" s="11" t="s">
        <v>146</v>
      </c>
    </row>
    <row r="73" customFormat="false" ht="35.05" hidden="false" customHeight="false" outlineLevel="0" collapsed="false">
      <c r="A73" s="8" t="n">
        <v>1</v>
      </c>
      <c r="B73" s="18" t="s">
        <v>147</v>
      </c>
      <c r="C73" s="24" t="s">
        <v>148</v>
      </c>
      <c r="D73" s="24" t="s">
        <v>149</v>
      </c>
      <c r="E73" s="16" t="n">
        <f aca="false">J28</f>
        <v>2551.52</v>
      </c>
      <c r="F73" s="8" t="s">
        <v>132</v>
      </c>
      <c r="G73" s="24"/>
    </row>
    <row r="74" customFormat="false" ht="35.05" hidden="false" customHeight="false" outlineLevel="0" collapsed="false">
      <c r="A74" s="8" t="n">
        <v>2</v>
      </c>
      <c r="B74" s="18" t="s">
        <v>147</v>
      </c>
      <c r="C74" s="24" t="s">
        <v>150</v>
      </c>
      <c r="D74" s="24" t="s">
        <v>149</v>
      </c>
      <c r="E74" s="22" t="n">
        <f aca="false">H20</f>
        <v>7980</v>
      </c>
      <c r="F74" s="8" t="s">
        <v>151</v>
      </c>
      <c r="G74" s="24"/>
    </row>
    <row r="75" customFormat="false" ht="23.85" hidden="false" customHeight="false" outlineLevel="0" collapsed="false">
      <c r="A75" s="8" t="n">
        <v>3</v>
      </c>
      <c r="B75" s="18" t="s">
        <v>147</v>
      </c>
      <c r="C75" s="24" t="s">
        <v>152</v>
      </c>
      <c r="D75" s="24" t="s">
        <v>149</v>
      </c>
      <c r="E75" s="20" t="n">
        <f aca="false">L14</f>
        <v>0.1069</v>
      </c>
      <c r="F75" s="8" t="s">
        <v>124</v>
      </c>
      <c r="G75" s="24"/>
    </row>
    <row r="76" customFormat="false" ht="23.85" hidden="false" customHeight="false" outlineLevel="0" collapsed="false">
      <c r="A76" s="8" t="n">
        <v>4</v>
      </c>
      <c r="B76" s="18" t="s">
        <v>153</v>
      </c>
      <c r="C76" s="24" t="s">
        <v>154</v>
      </c>
      <c r="D76" s="24" t="s">
        <v>155</v>
      </c>
      <c r="E76" s="14" t="n">
        <f aca="false">R7</f>
        <v>180.213883677298</v>
      </c>
      <c r="F76" s="8" t="s">
        <v>156</v>
      </c>
      <c r="G76" s="24"/>
    </row>
    <row r="77" customFormat="false" ht="46.25" hidden="false" customHeight="false" outlineLevel="0" collapsed="false">
      <c r="A77" s="8" t="n">
        <v>5</v>
      </c>
      <c r="B77" s="18" t="s">
        <v>153</v>
      </c>
      <c r="C77" s="24" t="s">
        <v>157</v>
      </c>
      <c r="D77" s="24" t="s">
        <v>158</v>
      </c>
      <c r="E77" s="15" t="n">
        <f aca="false">U28</f>
        <v>-0.235206311334384</v>
      </c>
      <c r="F77" s="8" t="s">
        <v>124</v>
      </c>
      <c r="G77" s="24"/>
    </row>
    <row r="78" customFormat="false" ht="35.05" hidden="false" customHeight="false" outlineLevel="0" collapsed="false">
      <c r="A78" s="8" t="n">
        <v>6</v>
      </c>
      <c r="B78" s="18" t="s">
        <v>153</v>
      </c>
      <c r="C78" s="24" t="s">
        <v>159</v>
      </c>
      <c r="D78" s="24" t="s">
        <v>160</v>
      </c>
      <c r="E78" s="15" t="n">
        <f aca="false">W28</f>
        <v>-0.183052790941422</v>
      </c>
      <c r="F78" s="8" t="s">
        <v>124</v>
      </c>
      <c r="G78" s="24"/>
    </row>
    <row r="79" customFormat="false" ht="35.05" hidden="false" customHeight="false" outlineLevel="0" collapsed="false">
      <c r="A79" s="8" t="n">
        <v>7</v>
      </c>
      <c r="B79" s="18" t="s">
        <v>153</v>
      </c>
      <c r="C79" s="24" t="s">
        <v>161</v>
      </c>
      <c r="D79" s="24" t="s">
        <v>162</v>
      </c>
      <c r="E79" s="15" t="n">
        <f aca="false">X12</f>
        <v>0.436578980372484</v>
      </c>
      <c r="F79" s="8" t="s">
        <v>124</v>
      </c>
      <c r="G79" s="24"/>
    </row>
    <row r="80" customFormat="false" ht="79.85" hidden="false" customHeight="false" outlineLevel="0" collapsed="false">
      <c r="A80" s="8" t="n">
        <v>8</v>
      </c>
      <c r="B80" s="18" t="s">
        <v>163</v>
      </c>
      <c r="C80" s="24" t="s">
        <v>164</v>
      </c>
      <c r="D80" s="24" t="s">
        <v>165</v>
      </c>
      <c r="E80" s="15" t="n">
        <f aca="false">(G12-G11)/(D12-D11)-1</f>
        <v>0.223661408033586</v>
      </c>
      <c r="F80" s="8" t="s">
        <v>124</v>
      </c>
      <c r="G80" s="24" t="s">
        <v>166</v>
      </c>
    </row>
    <row r="81" customFormat="false" ht="135.8" hidden="false" customHeight="false" outlineLevel="0" collapsed="false">
      <c r="A81" s="8" t="n">
        <v>9</v>
      </c>
      <c r="B81" s="18" t="s">
        <v>163</v>
      </c>
      <c r="C81" s="24" t="s">
        <v>167</v>
      </c>
      <c r="D81" s="24" t="s">
        <v>168</v>
      </c>
      <c r="E81" s="19" t="n">
        <f aca="false">(AC28-L28)*100</f>
        <v>-0.782061264961552</v>
      </c>
      <c r="F81" s="8" t="s">
        <v>127</v>
      </c>
      <c r="G81" s="24" t="s">
        <v>169</v>
      </c>
    </row>
    <row r="82" customFormat="false" ht="124.6" hidden="false" customHeight="false" outlineLevel="0" collapsed="false">
      <c r="A82" s="8" t="n">
        <v>10</v>
      </c>
      <c r="B82" s="18" t="s">
        <v>163</v>
      </c>
      <c r="C82" s="24" t="s">
        <v>170</v>
      </c>
      <c r="D82" s="24" t="s">
        <v>171</v>
      </c>
      <c r="E82" s="16" t="n">
        <f aca="false">G56</f>
        <v>925.3</v>
      </c>
      <c r="F82" s="8" t="s">
        <v>132</v>
      </c>
      <c r="G82" s="24" t="s">
        <v>172</v>
      </c>
    </row>
    <row r="84" customFormat="false" ht="15" hidden="false" customHeight="false" outlineLevel="0" collapsed="false">
      <c r="A84" s="4" t="s">
        <v>173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customFormat="false" ht="69.75" hidden="false" customHeight="true" outlineLevel="0" collapsed="false">
      <c r="A85" s="25" t="s">
        <v>174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</row>
    <row r="87" customFormat="false" ht="15" hidden="false" customHeight="false" outlineLevel="0" collapsed="false">
      <c r="A87" s="3" t="s">
        <v>2</v>
      </c>
    </row>
  </sheetData>
  <mergeCells count="1">
    <mergeCell ref="A85:AD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78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177</v>
      </c>
      <c r="B5" s="5"/>
      <c r="C5" s="5"/>
      <c r="D5" s="5"/>
      <c r="E5" s="5"/>
      <c r="F5" s="5"/>
    </row>
    <row r="6" customFormat="false" ht="15" hidden="false" customHeight="false" outlineLevel="0" collapsed="false">
      <c r="B6" s="26" t="s">
        <v>178</v>
      </c>
      <c r="C6" s="26" t="s">
        <v>179</v>
      </c>
      <c r="D6" s="26"/>
      <c r="E6" s="26"/>
      <c r="F6" s="26"/>
    </row>
    <row r="7" customFormat="false" ht="15" hidden="false" customHeight="true" outlineLevel="0" collapsed="false">
      <c r="B7" s="18" t="s">
        <v>180</v>
      </c>
      <c r="C7" s="24" t="s">
        <v>181</v>
      </c>
      <c r="D7" s="24"/>
      <c r="E7" s="24"/>
      <c r="F7" s="24"/>
    </row>
    <row r="8" customFormat="false" ht="15" hidden="false" customHeight="true" outlineLevel="0" collapsed="false">
      <c r="B8" s="18" t="s">
        <v>182</v>
      </c>
      <c r="C8" s="24" t="s">
        <v>183</v>
      </c>
      <c r="D8" s="24"/>
      <c r="E8" s="24"/>
      <c r="F8" s="24"/>
    </row>
    <row r="9" customFormat="false" ht="15" hidden="false" customHeight="true" outlineLevel="0" collapsed="false">
      <c r="B9" s="18" t="s">
        <v>184</v>
      </c>
      <c r="C9" s="24" t="s">
        <v>185</v>
      </c>
      <c r="D9" s="24"/>
      <c r="E9" s="24"/>
      <c r="F9" s="24"/>
    </row>
    <row r="10" customFormat="false" ht="15" hidden="false" customHeight="true" outlineLevel="0" collapsed="false">
      <c r="B10" s="18" t="s">
        <v>186</v>
      </c>
      <c r="C10" s="24" t="s">
        <v>187</v>
      </c>
      <c r="D10" s="24"/>
      <c r="E10" s="24"/>
      <c r="F10" s="24"/>
    </row>
    <row r="11" customFormat="false" ht="15" hidden="false" customHeight="true" outlineLevel="0" collapsed="false">
      <c r="B11" s="18" t="s">
        <v>188</v>
      </c>
      <c r="C11" s="24" t="s">
        <v>189</v>
      </c>
      <c r="D11" s="24"/>
      <c r="E11" s="24"/>
      <c r="F11" s="24"/>
    </row>
    <row r="12" customFormat="false" ht="15" hidden="false" customHeight="true" outlineLevel="0" collapsed="false">
      <c r="B12" s="18" t="s">
        <v>190</v>
      </c>
      <c r="C12" s="24" t="s">
        <v>191</v>
      </c>
      <c r="D12" s="24"/>
      <c r="E12" s="24"/>
      <c r="F12" s="24"/>
    </row>
    <row r="13" customFormat="false" ht="15" hidden="false" customHeight="true" outlineLevel="0" collapsed="false">
      <c r="B13" s="18" t="s">
        <v>192</v>
      </c>
      <c r="C13" s="24" t="s">
        <v>193</v>
      </c>
      <c r="D13" s="24"/>
      <c r="E13" s="24"/>
      <c r="F13" s="24"/>
    </row>
    <row r="14" customFormat="false" ht="15" hidden="false" customHeight="true" outlineLevel="0" collapsed="false">
      <c r="B14" s="18" t="s">
        <v>194</v>
      </c>
      <c r="C14" s="24" t="s">
        <v>195</v>
      </c>
      <c r="D14" s="24"/>
      <c r="E14" s="24"/>
      <c r="F14" s="24"/>
    </row>
    <row r="15" customFormat="false" ht="15" hidden="false" customHeight="true" outlineLevel="0" collapsed="false">
      <c r="B15" s="18" t="s">
        <v>196</v>
      </c>
      <c r="C15" s="24" t="s">
        <v>197</v>
      </c>
      <c r="D15" s="24"/>
      <c r="E15" s="24"/>
      <c r="F15" s="24"/>
    </row>
    <row r="16" customFormat="false" ht="15" hidden="false" customHeight="true" outlineLevel="0" collapsed="false">
      <c r="B16" s="18" t="s">
        <v>198</v>
      </c>
      <c r="C16" s="24" t="s">
        <v>199</v>
      </c>
      <c r="D16" s="24"/>
      <c r="E16" s="24"/>
      <c r="F16" s="24"/>
    </row>
    <row r="17" customFormat="false" ht="15" hidden="false" customHeight="true" outlineLevel="0" collapsed="false">
      <c r="B17" s="18" t="s">
        <v>200</v>
      </c>
      <c r="C17" s="24" t="s">
        <v>201</v>
      </c>
      <c r="D17" s="24"/>
      <c r="E17" s="24"/>
      <c r="F17" s="24"/>
    </row>
    <row r="18" customFormat="false" ht="15" hidden="false" customHeight="true" outlineLevel="0" collapsed="false">
      <c r="B18" s="18" t="s">
        <v>202</v>
      </c>
      <c r="C18" s="24" t="s">
        <v>203</v>
      </c>
      <c r="D18" s="24"/>
      <c r="E18" s="24"/>
      <c r="F18" s="24"/>
    </row>
    <row r="19" customFormat="false" ht="15" hidden="false" customHeight="false" outlineLevel="0" collapsed="false">
      <c r="B19" s="27" t="s">
        <v>204</v>
      </c>
    </row>
    <row r="21" customFormat="false" ht="15" hidden="false" customHeight="false" outlineLevel="0" collapsed="false">
      <c r="A21" s="4" t="s">
        <v>205</v>
      </c>
      <c r="B21" s="5"/>
      <c r="C21" s="5"/>
      <c r="D21" s="5"/>
      <c r="E21" s="5"/>
      <c r="F21" s="5"/>
    </row>
    <row r="22" customFormat="false" ht="15" hidden="false" customHeight="false" outlineLevel="0" collapsed="false">
      <c r="A22" s="11" t="s">
        <v>36</v>
      </c>
      <c r="B22" s="11" t="s">
        <v>206</v>
      </c>
      <c r="C22" s="11" t="s">
        <v>207</v>
      </c>
      <c r="D22" s="11" t="s">
        <v>208</v>
      </c>
      <c r="E22" s="11" t="s">
        <v>209</v>
      </c>
      <c r="F22" s="11" t="s">
        <v>210</v>
      </c>
    </row>
    <row r="23" customFormat="false" ht="15" hidden="false" customHeight="false" outlineLevel="0" collapsed="false">
      <c r="A23" s="8" t="n">
        <v>1</v>
      </c>
      <c r="B23" s="24" t="s">
        <v>211</v>
      </c>
      <c r="C23" s="24" t="s">
        <v>212</v>
      </c>
      <c r="D23" s="24" t="s">
        <v>180</v>
      </c>
      <c r="E23" s="24" t="s">
        <v>213</v>
      </c>
      <c r="F23" s="28" t="str">
        <f aca="false">"LAP "&amp;TEXT(B1_Disbursement_MIS!D7,"#,##0.00;-#,##0.00;0.00")&amp;" / "&amp;TEXT(B1_Disbursement_MIS!G7,"#,##0.00;-#,##0.00;0.00")&amp;" / "&amp;TEXT(B1_Disbursement_MIS!J7,"#,##0.00;-#,##0.00;0.00")&amp;" / "&amp;TEXT(B1_Disbursement_MIS!M7,"#,##0.00;-#,##0.00;0.00")</f>
        <v>LAP 1,030.19 / 1,305.36 / 960.54 / 455.23</v>
      </c>
    </row>
    <row r="24" customFormat="false" ht="15" hidden="false" customHeight="false" outlineLevel="0" collapsed="false">
      <c r="A24" s="8" t="n">
        <v>2</v>
      </c>
      <c r="B24" s="24" t="s">
        <v>211</v>
      </c>
      <c r="C24" s="24" t="s">
        <v>214</v>
      </c>
      <c r="D24" s="24" t="s">
        <v>182</v>
      </c>
      <c r="E24" s="24" t="s">
        <v>215</v>
      </c>
      <c r="F24" s="28" t="str">
        <f aca="false">"Two Wheeler "&amp;TEXT(B1_Disbursement_MIS!E20,"#,##0")&amp;" / "&amp;TEXT(B1_Disbursement_MIS!H20,"#,##0")&amp;" / "&amp;TEXT(B1_Disbursement_MIS!K20,"#,##0")&amp;" / "&amp;TEXT(B1_Disbursement_MIS!N20,"#,##0")</f>
        <v>Two Wheeler 13,330 / 7,980 / 7,011 / 3,622</v>
      </c>
    </row>
    <row r="25" customFormat="false" ht="15" hidden="false" customHeight="false" outlineLevel="0" collapsed="false">
      <c r="A25" s="8" t="n">
        <v>3</v>
      </c>
      <c r="B25" s="24" t="s">
        <v>211</v>
      </c>
      <c r="C25" s="24" t="s">
        <v>216</v>
      </c>
      <c r="D25" s="24" t="s">
        <v>184</v>
      </c>
      <c r="E25" s="24" t="s">
        <v>215</v>
      </c>
      <c r="F25" s="28" t="str">
        <f aca="false">"Two Wheeler "&amp;TEXT(B1_Disbursement_MIS!F20,"0.00%")&amp;" / "&amp;TEXT(B1_Disbursement_MIS!I20,"0.00%")&amp;" / "&amp;TEXT(B1_Disbursement_MIS!L20,"0.00%")&amp;" / "&amp;TEXT(B1_Disbursement_MIS!O20,"0.00%")&amp;"; LAP "&amp;TEXT(B1_Disbursement_MIS!F7,"0.00%")&amp;" / "&amp;TEXT(B1_Disbursement_MIS!I7,"0.00%")&amp;" / "&amp;TEXT(B1_Disbursement_MIS!L7,"0.00%")&amp;" / "&amp;TEXT(B1_Disbursement_MIS!O7,"0.00%")</f>
        <v>Two Wheeler 20.81% / 20.85% / 20.83% / 20.85%; LAP 9.44% / 9.11% / 8.96% / 8.90%</v>
      </c>
    </row>
    <row r="26" customFormat="false" ht="15" hidden="false" customHeight="false" outlineLevel="0" collapsed="false">
      <c r="A26" s="8" t="n">
        <v>4</v>
      </c>
      <c r="B26" s="24" t="s">
        <v>211</v>
      </c>
      <c r="C26" s="24" t="s">
        <v>217</v>
      </c>
      <c r="D26" s="24" t="s">
        <v>218</v>
      </c>
      <c r="E26" s="24" t="s">
        <v>219</v>
      </c>
      <c r="F26" s="28" t="str">
        <f aca="false">"GT D "&amp;TEXT(B1_Disbursement_MIS!D28,"#,##0.00;-#,##0.00;0.00")&amp;" / "&amp;TEXT(B1_Disbursement_MIS!G28,"#,##0.00;-#,##0.00;0.00")&amp;" / "&amp;TEXT(B1_Disbursement_MIS!J28,"#,##0.00;-#,##0.00;0.00")&amp;" / "&amp;TEXT(B1_Disbursement_MIS!M28,"#,##0.00;-#,##0.00;0.00")&amp;"; N "&amp;TEXT(B1_Disbursement_MIS!E28,"#,##0")&amp;" / "&amp;TEXT(B1_Disbursement_MIS!H28,"#,##0")&amp;" / "&amp;TEXT(B1_Disbursement_MIS!K28,"#,##0")&amp;" / "&amp;TEXT(B1_Disbursement_MIS!N28,"#,##0")</f>
        <v>GT D 3,738.17 / 3,336.22 / 2,551.52 / 1,110.20; N 40,960 / 32,917 / 28,161 / 12,714</v>
      </c>
    </row>
    <row r="27" customFormat="false" ht="15" hidden="false" customHeight="false" outlineLevel="0" collapsed="false">
      <c r="A27" s="8" t="n">
        <v>5</v>
      </c>
      <c r="B27" s="24" t="s">
        <v>220</v>
      </c>
      <c r="C27" s="24" t="s">
        <v>221</v>
      </c>
      <c r="D27" s="24" t="s">
        <v>222</v>
      </c>
      <c r="E27" s="24" t="s">
        <v>223</v>
      </c>
      <c r="F27" s="28" t="str">
        <f aca="false">TEXT(B1_Disbursement_MIS!Z12,"#,##0.00;-#,##0.00;0.00")&amp;" / "&amp;TEXT(B1_Disbursement_MIS!Z18,"#,##0.00;-#,##0.00;0.00")&amp;" / "&amp;TEXT(B1_Disbursement_MIS!Z23,"#,##0.00;-#,##0.00;0.00")&amp;" / "&amp;TEXT(B1_Disbursement_MIS!Z27,"#,##0.00;-#,##0.00;0.00")&amp;" / "&amp;TEXT(B1_Disbursement_MIS!Z28,"#,##0.00;-#,##0.00;0.00")</f>
        <v>0.00 / 0.00 / 0.01 / 0.00 / 0.00</v>
      </c>
    </row>
    <row r="28" customFormat="false" ht="23.85" hidden="false" customHeight="false" outlineLevel="0" collapsed="false">
      <c r="A28" s="8" t="n">
        <v>6</v>
      </c>
      <c r="B28" s="24" t="s">
        <v>220</v>
      </c>
      <c r="C28" s="24" t="s">
        <v>224</v>
      </c>
      <c r="D28" s="24" t="s">
        <v>225</v>
      </c>
      <c r="E28" s="24" t="s">
        <v>223</v>
      </c>
      <c r="F28" s="28" t="str">
        <f aca="false">TEXT(B1_Disbursement_MIS!AA12,"+0.0"" pp"";-0.0"" pp"";0.0"" pp""")&amp;" / "&amp;TEXT(B1_Disbursement_MIS!AA18,"+0.0"" pp"";-0.0"" pp"";0.0"" pp""")&amp;" / "&amp;TEXT(B1_Disbursement_MIS!AA23,"+0.0"" pp"";-0.0"" pp"";0.0"" pp""")&amp;" / "&amp;TEXT(B1_Disbursement_MIS!AA27,"+0.0"" pp"";-0.0"" pp"";0.0"" pp""")&amp;" / "&amp;TEXT(B1_Disbursement_MIS!AA28,"+0.0"" pp"";-0.0"" pp"";0.0"" pp""")</f>
        <v>-0.0 pp / -0.0 pp / -0.0 pp / +0.0 pp / -0.0 pp</v>
      </c>
    </row>
    <row r="29" customFormat="false" ht="23.85" hidden="false" customHeight="false" outlineLevel="0" collapsed="false">
      <c r="A29" s="8" t="n">
        <v>7</v>
      </c>
      <c r="B29" s="24" t="s">
        <v>226</v>
      </c>
      <c r="C29" s="24" t="s">
        <v>227</v>
      </c>
      <c r="D29" s="24" t="s">
        <v>228</v>
      </c>
      <c r="E29" s="24" t="s">
        <v>229</v>
      </c>
      <c r="F29" s="28" t="str">
        <f aca="false">"Q3 "&amp;TEXT(B1_Disbursement_MIS!AB12,"0.00%")&amp;" / "&amp;TEXT(B1_Disbursement_MIS!AB18,"0.00%")&amp;" / "&amp;TEXT(B1_Disbursement_MIS!AB23,"0.00%")&amp;" / "&amp;TEXT(B1_Disbursement_MIS!AB27,"0.00%")&amp;" / "&amp;TEXT(B1_Disbursement_MIS!AB28,"0.00%")&amp;"; Q1 "&amp;TEXT(B1_Disbursement_MIS!AC12,"0.00%")&amp;" / "&amp;TEXT(B1_Disbursement_MIS!AC18,"0.00%")&amp;" / "&amp;TEXT(B1_Disbursement_MIS!AC23,"0.00%")&amp;" / "&amp;TEXT(B1_Disbursement_MIS!AC27,"0.00%")&amp;" / "&amp;TEXT(B1_Disbursement_MIS!AC28,"0.00%")</f>
        <v>Q3 9.22% / 9.79% / 16.47% / 11.61% / 11.08%; Q1 9.24% / 9.80% / 16.47% / 11.58% / 11.18%</v>
      </c>
    </row>
    <row r="30" customFormat="false" ht="15" hidden="false" customHeight="false" outlineLevel="0" collapsed="false">
      <c r="A30" s="8" t="n">
        <v>8</v>
      </c>
      <c r="B30" s="24" t="s">
        <v>226</v>
      </c>
      <c r="C30" s="24" t="s">
        <v>230</v>
      </c>
      <c r="D30" s="24" t="s">
        <v>231</v>
      </c>
      <c r="E30" s="24" t="s">
        <v>223</v>
      </c>
      <c r="F30" s="28" t="str">
        <f aca="false">TEXT((B1_Disbursement_MIS!F12-B1_Disbursement_MIS!AB12)*100,"+0.0"" pp"";-0.0"" pp"";0.0"" pp""")&amp;" / "&amp;TEXT((B1_Disbursement_MIS!F18-B1_Disbursement_MIS!AB18)*100,"+0.0"" pp"";-0.0"" pp"";0.0"" pp""")&amp;" / "&amp;TEXT((B1_Disbursement_MIS!F23-B1_Disbursement_MIS!AB23)*100,"+0.0"" pp"";-0.0"" pp"";0.0"" pp""")&amp;" / "&amp;TEXT((B1_Disbursement_MIS!F27-B1_Disbursement_MIS!AB27)*100,"+0.0"" pp"";-0.0"" pp"";0.0"" pp""")&amp;" / "&amp;TEXT((B1_Disbursement_MIS!F28-B1_Disbursement_MIS!AB28)*100,"+0.0"" pp"";-0.0"" pp"";0.0"" pp""")</f>
        <v>+1.4 pp / +0.2 pp / -1.6 pp / +0.9 pp / +0.7 pp</v>
      </c>
    </row>
    <row r="31" customFormat="false" ht="15" hidden="false" customHeight="false" outlineLevel="0" collapsed="false">
      <c r="A31" s="8" t="n">
        <v>9</v>
      </c>
      <c r="B31" s="24" t="s">
        <v>226</v>
      </c>
      <c r="C31" s="24" t="s">
        <v>232</v>
      </c>
      <c r="D31" s="24" t="s">
        <v>233</v>
      </c>
      <c r="E31" s="24" t="s">
        <v>234</v>
      </c>
      <c r="F31" s="28" t="str">
        <f aca="false">TEXT(B1_Disbursement_MIS!F28,"0.00%")&amp;" / "&amp;TEXT(B1_Disbursement_MIS!I28,"0.00%")&amp;" / "&amp;TEXT(B1_Disbursement_MIS!L28,"0.00%")&amp;" / "&amp;TEXT(B1_Disbursement_MIS!O28,"0.00%")</f>
        <v>11.76% / 12.07% / 11.96% / 11.98%</v>
      </c>
    </row>
    <row r="32" customFormat="false" ht="15" hidden="false" customHeight="false" outlineLevel="0" collapsed="false">
      <c r="A32" s="8" t="n">
        <v>10</v>
      </c>
      <c r="B32" s="24" t="s">
        <v>226</v>
      </c>
      <c r="C32" s="24" t="s">
        <v>235</v>
      </c>
      <c r="D32" s="24" t="s">
        <v>236</v>
      </c>
      <c r="E32" s="24" t="s">
        <v>237</v>
      </c>
      <c r="F32" s="28" t="str">
        <f aca="false">"GT "&amp;TEXT(B1_Disbursement_MIS!Y28,"0")&amp;" bp; LAP "&amp;TEXT(B1_Disbursement_MIS!Y7,"0")&amp;"; AHL "&amp;TEXT(B1_Disbursement_MIS!Y14,"0")&amp;"; RVF "&amp;TEXT(B1_Disbursement_MIS!Y22,"0")</f>
        <v>GT 20 bp; LAP -48; AHL -18; RVF 23</v>
      </c>
    </row>
    <row r="33" customFormat="false" ht="15" hidden="false" customHeight="false" outlineLevel="0" collapsed="false">
      <c r="A33" s="8" t="n">
        <v>11</v>
      </c>
      <c r="B33" s="24" t="s">
        <v>226</v>
      </c>
      <c r="C33" s="24" t="s">
        <v>238</v>
      </c>
      <c r="D33" s="24" t="s">
        <v>239</v>
      </c>
      <c r="E33" s="24" t="s">
        <v>240</v>
      </c>
      <c r="F33" s="28" t="str">
        <f aca="false">"Two Wheeler "&amp;TEXT((B1_Disbursement_MIS!L20-B1_Disbursement_MIS!L28)*100,"+0.0"" pp"";-0.0"" pp"";0.0"" pp""")&amp;"; LAP "&amp;TEXT((B1_Disbursement_MIS!L7-B1_Disbursement_MIS!L28)*100,"+0.0"" pp"";-0.0"" pp"";0.0"" pp""")</f>
        <v>Two Wheeler +8.9 pp; LAP -3.0 pp</v>
      </c>
    </row>
    <row r="34" customFormat="false" ht="23.85" hidden="false" customHeight="false" outlineLevel="0" collapsed="false">
      <c r="A34" s="8" t="n">
        <v>12</v>
      </c>
      <c r="B34" s="24" t="s">
        <v>226</v>
      </c>
      <c r="C34" s="24" t="s">
        <v>241</v>
      </c>
      <c r="D34" s="24" t="s">
        <v>242</v>
      </c>
      <c r="E34" s="24" t="s">
        <v>243</v>
      </c>
      <c r="F34" s="28" t="str">
        <f aca="false">TEXT(B1_Disbursement_MIS!D28*B1_Disbursement_MIS!AB28,"#,##0.00;-#,##0.00;0.00")&amp;" / "&amp;TEXT(B1_Disbursement_MIS!J28*B1_Disbursement_MIS!AC28,"#,##0.00;-#,##0.00;0.00")&amp;" (Q3 / Q1, ₹ Cr-yield)"</f>
        <v>414.01 / 285.21 (Q3 / Q1, ₹ Cr-yield)</v>
      </c>
    </row>
    <row r="35" customFormat="false" ht="23.85" hidden="false" customHeight="false" outlineLevel="0" collapsed="false">
      <c r="A35" s="8" t="n">
        <v>13</v>
      </c>
      <c r="B35" s="24" t="s">
        <v>244</v>
      </c>
      <c r="C35" s="24" t="s">
        <v>245</v>
      </c>
      <c r="D35" s="24" t="s">
        <v>246</v>
      </c>
      <c r="E35" s="24" t="s">
        <v>215</v>
      </c>
      <c r="F35" s="28" t="str">
        <f aca="false">"LAP "&amp;TEXT(B1_Disbursement_MIS!P7,"#,##0.00")&amp;" / "&amp;TEXT(B1_Disbursement_MIS!Q7,"#,##0.00")&amp;" / "&amp;TEXT(B1_Disbursement_MIS!R7,"#,##0.00")&amp;" / "&amp;TEXT(B1_Disbursement_MIS!S7,"#,##0.00")&amp;"; AHL "&amp;TEXT(B1_Disbursement_MIS!P14,"#,##0.00")&amp;" / "&amp;TEXT(B1_Disbursement_MIS!Q14,"#,##0.00")&amp;" / "&amp;TEXT(B1_Disbursement_MIS!R14,"#,##0.00")&amp;" / "&amp;TEXT(B1_Disbursement_MIS!S14,"#,##0.00")&amp;"; Gold "&amp;TEXT(B1_Disbursement_MIS!P26,"#,##0.00")&amp;" / "&amp;TEXT(B1_Disbursement_MIS!Q26,"#,##0.00")&amp;" / "&amp;TEXT(B1_Disbursement_MIS!R26,"#,##0.00")&amp;" / "&amp;TEXT(B1_Disbursement_MIS!S26,"#,##0.00")</f>
        <v>LAP 199.65 / 223.52 / 180.21 / 158.62; AHL 14.43 / 15.11 / 12.71 / 11.64; Gold 5.53 / 6.64 / 5.36 / 4.28</v>
      </c>
    </row>
    <row r="36" customFormat="false" ht="15" hidden="false" customHeight="false" outlineLevel="0" collapsed="false">
      <c r="A36" s="8" t="n">
        <v>14</v>
      </c>
      <c r="B36" s="24" t="s">
        <v>244</v>
      </c>
      <c r="C36" s="24" t="s">
        <v>247</v>
      </c>
      <c r="D36" s="24" t="s">
        <v>248</v>
      </c>
      <c r="E36" s="24" t="s">
        <v>219</v>
      </c>
      <c r="F36" s="28" t="str">
        <f aca="false">"GT "&amp;TEXT(B1_Disbursement_MIS!P28,"#,##0.00")&amp;" / "&amp;TEXT(B1_Disbursement_MIS!Q28,"#,##0.00")&amp;" / "&amp;TEXT(B1_Disbursement_MIS!R28,"#,##0.00")&amp;" / "&amp;TEXT(B1_Disbursement_MIS!S28,"#,##0.00")&amp;"; Wheels "&amp;TEXT(B1_Disbursement_MIS!P23,"#,##0.00")&amp;" / "&amp;TEXT(B1_Disbursement_MIS!Q23,"#,##0.00")&amp;" / "&amp;TEXT(B1_Disbursement_MIS!R23,"#,##0.00")&amp;" / "&amp;TEXT(B1_Disbursement_MIS!S23,"#,##0.00")</f>
        <v>GT 9.13 / 10.14 / 9.06 / 8.73; Wheels 2.71 / 2.80 / 3.04 / 2.66</v>
      </c>
    </row>
    <row r="37" customFormat="false" ht="15" hidden="false" customHeight="false" outlineLevel="0" collapsed="false">
      <c r="A37" s="8" t="n">
        <v>15</v>
      </c>
      <c r="B37" s="24" t="s">
        <v>244</v>
      </c>
      <c r="C37" s="24" t="s">
        <v>249</v>
      </c>
      <c r="D37" s="24" t="s">
        <v>250</v>
      </c>
      <c r="E37" s="24" t="s">
        <v>237</v>
      </c>
      <c r="F37" s="28" t="str">
        <f aca="false">"GT "&amp;TEXT(B1_Disbursement_MIS!R28/B1_Disbursement_MIS!P28-1,"+0.0%;-0.0%;0.0%")&amp;"; LAP "&amp;TEXT(B1_Disbursement_MIS!R7/B1_Disbursement_MIS!P7-1,"+0.0%;-0.0%;0.0%")</f>
        <v>GT -0.7%; LAP -9.7%</v>
      </c>
    </row>
    <row r="38" customFormat="false" ht="15" hidden="false" customHeight="false" outlineLevel="0" collapsed="false">
      <c r="A38" s="8" t="n">
        <v>16</v>
      </c>
      <c r="B38" s="24" t="s">
        <v>251</v>
      </c>
      <c r="C38" s="24" t="s">
        <v>252</v>
      </c>
      <c r="D38" s="24" t="s">
        <v>253</v>
      </c>
      <c r="E38" s="24" t="s">
        <v>237</v>
      </c>
      <c r="F38" s="28" t="str">
        <f aca="false">"GT "&amp;TEXT(B1_Disbursement_MIS!T28,"+0.0%;-0.0%;0.0%")&amp;" / "&amp;TEXT(B1_Disbursement_MIS!U28,"+0.0%;-0.0%;0.0%")&amp;"; LAP cat "&amp;TEXT(B1_Disbursement_MIS!T12,"+0.0%;-0.0%;0.0%")&amp;" / "&amp;TEXT(B1_Disbursement_MIS!U12,"+0.0%;-0.0%;0.0%")&amp;"; Gold "&amp;TEXT(B1_Disbursement_MIS!T26,"+0.0%;-0.0%;0.0%")&amp;" / "&amp;TEXT(B1_Disbursement_MIS!U26,"+0.0%;-0.0%;0.0%")</f>
        <v>GT -10.8% / -23.5%; LAP cat -14.7% / -26.4%; Gold +15.5% / -47.6%</v>
      </c>
    </row>
    <row r="39" customFormat="false" ht="15" hidden="false" customHeight="false" outlineLevel="0" collapsed="false">
      <c r="A39" s="8" t="n">
        <v>17</v>
      </c>
      <c r="B39" s="24" t="s">
        <v>251</v>
      </c>
      <c r="C39" s="24" t="s">
        <v>254</v>
      </c>
      <c r="D39" s="24" t="s">
        <v>255</v>
      </c>
      <c r="E39" s="24" t="s">
        <v>237</v>
      </c>
      <c r="F39" s="28" t="str">
        <f aca="false">"GT value "&amp;TEXT(B1_Disbursement_MIS!J28/B1_Disbursement_MIS!D28-1,"+0.0%;-0.0%;0.0%")&amp;"; count "&amp;TEXT(B1_Disbursement_MIS!K28/B1_Disbursement_MIS!E28-1,"+0.0%;-0.0%;0.0%")</f>
        <v>GT value -31.7%; count -31.2%</v>
      </c>
    </row>
    <row r="40" customFormat="false" ht="15" hidden="false" customHeight="false" outlineLevel="0" collapsed="false">
      <c r="A40" s="8" t="n">
        <v>18</v>
      </c>
      <c r="B40" s="24" t="s">
        <v>251</v>
      </c>
      <c r="C40" s="24" t="s">
        <v>256</v>
      </c>
      <c r="D40" s="24" t="s">
        <v>257</v>
      </c>
      <c r="E40" s="24" t="s">
        <v>258</v>
      </c>
      <c r="F40" s="28" t="str">
        <f aca="false">TEXT((B1_Disbursement_MIS!G12-B1_Disbursement_MIS!G11)/(B1_Disbursement_MIS!D12-B1_Disbursement_MIS!D11)-1,"+0.0%;-0.0%;0.0%")&amp;" / "&amp;TEXT((B1_Disbursement_MIS!J12-B1_Disbursement_MIS!J11)/(B1_Disbursement_MIS!G12-B1_Disbursement_MIS!G11)-1,"+0.0%;-0.0%;0.0%")</f>
        <v>+22.4% / -28.7%</v>
      </c>
    </row>
    <row r="41" customFormat="false" ht="15" hidden="false" customHeight="false" outlineLevel="0" collapsed="false">
      <c r="A41" s="8" t="n">
        <v>19</v>
      </c>
      <c r="B41" s="24" t="s">
        <v>259</v>
      </c>
      <c r="C41" s="24" t="s">
        <v>260</v>
      </c>
      <c r="D41" s="24" t="s">
        <v>192</v>
      </c>
      <c r="E41" s="24" t="s">
        <v>237</v>
      </c>
      <c r="F41" s="28" t="str">
        <f aca="false">"GT "&amp;TEXT(B1_Disbursement_MIS!V28,"#,##0.00;-#,##0.00;0.00")&amp;"; LAP "&amp;TEXT(B1_Disbursement_MIS!V12,"#,##0.00;-#,##0.00;0.00")&amp;"; Home "&amp;TEXT(B1_Disbursement_MIS!V18,"#,##0.00;-#,##0.00;0.00")&amp;"; Wheels "&amp;TEXT(B1_Disbursement_MIS!V23,"#,##0.00;-#,##0.00;0.00")&amp;"; Others "&amp;TEXT(B1_Disbursement_MIS!V27,"#,##0.00;-#,##0.00;0.00")</f>
        <v>GT 2,084.46; LAP 1,007.51; Home 423.26; Wheels 361.37; Others 292.30</v>
      </c>
    </row>
    <row r="42" customFormat="false" ht="15" hidden="false" customHeight="false" outlineLevel="0" collapsed="false">
      <c r="A42" s="8" t="n">
        <v>20</v>
      </c>
      <c r="B42" s="24" t="s">
        <v>259</v>
      </c>
      <c r="C42" s="24" t="s">
        <v>58</v>
      </c>
      <c r="D42" s="24" t="s">
        <v>261</v>
      </c>
      <c r="E42" s="24" t="s">
        <v>237</v>
      </c>
      <c r="F42" s="28" t="str">
        <f aca="false">"GT "&amp;TEXT(B1_Disbursement_MIS!W28,"+0.0%;-0.0%;0.0%")&amp;"; LAP "&amp;TEXT(B1_Disbursement_MIS!W12,"+0.0%;-0.0%;0.0%")&amp;"; Home "&amp;TEXT(B1_Disbursement_MIS!W18,"+0.0%;-0.0%;0.0%")&amp;"; Wheels "&amp;TEXT(B1_Disbursement_MIS!W23,"+0.0%;-0.0%;0.0%")&amp;"; Others "&amp;TEXT(B1_Disbursement_MIS!W27,"+0.0%;-0.0%;0.0%")</f>
        <v>GT -18.3%; LAP -9.6%; Home -19.0%; Wheels -29.7%; Others -27.1%</v>
      </c>
    </row>
    <row r="43" customFormat="false" ht="15" hidden="false" customHeight="false" outlineLevel="0" collapsed="false">
      <c r="A43" s="8" t="n">
        <v>21</v>
      </c>
      <c r="B43" s="24" t="s">
        <v>259</v>
      </c>
      <c r="C43" s="24" t="s">
        <v>262</v>
      </c>
      <c r="D43" s="24" t="s">
        <v>263</v>
      </c>
      <c r="E43" s="24" t="s">
        <v>264</v>
      </c>
      <c r="F43" s="28" t="str">
        <f aca="false">TEXT(B1_Disbursement_MIS!E4/B1_Disbursement_MIS!C4,"0.0%")</f>
        <v>53.3%</v>
      </c>
    </row>
    <row r="44" customFormat="false" ht="23.85" hidden="false" customHeight="false" outlineLevel="0" collapsed="false">
      <c r="A44" s="8" t="n">
        <v>22</v>
      </c>
      <c r="B44" s="24" t="s">
        <v>259</v>
      </c>
      <c r="C44" s="24" t="s">
        <v>265</v>
      </c>
      <c r="D44" s="24" t="s">
        <v>266</v>
      </c>
      <c r="E44" s="24" t="s">
        <v>267</v>
      </c>
      <c r="F44" s="28" t="str">
        <f aca="false">TEXT(AVERAGE(B1_Disbursement_MIS!D28,B1_Disbursement_MIS!G28,B1_Disbursement_MIS!J28),"#,##0.00;-#,##0.00;0.00")</f>
        <v>3,208.64</v>
      </c>
    </row>
    <row r="45" customFormat="false" ht="15" hidden="false" customHeight="false" outlineLevel="0" collapsed="false">
      <c r="A45" s="8" t="n">
        <v>23</v>
      </c>
      <c r="B45" s="24" t="s">
        <v>268</v>
      </c>
      <c r="C45" s="24" t="s">
        <v>269</v>
      </c>
      <c r="D45" s="24" t="s">
        <v>270</v>
      </c>
      <c r="E45" s="24" t="s">
        <v>271</v>
      </c>
      <c r="F45" s="28" t="str">
        <f aca="false">TEXT(B1_Disbursement_MIS!X12,"0.0%")&amp;" / "&amp;TEXT(B1_Disbursement_MIS!X18,"0.0%")&amp;" / "&amp;TEXT(B1_Disbursement_MIS!X23,"0.0%")&amp;" / "&amp;TEXT(B1_Disbursement_MIS!X27,"0.0%")&amp;" (LAP / Home / Wheels / Others)"</f>
        <v>43.7% / 20.5% / 20.1% / 15.7% (LAP / Home / Wheels / Others)</v>
      </c>
    </row>
    <row r="46" customFormat="false" ht="15" hidden="false" customHeight="false" outlineLevel="0" collapsed="false">
      <c r="A46" s="8" t="n">
        <v>24</v>
      </c>
      <c r="B46" s="24" t="s">
        <v>268</v>
      </c>
      <c r="C46" s="24" t="s">
        <v>272</v>
      </c>
      <c r="D46" s="24" t="s">
        <v>273</v>
      </c>
      <c r="E46" s="24" t="s">
        <v>240</v>
      </c>
      <c r="F46" s="28" t="str">
        <f aca="false">"LAP "&amp;TEXT(B1_Disbursement_MIS!X7,"0.0%")&amp;"; RVF "&amp;TEXT(B1_Disbursement_MIS!X22,"0.0%")&amp;"; Gold "&amp;TEXT(B1_Disbursement_MIS!X26,"0.0%")&amp;"; AHL "&amp;TEXT(B1_Disbursement_MIS!X14,"0.0%")</f>
        <v>LAP 37.6%; RVF 17.6%; Gold 15.5%; AHL 10.8%</v>
      </c>
    </row>
    <row r="47" customFormat="false" ht="15" hidden="false" customHeight="false" outlineLevel="0" collapsed="false">
      <c r="A47" s="8" t="n">
        <v>25</v>
      </c>
      <c r="B47" s="24" t="s">
        <v>268</v>
      </c>
      <c r="C47" s="24" t="s">
        <v>274</v>
      </c>
      <c r="D47" s="24" t="s">
        <v>275</v>
      </c>
      <c r="E47" s="24" t="s">
        <v>276</v>
      </c>
      <c r="F47" s="28" t="str">
        <f aca="false">TEXT(B1_Disbursement_MIS!K12/B1_Disbursement_MIS!K28,"0.0%")&amp;" / "&amp;TEXT(B1_Disbursement_MIS!K18/B1_Disbursement_MIS!K28,"0.0%")&amp;" / "&amp;TEXT(B1_Disbursement_MIS!K23/B1_Disbursement_MIS!K28,"0.0%")&amp;" / "&amp;TEXT(B1_Disbursement_MIS!K27/B1_Disbursement_MIS!K28,"0.0%")</f>
        <v>3.4% / 10.2% / 60.1% / 26.4%</v>
      </c>
    </row>
    <row r="48" customFormat="false" ht="15" hidden="false" customHeight="false" outlineLevel="0" collapsed="false">
      <c r="A48" s="8" t="n">
        <v>26</v>
      </c>
      <c r="B48" s="24" t="s">
        <v>268</v>
      </c>
      <c r="C48" s="24" t="s">
        <v>277</v>
      </c>
      <c r="D48" s="24" t="s">
        <v>278</v>
      </c>
      <c r="E48" s="24" t="s">
        <v>276</v>
      </c>
      <c r="F48" s="28" t="str">
        <f aca="false">TEXT((B1_Disbursement_MIS!J12/B1_Disbursement_MIS!J28-B1_Disbursement_MIS!D12/B1_Disbursement_MIS!D28)*100,"+0.0"" pp"";-0.0"" pp"";0.0"" pp""")&amp;" / "&amp;TEXT((B1_Disbursement_MIS!J18/B1_Disbursement_MIS!J28-B1_Disbursement_MIS!D18/B1_Disbursement_MIS!D28)*100,"+0.0"" pp"";-0.0"" pp"";0.0"" pp""")&amp;" / "&amp;TEXT((B1_Disbursement_MIS!J23/B1_Disbursement_MIS!J28-B1_Disbursement_MIS!D23/B1_Disbursement_MIS!D28)*100,"+0.0"" pp"";-0.0"" pp"";0.0"" pp""")&amp;" / "&amp;TEXT((B1_Disbursement_MIS!J27/B1_Disbursement_MIS!J28-B1_Disbursement_MIS!D27/B1_Disbursement_MIS!D28)*100,"+0.0"" pp"";-0.0"" pp"";0.0"" pp""")</f>
        <v>-3.8 pp / +4.2 pp / +1.7 pp / -2.1 pp</v>
      </c>
    </row>
    <row r="49" customFormat="false" ht="15" hidden="false" customHeight="false" outlineLevel="0" collapsed="false">
      <c r="A49" s="8" t="n">
        <v>27</v>
      </c>
      <c r="B49" s="24" t="s">
        <v>279</v>
      </c>
      <c r="C49" s="24" t="s">
        <v>280</v>
      </c>
      <c r="D49" s="24" t="s">
        <v>281</v>
      </c>
      <c r="E49" s="24" t="s">
        <v>240</v>
      </c>
      <c r="F49" s="28" t="str">
        <f aca="false">TEXT((B1_Disbursement_MIS!J7+B1_Disbursement_MIS!J22+B1_Disbursement_MIS!J26)/B1_Disbursement_MIS!J28,"0.0%")</f>
        <v>70.7%</v>
      </c>
    </row>
    <row r="50" customFormat="false" ht="15" hidden="false" customHeight="false" outlineLevel="0" collapsed="false">
      <c r="A50" s="8" t="n">
        <v>28</v>
      </c>
      <c r="B50" s="24" t="s">
        <v>282</v>
      </c>
      <c r="C50" s="24" t="s">
        <v>283</v>
      </c>
      <c r="D50" s="24" t="s">
        <v>284</v>
      </c>
      <c r="E50" s="24" t="s">
        <v>267</v>
      </c>
      <c r="F50" s="28" t="str">
        <f aca="false">TEXT(B1_Disbursement_MIS!M28/B1_Disbursement_MIS!J28,"0.0%")&amp;" of Q1 in 53% of the days"</f>
        <v>43.5% of Q1 in 53% of the days</v>
      </c>
    </row>
    <row r="51" customFormat="false" ht="15" hidden="false" customHeight="false" outlineLevel="0" collapsed="false">
      <c r="A51" s="8" t="n">
        <v>29</v>
      </c>
      <c r="B51" s="24" t="s">
        <v>282</v>
      </c>
      <c r="C51" s="24" t="s">
        <v>285</v>
      </c>
      <c r="D51" s="24" t="s">
        <v>286</v>
      </c>
      <c r="E51" s="24" t="s">
        <v>287</v>
      </c>
      <c r="F51" s="28" t="str">
        <f aca="false">"GT gap "&amp;TEXT(B1_Disbursement_MIS!G56,"#,##0.00;-#,##0.00;0.00")&amp;"; Home gap "&amp;TEXT(B1_Disbursement_MIS!G44,"#,##0.00;-#,##0.00;0.00")&amp;"; Others gap "&amp;TEXT(B1_Disbursement_MIS!G55,"#,##0.00;-#,##0.00;0.00")</f>
        <v>GT gap 925.30; Home gap 60.47; Others gap 864.82</v>
      </c>
    </row>
    <row r="52" customFormat="false" ht="15" hidden="false" customHeight="false" outlineLevel="0" collapsed="false">
      <c r="A52" s="8" t="n">
        <v>30</v>
      </c>
      <c r="B52" s="24" t="s">
        <v>282</v>
      </c>
      <c r="C52" s="24" t="s">
        <v>288</v>
      </c>
      <c r="D52" s="24" t="s">
        <v>289</v>
      </c>
      <c r="E52" s="24" t="s">
        <v>290</v>
      </c>
      <c r="F52" s="28" t="str">
        <f aca="false">TEXT(B1_Disbursement_MIS!D51,"#,##0.00;-#,##0.00;0.00")&amp;" ₹ Cr / "&amp;TEXT(B1_Disbursement_MIS!E51,"#,##0")&amp;" accts @ "&amp;TEXT(B1_Disbursement_MIS!F51,"0.0%")&amp;" — Micro Banking?"</f>
        <v>864.80 ₹ Cr / 139,608 accts @ 25.0% — Micro Banking?</v>
      </c>
    </row>
    <row r="53" customFormat="false" ht="15" hidden="false" customHeight="false" outlineLevel="0" collapsed="false">
      <c r="A53" s="8" t="n">
        <v>31</v>
      </c>
      <c r="B53" s="24" t="s">
        <v>282</v>
      </c>
      <c r="C53" s="24" t="s">
        <v>291</v>
      </c>
      <c r="D53" s="24" t="s">
        <v>292</v>
      </c>
      <c r="E53" s="24" t="s">
        <v>293</v>
      </c>
      <c r="F53" s="24" t="s">
        <v>294</v>
      </c>
    </row>
    <row r="55" customFormat="false" ht="15" hidden="false" customHeight="false" outlineLevel="0" collapsed="false">
      <c r="A55" s="3" t="s">
        <v>2</v>
      </c>
    </row>
  </sheetData>
  <mergeCells count="13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2026-10-09T21:17:22Z</dcterms:created>
  <dc:creator>openpyxl</dc:creator>
  <dc:description/>
  <dc:language>en-US</dc:language>
  <cp:lastModifiedBy/>
  <dcterms:modified xsi:type="dcterms:W3CDTF">2026-10-09T21:17:22Z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