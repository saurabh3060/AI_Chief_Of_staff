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MEB_Periods" sheetId="2" state="visible" r:id="rId4"/>
    <sheet name="B1_Metrics" sheetId="3" state="visible" r:id="rId5"/>
    <sheet name="B2_Balance_Movement" sheetId="4" state="visible" r:id="rId6"/>
    <sheet name="B2_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<sst xmlns="http://schemas.openxmlformats.org/spreadsheetml/2006/main" count="708" uniqueCount="383">
  <si>
    <t xml:space="preserve">RBL Bank — Book Growth Analysis (BBRL liabilities): page-wise metric extraction</t>
  </si>
  <si>
    <t xml:space="preserve">Source: 01_Book_Growth_Analysis.pdf (1 page, 2 data blocks) | ₹ Cr | MEB = month-end balance, MAB = monthly average balance</t>
  </si>
  <si>
    <t xml:space="preserve">⚠ DRAFT ONLY — Requires review and approval by a qualified Alvarez and Marsal professional before use.</t>
  </si>
  <si>
    <t xml:space="preserve">Sheet map</t>
  </si>
  <si>
    <t xml:space="preserve">B1_MEB_Periods</t>
  </si>
  <si>
    <t xml:space="preserve">Block 1 — MEB by product × customer segment for CM, LY, LM, LQ, with printed growth tables and sign checks</t>
  </si>
  <si>
    <t xml:space="preserve">B1_Metrics</t>
  </si>
  <si>
    <t xml:space="preserve">Notation + exhaustive metrics for Block 1</t>
  </si>
  <si>
    <t xml:space="preserve">B2_Balance_Movement</t>
  </si>
  <si>
    <t xml:space="preserve">Block 2 — Balance Movement: MAB by segment × product across CD, PD, CM, LM, LY, LYCM and the &lt; ₹3 Cr / Individual &lt; ₹3 Cr sub-books</t>
  </si>
  <si>
    <t xml:space="preserve">B2_Metrics</t>
  </si>
  <si>
    <t xml:space="preserve">Notation + exhaustive metrics for Block 2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</si>
  <si>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</si>
  <si>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</si>
  <si>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</si>
  <si>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</si>
  <si>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</si>
  <si>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</si>
  <si>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</si>
  <si>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</si>
  <si>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</si>
  <si>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</si>
  <si>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</si>
  <si>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</si>
  <si>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</si>
  <si>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Printed growth % and 'Growth in Allocated Segment' are signed in the PDF (e.g. MASS CA CM vs LY = −49.12%) and tie to recomputed values. 'Growth in Allocated Segment' is the change in segment share, in pp, not a growth rate.</t>
  </si>
  <si>
    <t xml:space="preserve">2</t>
  </si>
  <si>
    <t xml:space="preserve">Filter context: BBB Flag = BBRL, all other filters = All. Report header was not captured; title taken from file name.</t>
  </si>
  <si>
    <t xml:space="preserve">3</t>
  </si>
  <si>
    <t xml:space="preserve">'&lt; 3 Cr' and '&lt; 3 Ind Cr' columns are the sub-book of customers below ₹3 Cr and of individual customers below ₹3 Cr (as printed: 'CM &lt; 3 Cr*'). The &lt; 3 Cr book grew only +8.5% YoY while the ≥ ₹3 Cr remainder grew +114% — growth is large-ticket.</t>
  </si>
  <si>
    <t xml:space="preserve">4</t>
  </si>
  <si>
    <t xml:space="preserve">CD / PD read as current-day / previous-day MAB; CM = current month; LM = last month; LQ = last quarter-end month; LY = last year; LYCM = last-year current-month basis. CM vs LM and CM vs LY diffs on the MAB page tie to LM* and LY* here.</t>
  </si>
  <si>
    <t xml:space="preserve">5</t>
  </si>
  <si>
    <t xml:space="preserve">Cross-page: Balance Movement CD* / CM* grand total (115,448.64) equals the MAB page grand total; Block-1 CM MEB grand total (113,109.81) is a different measure (MEB).</t>
  </si>
  <si>
    <t xml:space="preserve">Confidentiality</t>
  </si>
  <si>
    <t xml:space="preserve">Client-confidential RBL Bank data.</t>
  </si>
  <si>
    <t xml:space="preserve">Block 1 — MEB by product × customer segment (CM, LY, LM, LQ)</t>
  </si>
  <si>
    <t xml:space="preserve">Source: Book Growth Analysis.pdf | ₹ Cr | month-end balances; all actuals | shares recomputed</t>
  </si>
  <si>
    <t xml:space="preserve">CM MEB</t>
  </si>
  <si>
    <t xml:space="preserve">#</t>
  </si>
  <si>
    <t xml:space="preserve">Product</t>
  </si>
  <si>
    <t xml:space="preserve">INSIGNIA</t>
  </si>
  <si>
    <t xml:space="preserve">SIGNATURE</t>
  </si>
  <si>
    <t xml:space="preserve">ASPIRE</t>
  </si>
  <si>
    <t xml:space="preserve">MASS</t>
  </si>
  <si>
    <t xml:space="preserve">Printed total</t>
  </si>
  <si>
    <t xml:space="preserve">Σ segments</t>
  </si>
  <si>
    <t xml:space="preserve">Gap</t>
  </si>
  <si>
    <t xml:space="preserve">Share INSIGNIA</t>
  </si>
  <si>
    <t xml:space="preserve">Share SIGNATURE</t>
  </si>
  <si>
    <t xml:space="preserve">Share ASPIRE</t>
  </si>
  <si>
    <t xml:space="preserve">Share MASS</t>
  </si>
  <si>
    <t xml:space="preserve">Product share of GT</t>
  </si>
  <si>
    <t xml:space="preserve">CA</t>
  </si>
  <si>
    <t xml:space="preserve">SA</t>
  </si>
  <si>
    <t xml:space="preserve">Deposits</t>
  </si>
  <si>
    <t xml:space="preserve">ODFD</t>
  </si>
  <si>
    <t xml:space="preserve">Grand Total (printed)</t>
  </si>
  <si>
    <t xml:space="preserve">Σ products (computed)</t>
  </si>
  <si>
    <t xml:space="preserve">Gap: printed GT − Σ products</t>
  </si>
  <si>
    <t xml:space="preserve">LY MEB</t>
  </si>
  <si>
    <t xml:space="preserve">LM MEB</t>
  </si>
  <si>
    <t xml:space="preserve">LQ MEB</t>
  </si>
  <si>
    <t xml:space="preserve">CM vs LY: computed growth and share shift vs printed (signed as printed)</t>
  </si>
  <si>
    <t xml:space="preserve">g INSIGNIA</t>
  </si>
  <si>
    <t xml:space="preserve">g SIGNATURE</t>
  </si>
  <si>
    <t xml:space="preserve">g ASPIRE</t>
  </si>
  <si>
    <t xml:space="preserve">g MASS</t>
  </si>
  <si>
    <t xml:space="preserve">g Total</t>
  </si>
  <si>
    <t xml:space="preserve">Δshare INSIGNIA (pp)</t>
  </si>
  <si>
    <t xml:space="preserve">Δshare SIGNATURE (pp)</t>
  </si>
  <si>
    <t xml:space="preserve">Δshare ASPIRE (pp)</t>
  </si>
  <si>
    <t xml:space="preserve">Δshare MASS (pp)</t>
  </si>
  <si>
    <t xml:space="preserve">Printed g INSIGNIA</t>
  </si>
  <si>
    <t xml:space="preserve">Printed g SIGNATURE</t>
  </si>
  <si>
    <t xml:space="preserve">Printed g ASPIRE</t>
  </si>
  <si>
    <t xml:space="preserve">Printed g MASS</t>
  </si>
  <si>
    <t xml:space="preserve">Printed g Total</t>
  </si>
  <si>
    <t xml:space="preserve">Printed Δ INSIGNIA</t>
  </si>
  <si>
    <t xml:space="preserve">Printed Δ SIGNATURE</t>
  </si>
  <si>
    <t xml:space="preserve">Printed Δ ASPIRE</t>
  </si>
  <si>
    <t xml:space="preserve">Printed Δ MASS</t>
  </si>
  <si>
    <t xml:space="preserve">Max |computed − printed| (growth; shift ÷ 100)</t>
  </si>
  <si>
    <t xml:space="preserve">Sign mismatches computed vs printed</t>
  </si>
  <si>
    <t xml:space="preserve">Grand Total</t>
  </si>
  <si>
    <t xml:space="preserve">CM vs LM: computed growth and share shift vs printed (signed as printed)</t>
  </si>
  <si>
    <t xml:space="preserve">CM vs LQ: computed growth and share shift vs printed (signed as printed)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</si>
  <si>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</si>
  <si>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</si>
  <si>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</si>
  <si>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</si>
  <si>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</si>
  <si>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Printed growth and share-shift tables are signed and every cell agrees in sign with the recomputed value (sign mismatches across 135 cells):</t>
  </si>
  <si>
    <t xml:space="preserve">count</t>
  </si>
  <si>
    <t xml:space="preserve">Printed growth can be used directly; 10 of 16 segment × product cells declined YoY (e.g. MASS CA −49.1%, CA total −29.9%).</t>
  </si>
  <si>
    <t xml:space="preserve">'Growth in Allocated Segment' is the change in segment share (pp), not a growth rate — e.g. INSIGNIA Grand Total share 60.14% − 46.83% = 13.31 pp.</t>
  </si>
  <si>
    <t xml:space="preserve">pp</t>
  </si>
  <si>
    <t xml:space="preserve">Relabel as 'share shift' in any downstream metric.</t>
  </si>
  <si>
    <t xml:space="preserve">Printed % values tie to recomputed values within rounding (max |computed − printed|); the only gaps above 0.1 pp are ODFD cells, whose balances are under ₹15 Cr:</t>
  </si>
  <si>
    <t xml:space="preserve">%</t>
  </si>
  <si>
    <t xml:space="preserve">Rounding of small balances only.</t>
  </si>
  <si>
    <t xml:space="preserve">Σ products vs printed Grand Total (max gap across all periods and segments):</t>
  </si>
  <si>
    <t xml:space="preserve">₹ Cr</t>
  </si>
  <si>
    <t xml:space="preserve">Table rolls up.</t>
  </si>
  <si>
    <t xml:space="preserve">INSIGNIA deposits more than doubled YoY (+₹27,914 Cr) while MASS deposits fell — total book growth is almost entirely INSIGNIA TD.</t>
  </si>
  <si>
    <t xml:space="preserve">Concentration in one segment / product; check if a few large depositors drive it.</t>
  </si>
  <si>
    <t xml:space="preserve">CM MEB grand total (113,110) differs from the Balance Movement CM MAB grand total (115,449): MEB vs MAB basis.</t>
  </si>
  <si>
    <t xml:space="preserve">State MEB vs MAB basis on every number.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</si>
  <si>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</si>
  <si>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</si>
  <si>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</si>
  <si>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</si>
  <si>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</si>
  <si>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</si>
  <si>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</si>
  <si>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</si>
  <si>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INSIGNIA deposits MEB in the current month?</t>
  </si>
  <si>
    <t xml:space="preserve">Lookup</t>
  </si>
  <si>
    <t xml:space="preserve">What is the MASS share of total CM MEB?</t>
  </si>
  <si>
    <t xml:space="preserve">MASS GT / GT</t>
  </si>
  <si>
    <t xml:space="preserve">What was last year's grand total MEB?</t>
  </si>
  <si>
    <t xml:space="preserve">Medium</t>
  </si>
  <si>
    <t xml:space="preserve">What is YoY growth of the total book?</t>
  </si>
  <si>
    <t xml:space="preserve">CM GT / LY GT − 1</t>
  </si>
  <si>
    <t xml:space="preserve">How did INSIGNIA's share of the book move YoY (pp)?</t>
  </si>
  <si>
    <t xml:space="preserve">Share CM − share LY</t>
  </si>
  <si>
    <t xml:space="preserve">Matches printed 13.31 'Growth in Allocated Segment'.</t>
  </si>
  <si>
    <t xml:space="preserve">What is the MoM growth of CA?</t>
  </si>
  <si>
    <t xml:space="preserve">CM CA / LM CA − 1</t>
  </si>
  <si>
    <t xml:space="preserve">What share of total CM MEB is deposits (TD)?</t>
  </si>
  <si>
    <t xml:space="preserve">Deposits GT / GT</t>
  </si>
  <si>
    <t xml:space="preserve">High</t>
  </si>
  <si>
    <t xml:space="preserve">Recompute MASS CA YoY growth and check it against the printed −49.12%.</t>
  </si>
  <si>
    <t xml:space="preserve">CM MASS CA / LY MASS CA − 1</t>
  </si>
  <si>
    <t xml:space="preserve">CA in the MASS segment has halved in a year — the sharpest decline on the page.</t>
  </si>
  <si>
    <t xml:space="preserve">How much of the YoY grand-total growth (₹ Cr) came from INSIGNIA deposits?</t>
  </si>
  <si>
    <t xml:space="preserve">ΔINSIGNIA Deposits / ΔGT</t>
  </si>
  <si>
    <t xml:space="preserve">More than 100% → all other cells net declined.</t>
  </si>
  <si>
    <t xml:space="preserve">What is YoY growth of the book excluding deposits (CASA + ODFD)?</t>
  </si>
  <si>
    <t xml:space="preserve">(GT − Dep) CM / (GT − Dep) LY − 1</t>
  </si>
  <si>
    <t xml:space="preserve">CASA is shrinking while TD doubles → cost of funds rising.</t>
  </si>
  <si>
    <t xml:space="preserve">What this page cannot support (feeds the data request)</t>
  </si>
  <si>
    <t xml:space="preserve">Not derivable: cost of funds / interest rates by segment, customer counts and average balance per customer, number of large depositors behind the INSIGNIA TD jump, maturity profile of the TD book, intra-month volatility (MEB only here), RM / branch split, and the definition and direction of the '3 Cr' filters.</t>
  </si>
  <si>
    <t xml:space="preserve">Block 1 — MEB by product × segment: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</si>
  <si>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</si>
  <si>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</si>
  <si>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</si>
  <si>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</si>
  <si>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MEB</t>
  </si>
  <si>
    <t xml:space="preserve">Month-end balance, ₹ Cr</t>
  </si>
  <si>
    <t xml:space="preserve">B(p, s, t)</t>
  </si>
  <si>
    <t xml:space="preserve">MEB of product p (CA, SA, Deposits, ODFD) in segment s (INSIGNIA, SIGNATURE, ASPIRE, MASS) at period t</t>
  </si>
  <si>
    <t xml:space="preserve">t</t>
  </si>
  <si>
    <t xml:space="preserve">CM = current month; LM = last month; LQ = last quarter-end month; LY = same month last year</t>
  </si>
  <si>
    <t xml:space="preserve">T(p,t) / T(s,t)</t>
  </si>
  <si>
    <t xml:space="preserve">Product total across segments / segment total across products</t>
  </si>
  <si>
    <t xml:space="preserve">GT(t)</t>
  </si>
  <si>
    <t xml:space="preserve">Grand Total MEB</t>
  </si>
  <si>
    <t xml:space="preserve">sh(s|p,t)</t>
  </si>
  <si>
    <t xml:space="preserve">Segment share within product = B(p,s,t) ÷ T(p,t)</t>
  </si>
  <si>
    <t xml:space="preserve">g(x)</t>
  </si>
  <si>
    <t xml:space="preserve">Growth = x(CM) ÷ x(t) − 1</t>
  </si>
  <si>
    <t xml:space="preserve">Δsh</t>
  </si>
  <si>
    <t xml:space="preserve">Share shift in pp = (sh(CM) − sh(t)) × 100 — this is what the page calls 'Growth in Allocated Segment'</t>
  </si>
  <si>
    <t xml:space="preserve">CASA</t>
  </si>
  <si>
    <t xml:space="preserve">CA + SA</t>
  </si>
  <si>
    <t xml:space="preserve">±</t>
  </si>
  <si>
    <t xml:space="preserve">Printed values are signed; computed values are compared sign-for-sign</t>
  </si>
  <si>
    <t xml:space="preserve">Values are ₹ Cr month-end balances; growth in %, share shifts in pp; all periods actual.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</si>
  <si>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</si>
  <si>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</si>
  <si>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</si>
  <si>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</si>
  <si>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</si>
  <si>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</si>
  <si>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</si>
  <si>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Product × segment MEB</t>
  </si>
  <si>
    <t xml:space="preserve">B(p,s,t)</t>
  </si>
  <si>
    <t xml:space="preserve">4 products × 4 segments × 4 periods (64 cells)</t>
  </si>
  <si>
    <t xml:space="preserve">Product totals</t>
  </si>
  <si>
    <t xml:space="preserve">T(p,t) as printed</t>
  </si>
  <si>
    <t xml:space="preserve">4 × 4</t>
  </si>
  <si>
    <t xml:space="preserve">Segment totals</t>
  </si>
  <si>
    <t xml:space="preserve">T(s,t) as printed</t>
  </si>
  <si>
    <t xml:space="preserve">4 periods</t>
  </si>
  <si>
    <t xml:space="preserve">Roll-up check</t>
  </si>
  <si>
    <t xml:space="preserve">Products to Grand Total</t>
  </si>
  <si>
    <t xml:space="preserve">GT(t) − Σp T(p,t)</t>
  </si>
  <si>
    <t xml:space="preserve">4 periods × 5 columns</t>
  </si>
  <si>
    <t xml:space="preserve">Segments to product total</t>
  </si>
  <si>
    <t xml:space="preserve">T(p,t) − Σs B(p,s,t)</t>
  </si>
  <si>
    <t xml:space="preserve">20 rows</t>
  </si>
  <si>
    <t xml:space="preserve">Mix &amp; share</t>
  </si>
  <si>
    <t xml:space="preserve">Segment share within product</t>
  </si>
  <si>
    <t xml:space="preserve">sh(s|p,CM)</t>
  </si>
  <si>
    <t xml:space="preserve">4 products + GT × 4 segments × 4 periods</t>
  </si>
  <si>
    <t xml:space="preserve">Segment share of Grand Total</t>
  </si>
  <si>
    <t xml:space="preserve">T(s,CM) ÷ GT(CM)</t>
  </si>
  <si>
    <t xml:space="preserve">4 segments × 4 periods</t>
  </si>
  <si>
    <t xml:space="preserve">Product share of Grand Total</t>
  </si>
  <si>
    <t xml:space="preserve">T(p,t) ÷ GT(t)</t>
  </si>
  <si>
    <t xml:space="preserve">4 products × 4 periods</t>
  </si>
  <si>
    <t xml:space="preserve">CASA share of book</t>
  </si>
  <si>
    <t xml:space="preserve">(T(CA) + T(SA)) ÷ GT</t>
  </si>
  <si>
    <t xml:space="preserve">Share shift ('Growth in Allocated Segment')</t>
  </si>
  <si>
    <t xml:space="preserve">Δsh = (sh(CM) − sh(t)) × 100</t>
  </si>
  <si>
    <t xml:space="preserve">5 rows × 4 segments × 3 comparisons</t>
  </si>
  <si>
    <t xml:space="preserve">Growth &amp; momentum</t>
  </si>
  <si>
    <t xml:space="preserve">YoY growth by segment × product</t>
  </si>
  <si>
    <t xml:space="preserve">g = B(CM) ÷ B(LY) − 1</t>
  </si>
  <si>
    <t xml:space="preserve">5 × 5 cells</t>
  </si>
  <si>
    <t xml:space="preserve">YoY growth — totals</t>
  </si>
  <si>
    <t xml:space="preserve">g(T(s)) and g(GT)</t>
  </si>
  <si>
    <t xml:space="preserve">4 segments + GT</t>
  </si>
  <si>
    <t xml:space="preserve">MoM growth</t>
  </si>
  <si>
    <t xml:space="preserve">g = B(CM) ÷ B(LM) − 1</t>
  </si>
  <si>
    <t xml:space="preserve">5 × 5</t>
  </si>
  <si>
    <t xml:space="preserve">QoQ growth</t>
  </si>
  <si>
    <t xml:space="preserve">g = B(CM) ÷ B(LQ) − 1</t>
  </si>
  <si>
    <t xml:space="preserve">YoY growth ex deposits (CASA + ODFD)</t>
  </si>
  <si>
    <t xml:space="preserve">(GT − T(Dep))(CM) ÷ (GT − T(Dep))(LY) − 1</t>
  </si>
  <si>
    <t xml:space="preserve">Window</t>
  </si>
  <si>
    <t xml:space="preserve">YoY growth ex INSIGNIA</t>
  </si>
  <si>
    <t xml:space="preserve">(GT − T(INSIGNIA))(CM) ÷ same (LY) − 1</t>
  </si>
  <si>
    <t xml:space="preserve">Absolute change</t>
  </si>
  <si>
    <t xml:space="preserve">B(CM) − B(t)</t>
  </si>
  <si>
    <t xml:space="preserve">5 × 5 × 3</t>
  </si>
  <si>
    <t xml:space="preserve">Attribution</t>
  </si>
  <si>
    <t xml:space="preserve">Contribution to YoY growth</t>
  </si>
  <si>
    <t xml:space="preserve">ΔB(p,s) ÷ ΔGT</t>
  </si>
  <si>
    <t xml:space="preserve">16 cells + totals</t>
  </si>
  <si>
    <t xml:space="preserve">Contribution to MoM growth</t>
  </si>
  <si>
    <t xml:space="preserve">ΔB(p,s) ÷ ΔGT (LM basis)</t>
  </si>
  <si>
    <t xml:space="preserve">16 cells</t>
  </si>
  <si>
    <t xml:space="preserve">Concentration</t>
  </si>
  <si>
    <t xml:space="preserve">INSIGNIA share of deposits</t>
  </si>
  <si>
    <t xml:space="preserve">B(Dep, INSIGNIA) ÷ T(Dep)</t>
  </si>
  <si>
    <t xml:space="preserve">HHI of segment mix</t>
  </si>
  <si>
    <t xml:space="preserve">Σ (100 × sh(s|GT))²</t>
  </si>
  <si>
    <t xml:space="preserve">Ranking</t>
  </si>
  <si>
    <t xml:space="preserve">Fastest-growing cell YoY (≥ ₹100 Cr LY base)</t>
  </si>
  <si>
    <t xml:space="preserve">MAX g over cells</t>
  </si>
  <si>
    <t xml:space="preserve">Largest decline YoY</t>
  </si>
  <si>
    <t xml:space="preserve">MIN g over cells</t>
  </si>
  <si>
    <t xml:space="preserve">Cells declining YoY</t>
  </si>
  <si>
    <t xml:space="preserve">COUNT g &lt; 0</t>
  </si>
  <si>
    <t xml:space="preserve">Data integrity</t>
  </si>
  <si>
    <t xml:space="preserve">Printed vs computed growth</t>
  </si>
  <si>
    <t xml:space="preserve">MAX |g − printed|</t>
  </si>
  <si>
    <t xml:space="preserve">75 cells</t>
  </si>
  <si>
    <t xml:space="preserve">Sign consistency</t>
  </si>
  <si>
    <t xml:space="preserve">COUNT SIGN(computed) ≠ SIGN(printed)</t>
  </si>
  <si>
    <t xml:space="preserve">3 comparisons × 45 cells</t>
  </si>
  <si>
    <t xml:space="preserve">MEB vs MAB basis</t>
  </si>
  <si>
    <t xml:space="preserve">GT(CM) MEB vs CM* MAB (Block 2)</t>
  </si>
  <si>
    <t xml:space="preserve">Page</t>
  </si>
  <si>
    <t xml:space="preserve">Block 2 — Balance Movement (MAB) by segment × product</t>
  </si>
  <si>
    <t xml:space="preserve">Source: Book Growth Analysis.pdf, 'Balance Movement' (R/Z/C/B MEB/MAB toggle = MAB) | ₹ Cr</t>
  </si>
  <si>
    <t xml:space="preserve">A. Source data (blue) with line-level live calculations</t>
  </si>
  <si>
    <t xml:space="preserve">Segment</t>
  </si>
  <si>
    <t xml:space="preserve">CD*</t>
  </si>
  <si>
    <t xml:space="preserve">CD &lt; 3 Cr*</t>
  </si>
  <si>
    <t xml:space="preserve">CD &lt; 3 Ind Cr*</t>
  </si>
  <si>
    <t xml:space="preserve">PD*</t>
  </si>
  <si>
    <t xml:space="preserve">PD &lt; 3 Cr*</t>
  </si>
  <si>
    <t xml:space="preserve">PD &lt; 3 Ind Cr*</t>
  </si>
  <si>
    <t xml:space="preserve">CM*</t>
  </si>
  <si>
    <t xml:space="preserve">CM &lt; 3 Cr*</t>
  </si>
  <si>
    <t xml:space="preserve">CM &lt; 3 Ind Cr*</t>
  </si>
  <si>
    <t xml:space="preserve">LM*</t>
  </si>
  <si>
    <t xml:space="preserve">LM &lt; 3 Cr*</t>
  </si>
  <si>
    <t xml:space="preserve">LM &lt; 3 Ind Cr*</t>
  </si>
  <si>
    <t xml:space="preserve">LY*</t>
  </si>
  <si>
    <t xml:space="preserve">LY &lt; 3 Cr*</t>
  </si>
  <si>
    <t xml:space="preserve">LY &lt; 3 Ind Cr*</t>
  </si>
  <si>
    <t xml:space="preserve">LYCM*</t>
  </si>
  <si>
    <t xml:space="preserve">LYCM &lt; 3 Cr*</t>
  </si>
  <si>
    <t xml:space="preserve">LYCM &lt; 3 Ind Cr*</t>
  </si>
  <si>
    <t xml:space="preserve">&lt; 3 Cr share of CM</t>
  </si>
  <si>
    <t xml:space="preserve">&lt; 3 Ind Cr share of CM</t>
  </si>
  <si>
    <t xml:space="preserve">CM vs LM growth</t>
  </si>
  <si>
    <t xml:space="preserve">CM vs LY growth</t>
  </si>
  <si>
    <t xml:space="preserve">CM vs LYCM growth</t>
  </si>
  <si>
    <t xml:space="preserve">CD − PD (daily Δ)</t>
  </si>
  <si>
    <t xml:space="preserve">CM MAB ÷ CM MEB (Block 1)</t>
  </si>
  <si>
    <t xml:space="preserve">Share of CM grand total</t>
  </si>
  <si>
    <t xml:space="preserve">Σ all lines (computed)</t>
  </si>
  <si>
    <t xml:space="preserve">Gap printed − computed</t>
  </si>
  <si>
    <t xml:space="preserve">Grand Total used for shares</t>
  </si>
  <si>
    <t xml:space="preserve">B. Roll-ups by segment and by product (SUMIFS)</t>
  </si>
  <si>
    <t xml:space="preserve">Item</t>
  </si>
  <si>
    <t xml:space="preserve">CD − PD</t>
  </si>
  <si>
    <t xml:space="preserve">Printed Grand Total vs Σ lines — max absolute gap across the 18 columns:</t>
  </si>
  <si>
    <t xml:space="preserve">Rounding (CD/PD columns are printed to whole ₹ Cr).</t>
  </si>
  <si>
    <t xml:space="preserve">CM* grand total equals the MAB page grand total (115,448.64) and CM vs LM / CM vs LY diffs there equal CM − LM* and CM − LY* here.</t>
  </si>
  <si>
    <t xml:space="preserve">Confirms LM* / LY* are the comparison bases used on the MAB page.</t>
  </si>
  <si>
    <t xml:space="preserve">Customers below ₹3 Cr hold only about half of CM MAB; &lt; 3 Cr share of CM MAB:</t>
  </si>
  <si>
    <t xml:space="preserve">The ≥ ₹3 Cr book (large / institutional) drives growth.</t>
  </si>
  <si>
    <t xml:space="preserve">CD* and CM* are near-identical (the CD view is the current month to date): CD − CM grand total</t>
  </si>
  <si>
    <t xml:space="preserve">Use CM* as the month figure.</t>
  </si>
  <si>
    <t xml:space="preserve">Daily movement CD − PD at grand total:</t>
  </si>
  <si>
    <t xml:space="preserve">Small; MASS deposits moved opposite to INSIGNIA.</t>
  </si>
  <si>
    <t xml:space="preserve">Notation and exhaustive metrics table for this block: see sheet B2_Metrics</t>
  </si>
  <si>
    <t xml:space="preserve">Block 2 — Balance Movement (MAB): notation and metrics</t>
  </si>
  <si>
    <t xml:space="preserve">MAB</t>
  </si>
  <si>
    <t xml:space="preserve">Monthly average balance, ₹ Cr</t>
  </si>
  <si>
    <t xml:space="preserve">M(s,p,v)</t>
  </si>
  <si>
    <t xml:space="preserve">MAB of segment s, product p for view v</t>
  </si>
  <si>
    <t xml:space="preserve">v</t>
  </si>
  <si>
    <t xml:space="preserve">CD = current day (MTD); PD = previous day; CM = current month; LM = last month; LY = last year; LYCM = last-year current-month basis</t>
  </si>
  <si>
    <t xml:space="preserve">v &lt; 3 Cr / v &lt; 3 Ind Cr</t>
  </si>
  <si>
    <t xml:space="preserve">Sub-book of view v for customers below ₹3 Cr, and for individual customers below ₹3 Cr</t>
  </si>
  <si>
    <t xml:space="preserve">GT(v)</t>
  </si>
  <si>
    <t xml:space="preserve">Grand Total MAB for view v</t>
  </si>
  <si>
    <t xml:space="preserve">g(v)</t>
  </si>
  <si>
    <t xml:space="preserve">M(CM) ÷ M(v) − 1</t>
  </si>
  <si>
    <t xml:space="preserve">sh3 / shI</t>
  </si>
  <si>
    <t xml:space="preserve">&lt; 3 Cr share = v &lt; 3 Cr ÷ v; individual share = v &lt; 3 Ind Cr ÷ v</t>
  </si>
  <si>
    <t xml:space="preserve">MAB/MEB</t>
  </si>
  <si>
    <t xml:space="preserve">CM MAB ÷ CM MEB from Block 1</t>
  </si>
  <si>
    <t xml:space="preserve">Values are ₹ Cr monthly average balances; growth in %, shares in %.</t>
  </si>
  <si>
    <t xml:space="preserve">Segment × product MAB</t>
  </si>
  <si>
    <t xml:space="preserve">16 lines × 18 views (288 cells)</t>
  </si>
  <si>
    <t xml:space="preserve">Grand Total MAB</t>
  </si>
  <si>
    <t xml:space="preserve">18 views</t>
  </si>
  <si>
    <t xml:space="preserve">Lines to Grand Total</t>
  </si>
  <si>
    <t xml:space="preserve">GT(v) − Σ M(s,p,v)</t>
  </si>
  <si>
    <t xml:space="preserve">Volume aggregates</t>
  </si>
  <si>
    <t xml:space="preserve">Segment MAB</t>
  </si>
  <si>
    <t xml:space="preserve">Σp M(s,p,CM)</t>
  </si>
  <si>
    <t xml:space="preserve">4 segments × 18 views</t>
  </si>
  <si>
    <t xml:space="preserve">Product MAB</t>
  </si>
  <si>
    <t xml:space="preserve">Σs M(s,p,CM)</t>
  </si>
  <si>
    <t xml:space="preserve">4 products × 18 views</t>
  </si>
  <si>
    <t xml:space="preserve">CASA MAB</t>
  </si>
  <si>
    <t xml:space="preserve">M(CA) + M(SA)</t>
  </si>
  <si>
    <t xml:space="preserve">Segment share of GT</t>
  </si>
  <si>
    <t xml:space="preserve">Σp M(s,p,CM) ÷ GT(CM)</t>
  </si>
  <si>
    <t xml:space="preserve">4 segments</t>
  </si>
  <si>
    <t xml:space="preserve">Σs M(s,p,CM) ÷ GT(CM)</t>
  </si>
  <si>
    <t xml:space="preserve">4 products</t>
  </si>
  <si>
    <t xml:space="preserve">CASA ratio</t>
  </si>
  <si>
    <t xml:space="preserve">CASA ÷ GT</t>
  </si>
  <si>
    <t xml:space="preserve">6 period views</t>
  </si>
  <si>
    <t xml:space="preserve">&lt; 3 Cr sub-book share</t>
  </si>
  <si>
    <t xml:space="preserve">sh3 = M &lt; 3 Cr ÷ M</t>
  </si>
  <si>
    <t xml:space="preserve">16 lines + roll-ups</t>
  </si>
  <si>
    <t xml:space="preserve">Individual &lt; 3 Cr share</t>
  </si>
  <si>
    <t xml:space="preserve">shI = M &lt; 3 Ind Cr ÷ M</t>
  </si>
  <si>
    <t xml:space="preserve">g(LM)</t>
  </si>
  <si>
    <t xml:space="preserve">YoY growth</t>
  </si>
  <si>
    <t xml:space="preserve">g(LY)</t>
  </si>
  <si>
    <t xml:space="preserve">Growth vs LYCM basis</t>
  </si>
  <si>
    <t xml:space="preserve">g(LYCM)</t>
  </si>
  <si>
    <t xml:space="preserve">Product YoY growth</t>
  </si>
  <si>
    <t xml:space="preserve">g(LY) by product</t>
  </si>
  <si>
    <t xml:space="preserve">Sub-book YoY growth</t>
  </si>
  <si>
    <t xml:space="preserve">v &lt; 3 Cr (CM) ÷ v &lt; 3 Cr (LY) − 1</t>
  </si>
  <si>
    <t xml:space="preserve">GT and lines</t>
  </si>
  <si>
    <t xml:space="preserve">Contribution to YoY GT growth</t>
  </si>
  <si>
    <t xml:space="preserve">(M(CM) − M(LY)) ÷ (GT(CM) − GT(LY))</t>
  </si>
  <si>
    <t xml:space="preserve">16 lines</t>
  </si>
  <si>
    <t xml:space="preserve">Contribution to MoM GT growth</t>
  </si>
  <si>
    <t xml:space="preserve">(M(CM) − M(LM)) ÷ (GT(CM) − GT(LM))</t>
  </si>
  <si>
    <t xml:space="preserve">Daily movement</t>
  </si>
  <si>
    <t xml:space="preserve">Day-on-day MTD MAB change</t>
  </si>
  <si>
    <t xml:space="preserve">16 lines + GT</t>
  </si>
  <si>
    <t xml:space="preserve">CD vs CM</t>
  </si>
  <si>
    <t xml:space="preserve">CD* − CM*</t>
  </si>
  <si>
    <t xml:space="preserve">GT</t>
  </si>
  <si>
    <t xml:space="preserve">Cross-basis</t>
  </si>
  <si>
    <t xml:space="preserve">MAB ÷ MEB</t>
  </si>
  <si>
    <t xml:space="preserve">M(s,p,CM) ÷ B(s,p,CM) from Block 1</t>
  </si>
  <si>
    <t xml:space="preserve">GT MAB − GT MEB</t>
  </si>
  <si>
    <t xml:space="preserve">GT(CM) − GT MEB (Block 1)</t>
  </si>
  <si>
    <t xml:space="preserve">Reconciliation</t>
  </si>
  <si>
    <t xml:space="preserve">Tie to MAB page</t>
  </si>
  <si>
    <t xml:space="preserve">CM − LM = 'CM vs LM MAB Diff' (20,567.85); CM − LY = 32,349.73</t>
  </si>
  <si>
    <t xml:space="preserve">Threshold definition</t>
  </si>
  <si>
    <t xml:space="preserve">'&lt; 3 Cr' as printed</t>
  </si>
  <si>
    <t xml:space="preserve">Sub-book = customers below ₹3 Cr; ≥ ₹3 Cr book = total − sub-book</t>
  </si>
  <si>
    <t xml:space="preserve">LYCM definition flag</t>
  </si>
  <si>
    <t xml:space="preserve">LYCM* ≠ LY*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</si>
</sst>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-0.0%;0.0%"/>
    <numFmt numFmtId="167" formatCode="\+0.0&quot; pp&quot;;\-0.0&quot; pp&quot;;0.0&quot; pp&quot;"/>
    <numFmt numFmtId="168" formatCode="0.00%;\-0.00%;0.00%"/>
    <numFmt numFmtId="169" formatCode="#,##0"/>
    <numFmt numFmtId="170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23.8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/>
      <c r="B10" s="7"/>
    </row>
    <row r="11" customFormat="false" ht="15" hidden="false" customHeight="false" outlineLevel="0" collapsed="false">
      <c r="A11" s="4" t="s">
        <v>12</v>
      </c>
      <c r="B11" s="5"/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 t="s">
        <v>19</v>
      </c>
      <c r="B15" s="7" t="s">
        <v>20</v>
      </c>
    </row>
    <row r="16" customFormat="false" ht="15" hidden="false" customHeight="false" outlineLevel="0" collapsed="false">
      <c r="A16" s="6" t="s">
        <v>21</v>
      </c>
      <c r="B16" s="7" t="s">
        <v>22</v>
      </c>
    </row>
    <row r="17" customFormat="false" ht="15" hidden="false" customHeight="false" outlineLevel="0" collapsed="false">
      <c r="A17" s="6"/>
      <c r="B17" s="7"/>
    </row>
    <row r="18" customFormat="false" ht="15" hidden="false" customHeight="false" outlineLevel="0" collapsed="false">
      <c r="A18" s="4" t="s">
        <v>23</v>
      </c>
      <c r="B18" s="5"/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23.85" hidden="false" customHeight="false" outlineLevel="0" collapsed="false">
      <c r="A21" s="6" t="s">
        <v>28</v>
      </c>
      <c r="B21" s="7" t="s">
        <v>29</v>
      </c>
    </row>
    <row r="22" customFormat="false" ht="23.85" hidden="false" customHeight="false" outlineLevel="0" collapsed="false">
      <c r="A22" s="6" t="s">
        <v>30</v>
      </c>
      <c r="B22" s="7" t="s">
        <v>31</v>
      </c>
    </row>
    <row r="23" customFormat="false" ht="23.85" hidden="false" customHeight="false" outlineLevel="0" collapsed="false">
      <c r="A23" s="6" t="s">
        <v>32</v>
      </c>
      <c r="B23" s="7" t="s">
        <v>33</v>
      </c>
    </row>
    <row r="24" customFormat="false" ht="15" hidden="false" customHeight="false" outlineLevel="0" collapsed="false">
      <c r="A24" s="6" t="s">
        <v>34</v>
      </c>
      <c r="B24" s="7" t="s">
        <v>35</v>
      </c>
    </row>
    <row r="26" customFormat="false" ht="15" hidden="false" customHeight="false" outlineLevel="0" collapsed="false">
      <c r="A26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3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20" min="10" style="0" width="12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23.85" hidden="false" customHeight="false" outlineLevel="0" collapsed="false">
      <c r="A6" s="8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45</v>
      </c>
      <c r="H6" s="8" t="s">
        <v>46</v>
      </c>
      <c r="I6" s="8" t="s">
        <v>47</v>
      </c>
      <c r="J6" s="8" t="s">
        <v>48</v>
      </c>
      <c r="K6" s="8" t="s">
        <v>49</v>
      </c>
      <c r="L6" s="8" t="s">
        <v>50</v>
      </c>
      <c r="M6" s="8" t="s">
        <v>51</v>
      </c>
      <c r="N6" s="8" t="s">
        <v>52</v>
      </c>
    </row>
    <row r="7" customFormat="false" ht="15" hidden="false" customHeight="false" outlineLevel="0" collapsed="false">
      <c r="A7" s="9" t="n">
        <v>1</v>
      </c>
      <c r="B7" s="9" t="s">
        <v>53</v>
      </c>
      <c r="C7" s="10" t="n">
        <v>3849.97</v>
      </c>
      <c r="D7" s="10" t="n">
        <v>438.94</v>
      </c>
      <c r="E7" s="10" t="n">
        <v>515.22</v>
      </c>
      <c r="F7" s="10" t="n">
        <v>1393.38</v>
      </c>
      <c r="G7" s="10" t="n">
        <v>6197.51</v>
      </c>
      <c r="H7" s="11" t="n">
        <f aca="false">SUM(C7:F7)</f>
        <v>6197.51</v>
      </c>
      <c r="I7" s="11" t="n">
        <f aca="false">G7-H7</f>
        <v>0</v>
      </c>
      <c r="J7" s="12" t="n">
        <f aca="false">C7/$G7</f>
        <v>0.621212390137329</v>
      </c>
      <c r="K7" s="12" t="n">
        <f aca="false">D7/$G7</f>
        <v>0.0708252185151779</v>
      </c>
      <c r="L7" s="12" t="n">
        <f aca="false">E7/$G7</f>
        <v>0.0831333874410852</v>
      </c>
      <c r="M7" s="12" t="n">
        <f aca="false">F7/$G7</f>
        <v>0.224829003906408</v>
      </c>
      <c r="N7" s="12" t="n">
        <f aca="false">G7/$G$11</f>
        <v>0.0547919760452254</v>
      </c>
    </row>
    <row r="8" customFormat="false" ht="15" hidden="false" customHeight="false" outlineLevel="0" collapsed="false">
      <c r="A8" s="9" t="n">
        <v>2</v>
      </c>
      <c r="B8" s="9" t="s">
        <v>54</v>
      </c>
      <c r="C8" s="10" t="n">
        <v>11257.45</v>
      </c>
      <c r="D8" s="10" t="n">
        <v>3129.55</v>
      </c>
      <c r="E8" s="10" t="n">
        <v>1601</v>
      </c>
      <c r="F8" s="10" t="n">
        <v>3434.88</v>
      </c>
      <c r="G8" s="10" t="n">
        <v>19422.88</v>
      </c>
      <c r="H8" s="11" t="n">
        <f aca="false">SUM(C8:F8)</f>
        <v>19422.88</v>
      </c>
      <c r="I8" s="11" t="n">
        <f aca="false">G8-H8</f>
        <v>0</v>
      </c>
      <c r="J8" s="12" t="n">
        <f aca="false">C8/$G8</f>
        <v>0.579597361462358</v>
      </c>
      <c r="K8" s="12" t="n">
        <f aca="false">D8/$G8</f>
        <v>0.161126980138888</v>
      </c>
      <c r="L8" s="12" t="n">
        <f aca="false">E8/$G8</f>
        <v>0.0824285584836028</v>
      </c>
      <c r="M8" s="12" t="n">
        <f aca="false">F8/$G8</f>
        <v>0.176847099915152</v>
      </c>
      <c r="N8" s="12" t="n">
        <f aca="false">G8/$G$11</f>
        <v>0.171717024367736</v>
      </c>
    </row>
    <row r="9" customFormat="false" ht="15" hidden="false" customHeight="false" outlineLevel="0" collapsed="false">
      <c r="A9" s="9" t="n">
        <v>3</v>
      </c>
      <c r="B9" s="9" t="s">
        <v>55</v>
      </c>
      <c r="C9" s="10" t="n">
        <v>52910.64</v>
      </c>
      <c r="D9" s="10" t="n">
        <v>7509.46</v>
      </c>
      <c r="E9" s="10" t="n">
        <v>6510.42</v>
      </c>
      <c r="F9" s="10" t="n">
        <v>20542.05</v>
      </c>
      <c r="G9" s="10" t="n">
        <v>87472.57</v>
      </c>
      <c r="H9" s="11" t="n">
        <f aca="false">SUM(C9:F9)</f>
        <v>87472.57</v>
      </c>
      <c r="I9" s="11" t="n">
        <f aca="false">G9-H9</f>
        <v>0</v>
      </c>
      <c r="J9" s="12" t="n">
        <f aca="false">C9/$G9</f>
        <v>0.604882650641224</v>
      </c>
      <c r="K9" s="12" t="n">
        <f aca="false">D9/$G9</f>
        <v>0.0858493125330604</v>
      </c>
      <c r="L9" s="12" t="n">
        <f aca="false">E9/$G9</f>
        <v>0.0744281321561719</v>
      </c>
      <c r="M9" s="12" t="n">
        <f aca="false">F9/$G9</f>
        <v>0.234839904669544</v>
      </c>
      <c r="N9" s="12" t="n">
        <f aca="false">G9/$G$11</f>
        <v>0.773342029307626</v>
      </c>
    </row>
    <row r="10" customFormat="false" ht="15" hidden="false" customHeight="false" outlineLevel="0" collapsed="false">
      <c r="A10" s="9" t="n">
        <v>4</v>
      </c>
      <c r="B10" s="9" t="s">
        <v>56</v>
      </c>
      <c r="C10" s="10" t="n">
        <v>8.78</v>
      </c>
      <c r="D10" s="10" t="n">
        <v>3.34</v>
      </c>
      <c r="E10" s="10" t="n">
        <v>1.51</v>
      </c>
      <c r="F10" s="10" t="n">
        <v>3.22</v>
      </c>
      <c r="G10" s="10" t="n">
        <v>16.84</v>
      </c>
      <c r="H10" s="11" t="n">
        <f aca="false">SUM(C10:F10)</f>
        <v>16.85</v>
      </c>
      <c r="I10" s="11" t="n">
        <f aca="false">G10-H10</f>
        <v>-0.00999999999999801</v>
      </c>
      <c r="J10" s="12" t="n">
        <f aca="false">C10/$G10</f>
        <v>0.521377672209026</v>
      </c>
      <c r="K10" s="12" t="n">
        <f aca="false">D10/$G10</f>
        <v>0.19833729216152</v>
      </c>
      <c r="L10" s="12" t="n">
        <f aca="false">E10/$G10</f>
        <v>0.0896674584323041</v>
      </c>
      <c r="M10" s="12" t="n">
        <f aca="false">F10/$G10</f>
        <v>0.191211401425178</v>
      </c>
      <c r="N10" s="12" t="n">
        <f aca="false">G10/$G$11</f>
        <v>0.000148881869751174</v>
      </c>
    </row>
    <row r="11" customFormat="false" ht="15" hidden="false" customHeight="false" outlineLevel="0" collapsed="false">
      <c r="A11" s="9" t="n">
        <v>5</v>
      </c>
      <c r="B11" s="13" t="s">
        <v>57</v>
      </c>
      <c r="C11" s="10" t="n">
        <v>68026.83</v>
      </c>
      <c r="D11" s="10" t="n">
        <v>11081.29</v>
      </c>
      <c r="E11" s="10" t="n">
        <v>8628.16</v>
      </c>
      <c r="F11" s="10" t="n">
        <v>25373.53</v>
      </c>
      <c r="G11" s="10" t="n">
        <v>113109.81</v>
      </c>
      <c r="H11" s="11" t="n">
        <f aca="false">SUM(C11:F11)</f>
        <v>113109.81</v>
      </c>
      <c r="I11" s="11" t="n">
        <f aca="false">G11-H11</f>
        <v>0</v>
      </c>
      <c r="J11" s="12" t="n">
        <f aca="false">C11/$G11</f>
        <v>0.601422900453993</v>
      </c>
      <c r="K11" s="12" t="n">
        <f aca="false">D11/$G11</f>
        <v>0.0979693096469705</v>
      </c>
      <c r="L11" s="12" t="n">
        <f aca="false">E11/$G11</f>
        <v>0.0762812703867154</v>
      </c>
      <c r="M11" s="12" t="n">
        <f aca="false">F11/$G11</f>
        <v>0.224326519512322</v>
      </c>
      <c r="N11" s="12" t="n">
        <f aca="false">G11/$G$11</f>
        <v>1</v>
      </c>
    </row>
    <row r="12" customFormat="false" ht="15" hidden="false" customHeight="false" outlineLevel="0" collapsed="false">
      <c r="B12" s="13" t="s">
        <v>58</v>
      </c>
      <c r="C12" s="11" t="n">
        <f aca="false">SUM(C7:C10)</f>
        <v>68026.84</v>
      </c>
      <c r="D12" s="11" t="n">
        <f aca="false">SUM(D7:D10)</f>
        <v>11081.29</v>
      </c>
      <c r="E12" s="11" t="n">
        <f aca="false">SUM(E7:E10)</f>
        <v>8628.15</v>
      </c>
      <c r="F12" s="11" t="n">
        <f aca="false">SUM(F7:F10)</f>
        <v>25373.53</v>
      </c>
      <c r="G12" s="11" t="n">
        <f aca="false">SUM(G7:G10)</f>
        <v>113109.8</v>
      </c>
      <c r="H12" s="11" t="n">
        <f aca="false">SUM(C12:F12)</f>
        <v>113109.81</v>
      </c>
    </row>
    <row r="13" customFormat="false" ht="15" hidden="false" customHeight="false" outlineLevel="0" collapsed="false">
      <c r="B13" s="9" t="s">
        <v>59</v>
      </c>
      <c r="C13" s="11" t="n">
        <f aca="false">C11-C12</f>
        <v>-0.00999999999476131</v>
      </c>
      <c r="D13" s="11" t="n">
        <f aca="false">D11-D12</f>
        <v>0</v>
      </c>
      <c r="E13" s="11" t="n">
        <f aca="false">E11-E12</f>
        <v>0.0100000000002183</v>
      </c>
      <c r="F13" s="11" t="n">
        <f aca="false">F11-F12</f>
        <v>0</v>
      </c>
      <c r="G13" s="11" t="n">
        <f aca="false">G11-G12</f>
        <v>0.00999999999476131</v>
      </c>
    </row>
    <row r="14" customFormat="false" ht="15" hidden="false" customHeight="false" outlineLevel="0" collapsed="false">
      <c r="A14" s="4" t="s">
        <v>60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3.85" hidden="false" customHeight="false" outlineLevel="0" collapsed="false">
      <c r="A15" s="8" t="s">
        <v>39</v>
      </c>
      <c r="B15" s="8" t="s">
        <v>40</v>
      </c>
      <c r="C15" s="8" t="s">
        <v>41</v>
      </c>
      <c r="D15" s="8" t="s">
        <v>42</v>
      </c>
      <c r="E15" s="8" t="s">
        <v>43</v>
      </c>
      <c r="F15" s="8" t="s">
        <v>44</v>
      </c>
      <c r="G15" s="8" t="s">
        <v>45</v>
      </c>
      <c r="H15" s="8" t="s">
        <v>46</v>
      </c>
      <c r="I15" s="8" t="s">
        <v>47</v>
      </c>
      <c r="J15" s="8" t="s">
        <v>48</v>
      </c>
      <c r="K15" s="8" t="s">
        <v>49</v>
      </c>
      <c r="L15" s="8" t="s">
        <v>50</v>
      </c>
      <c r="M15" s="8" t="s">
        <v>51</v>
      </c>
      <c r="N15" s="8" t="s">
        <v>52</v>
      </c>
    </row>
    <row r="16" customFormat="false" ht="15" hidden="false" customHeight="false" outlineLevel="0" collapsed="false">
      <c r="A16" s="9" t="n">
        <v>1</v>
      </c>
      <c r="B16" s="9" t="s">
        <v>53</v>
      </c>
      <c r="C16" s="10" t="n">
        <v>4906.99</v>
      </c>
      <c r="D16" s="10" t="n">
        <v>551.97</v>
      </c>
      <c r="E16" s="10" t="n">
        <v>645.42</v>
      </c>
      <c r="F16" s="10" t="n">
        <v>2738.8</v>
      </c>
      <c r="G16" s="10" t="n">
        <v>8843.18</v>
      </c>
      <c r="H16" s="11" t="n">
        <f aca="false">SUM(C16:F16)</f>
        <v>8843.18</v>
      </c>
      <c r="I16" s="11" t="n">
        <f aca="false">G16-H16</f>
        <v>0</v>
      </c>
      <c r="J16" s="12" t="n">
        <f aca="false">C16/$G16</f>
        <v>0.554889756852173</v>
      </c>
      <c r="K16" s="12" t="n">
        <f aca="false">D16/$G16</f>
        <v>0.0624175918617511</v>
      </c>
      <c r="L16" s="12" t="n">
        <f aca="false">E16/$G16</f>
        <v>0.0729850574114742</v>
      </c>
      <c r="M16" s="12" t="n">
        <f aca="false">F16/$G16</f>
        <v>0.309707593874602</v>
      </c>
      <c r="N16" s="12" t="n">
        <f aca="false">G16/$G$20</f>
        <v>0.100725991469617</v>
      </c>
    </row>
    <row r="17" customFormat="false" ht="15" hidden="false" customHeight="false" outlineLevel="0" collapsed="false">
      <c r="A17" s="9" t="n">
        <v>2</v>
      </c>
      <c r="B17" s="9" t="s">
        <v>54</v>
      </c>
      <c r="C17" s="10" t="n">
        <v>11203.79</v>
      </c>
      <c r="D17" s="10" t="n">
        <v>3115.25</v>
      </c>
      <c r="E17" s="10" t="n">
        <v>1566.72</v>
      </c>
      <c r="F17" s="10" t="n">
        <v>3717.23</v>
      </c>
      <c r="G17" s="10" t="n">
        <v>19602.98</v>
      </c>
      <c r="H17" s="11" t="n">
        <f aca="false">SUM(C17:F17)</f>
        <v>19602.99</v>
      </c>
      <c r="I17" s="11" t="n">
        <f aca="false">G17-H17</f>
        <v>-0.0100000000020373</v>
      </c>
      <c r="J17" s="12" t="n">
        <f aca="false">C17/$G17</f>
        <v>0.571535042121147</v>
      </c>
      <c r="K17" s="12" t="n">
        <f aca="false">D17/$G17</f>
        <v>0.158917164635173</v>
      </c>
      <c r="L17" s="12" t="n">
        <f aca="false">E17/$G17</f>
        <v>0.0799225423889633</v>
      </c>
      <c r="M17" s="12" t="n">
        <f aca="false">F17/$G17</f>
        <v>0.189625760981239</v>
      </c>
      <c r="N17" s="12" t="n">
        <f aca="false">G17/$G$20</f>
        <v>0.22328275532773</v>
      </c>
    </row>
    <row r="18" customFormat="false" ht="15" hidden="false" customHeight="false" outlineLevel="0" collapsed="false">
      <c r="A18" s="9" t="n">
        <v>3</v>
      </c>
      <c r="B18" s="9" t="s">
        <v>55</v>
      </c>
      <c r="C18" s="10" t="n">
        <v>24996.33</v>
      </c>
      <c r="D18" s="10" t="n">
        <v>6013.38</v>
      </c>
      <c r="E18" s="10" t="n">
        <v>5541.37</v>
      </c>
      <c r="F18" s="10" t="n">
        <v>22778.25</v>
      </c>
      <c r="G18" s="10" t="n">
        <v>59329.33</v>
      </c>
      <c r="H18" s="11" t="n">
        <f aca="false">SUM(C18:F18)</f>
        <v>59329.33</v>
      </c>
      <c r="I18" s="11" t="n">
        <f aca="false">G18-H18</f>
        <v>0</v>
      </c>
      <c r="J18" s="12" t="n">
        <f aca="false">C18/$G18</f>
        <v>0.421314887594382</v>
      </c>
      <c r="K18" s="12" t="n">
        <f aca="false">D18/$G18</f>
        <v>0.101355939802455</v>
      </c>
      <c r="L18" s="12" t="n">
        <f aca="false">E18/$G18</f>
        <v>0.0934001782929286</v>
      </c>
      <c r="M18" s="12" t="n">
        <f aca="false">F18/$G18</f>
        <v>0.383928994310234</v>
      </c>
      <c r="N18" s="12" t="n">
        <f aca="false">G18/$G$20</f>
        <v>0.675775635854762</v>
      </c>
    </row>
    <row r="19" customFormat="false" ht="15" hidden="false" customHeight="false" outlineLevel="0" collapsed="false">
      <c r="A19" s="9" t="n">
        <v>4</v>
      </c>
      <c r="B19" s="9" t="s">
        <v>56</v>
      </c>
      <c r="C19" s="10" t="n">
        <v>9</v>
      </c>
      <c r="D19" s="10" t="n">
        <v>4.74</v>
      </c>
      <c r="E19" s="10" t="n">
        <v>1.64</v>
      </c>
      <c r="F19" s="10" t="n">
        <v>3.54</v>
      </c>
      <c r="G19" s="10" t="n">
        <v>18.92</v>
      </c>
      <c r="H19" s="11" t="n">
        <f aca="false">SUM(C19:F19)</f>
        <v>18.92</v>
      </c>
      <c r="I19" s="11" t="n">
        <f aca="false">G19-H19</f>
        <v>0</v>
      </c>
      <c r="J19" s="12" t="n">
        <f aca="false">C19/$G19</f>
        <v>0.47568710359408</v>
      </c>
      <c r="K19" s="12" t="n">
        <f aca="false">D19/$G19</f>
        <v>0.250528541226216</v>
      </c>
      <c r="L19" s="12" t="n">
        <f aca="false">E19/$G19</f>
        <v>0.0866807610993657</v>
      </c>
      <c r="M19" s="12" t="n">
        <f aca="false">F19/$G19</f>
        <v>0.187103594080338</v>
      </c>
      <c r="N19" s="12" t="n">
        <f aca="false">G19/$G$20</f>
        <v>0.000215503445435371</v>
      </c>
    </row>
    <row r="20" customFormat="false" ht="15" hidden="false" customHeight="false" outlineLevel="0" collapsed="false">
      <c r="A20" s="9" t="n">
        <v>5</v>
      </c>
      <c r="B20" s="13" t="s">
        <v>57</v>
      </c>
      <c r="C20" s="10" t="n">
        <v>41116.12</v>
      </c>
      <c r="D20" s="10" t="n">
        <v>9685.33</v>
      </c>
      <c r="E20" s="10" t="n">
        <v>7755.15</v>
      </c>
      <c r="F20" s="10" t="n">
        <v>29237.82</v>
      </c>
      <c r="G20" s="10" t="n">
        <v>87794.42</v>
      </c>
      <c r="H20" s="11" t="n">
        <f aca="false">SUM(C20:F20)</f>
        <v>87794.42</v>
      </c>
      <c r="I20" s="11" t="n">
        <f aca="false">G20-H20</f>
        <v>0</v>
      </c>
      <c r="J20" s="12" t="n">
        <f aca="false">C20/$G20</f>
        <v>0.46832270205783</v>
      </c>
      <c r="K20" s="12" t="n">
        <f aca="false">D20/$G20</f>
        <v>0.110318286743053</v>
      </c>
      <c r="L20" s="12" t="n">
        <f aca="false">E20/$G20</f>
        <v>0.0883330626251646</v>
      </c>
      <c r="M20" s="12" t="n">
        <f aca="false">F20/$G20</f>
        <v>0.333025948573953</v>
      </c>
      <c r="N20" s="12" t="n">
        <f aca="false">G20/$G$20</f>
        <v>1</v>
      </c>
    </row>
    <row r="21" customFormat="false" ht="15" hidden="false" customHeight="false" outlineLevel="0" collapsed="false">
      <c r="B21" s="13" t="s">
        <v>58</v>
      </c>
      <c r="C21" s="11" t="n">
        <f aca="false">SUM(C16:C19)</f>
        <v>41116.11</v>
      </c>
      <c r="D21" s="11" t="n">
        <f aca="false">SUM(D16:D19)</f>
        <v>9685.34</v>
      </c>
      <c r="E21" s="11" t="n">
        <f aca="false">SUM(E16:E19)</f>
        <v>7755.15</v>
      </c>
      <c r="F21" s="11" t="n">
        <f aca="false">SUM(F16:F19)</f>
        <v>29237.82</v>
      </c>
      <c r="G21" s="11" t="n">
        <f aca="false">SUM(G16:G19)</f>
        <v>87794.41</v>
      </c>
      <c r="H21" s="11" t="n">
        <f aca="false">SUM(C21:F21)</f>
        <v>87794.42</v>
      </c>
    </row>
    <row r="22" customFormat="false" ht="15" hidden="false" customHeight="false" outlineLevel="0" collapsed="false">
      <c r="B22" s="9" t="s">
        <v>59</v>
      </c>
      <c r="C22" s="11" t="n">
        <f aca="false">C20-C21</f>
        <v>0.0100000000020373</v>
      </c>
      <c r="D22" s="11" t="n">
        <f aca="false">D20-D21</f>
        <v>-0.0100000000002183</v>
      </c>
      <c r="E22" s="11" t="n">
        <f aca="false">E20-E21</f>
        <v>0</v>
      </c>
      <c r="F22" s="11" t="n">
        <f aca="false">F20-F21</f>
        <v>0</v>
      </c>
      <c r="G22" s="11" t="n">
        <f aca="false">G20-G21</f>
        <v>0.00999999999476131</v>
      </c>
    </row>
    <row r="23" customFormat="false" ht="15" hidden="false" customHeight="false" outlineLevel="0" collapsed="false">
      <c r="A23" s="4" t="s">
        <v>61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23.85" hidden="false" customHeight="false" outlineLevel="0" collapsed="false">
      <c r="A24" s="8" t="s">
        <v>39</v>
      </c>
      <c r="B24" s="8" t="s">
        <v>40</v>
      </c>
      <c r="C24" s="8" t="s">
        <v>41</v>
      </c>
      <c r="D24" s="8" t="s">
        <v>42</v>
      </c>
      <c r="E24" s="8" t="s">
        <v>43</v>
      </c>
      <c r="F24" s="8" t="s">
        <v>44</v>
      </c>
      <c r="G24" s="8" t="s">
        <v>45</v>
      </c>
      <c r="H24" s="8" t="s">
        <v>46</v>
      </c>
      <c r="I24" s="8" t="s">
        <v>47</v>
      </c>
      <c r="J24" s="8" t="s">
        <v>48</v>
      </c>
      <c r="K24" s="8" t="s">
        <v>49</v>
      </c>
      <c r="L24" s="8" t="s">
        <v>50</v>
      </c>
      <c r="M24" s="8" t="s">
        <v>51</v>
      </c>
      <c r="N24" s="8" t="s">
        <v>52</v>
      </c>
    </row>
    <row r="25" customFormat="false" ht="15" hidden="false" customHeight="false" outlineLevel="0" collapsed="false">
      <c r="A25" s="9" t="n">
        <v>1</v>
      </c>
      <c r="B25" s="9" t="s">
        <v>53</v>
      </c>
      <c r="C25" s="10" t="n">
        <v>3774.25</v>
      </c>
      <c r="D25" s="10" t="n">
        <v>491.11</v>
      </c>
      <c r="E25" s="10" t="n">
        <v>534.41</v>
      </c>
      <c r="F25" s="10" t="n">
        <v>1638.21</v>
      </c>
      <c r="G25" s="10" t="n">
        <v>6437.98</v>
      </c>
      <c r="H25" s="11" t="n">
        <f aca="false">SUM(C25:F25)</f>
        <v>6437.98</v>
      </c>
      <c r="I25" s="11" t="n">
        <f aca="false">G25-H25</f>
        <v>0</v>
      </c>
      <c r="J25" s="12" t="n">
        <f aca="false">C25/$G25</f>
        <v>0.586247549697265</v>
      </c>
      <c r="K25" s="12" t="n">
        <f aca="false">D25/$G25</f>
        <v>0.0762832441231567</v>
      </c>
      <c r="L25" s="12" t="n">
        <f aca="false">E25/$G25</f>
        <v>0.0830089562253999</v>
      </c>
      <c r="M25" s="12" t="n">
        <f aca="false">F25/$G25</f>
        <v>0.254460249954178</v>
      </c>
      <c r="N25" s="12" t="n">
        <f aca="false">G25/$G$29</f>
        <v>0.0689303028745675</v>
      </c>
    </row>
    <row r="26" customFormat="false" ht="15" hidden="false" customHeight="false" outlineLevel="0" collapsed="false">
      <c r="A26" s="9" t="n">
        <v>2</v>
      </c>
      <c r="B26" s="9" t="s">
        <v>54</v>
      </c>
      <c r="C26" s="10" t="n">
        <v>11110.84</v>
      </c>
      <c r="D26" s="10" t="n">
        <v>3152.62</v>
      </c>
      <c r="E26" s="10" t="n">
        <v>1582.89</v>
      </c>
      <c r="F26" s="10" t="n">
        <v>3424.5</v>
      </c>
      <c r="G26" s="10" t="n">
        <v>19270.85</v>
      </c>
      <c r="H26" s="11" t="n">
        <f aca="false">SUM(C26:F26)</f>
        <v>19270.85</v>
      </c>
      <c r="I26" s="11" t="n">
        <f aca="false">G26-H26</f>
        <v>0</v>
      </c>
      <c r="J26" s="12" t="n">
        <f aca="false">C26/$G26</f>
        <v>0.576562009459884</v>
      </c>
      <c r="K26" s="12" t="n">
        <f aca="false">D26/$G26</f>
        <v>0.163595274728411</v>
      </c>
      <c r="L26" s="12" t="n">
        <f aca="false">E26/$G26</f>
        <v>0.0821390857175475</v>
      </c>
      <c r="M26" s="12" t="n">
        <f aca="false">F26/$G26</f>
        <v>0.177703630094158</v>
      </c>
      <c r="N26" s="12" t="n">
        <f aca="false">G26/$G$29</f>
        <v>0.206329551683969</v>
      </c>
    </row>
    <row r="27" customFormat="false" ht="15" hidden="false" customHeight="false" outlineLevel="0" collapsed="false">
      <c r="A27" s="9" t="n">
        <v>3</v>
      </c>
      <c r="B27" s="9" t="s">
        <v>55</v>
      </c>
      <c r="C27" s="10" t="n">
        <v>33926.56</v>
      </c>
      <c r="D27" s="10" t="n">
        <v>6675.19</v>
      </c>
      <c r="E27" s="10" t="n">
        <v>5916</v>
      </c>
      <c r="F27" s="10" t="n">
        <v>21149.29</v>
      </c>
      <c r="G27" s="10" t="n">
        <v>67667.04</v>
      </c>
      <c r="H27" s="11" t="n">
        <f aca="false">SUM(C27:F27)</f>
        <v>67667.04</v>
      </c>
      <c r="I27" s="11" t="n">
        <f aca="false">G27-H27</f>
        <v>0</v>
      </c>
      <c r="J27" s="12" t="n">
        <f aca="false">C27/$G27</f>
        <v>0.501374967783429</v>
      </c>
      <c r="K27" s="12" t="n">
        <f aca="false">D27/$G27</f>
        <v>0.0986475838162863</v>
      </c>
      <c r="L27" s="12" t="n">
        <f aca="false">E27/$G27</f>
        <v>0.0874280890667007</v>
      </c>
      <c r="M27" s="12" t="n">
        <f aca="false">F27/$G27</f>
        <v>0.312549359333584</v>
      </c>
      <c r="N27" s="12" t="n">
        <f aca="false">G27/$G$29</f>
        <v>0.72449892075239</v>
      </c>
    </row>
    <row r="28" customFormat="false" ht="15" hidden="false" customHeight="false" outlineLevel="0" collapsed="false">
      <c r="A28" s="9" t="n">
        <v>4</v>
      </c>
      <c r="B28" s="9" t="s">
        <v>56</v>
      </c>
      <c r="C28" s="10" t="n">
        <v>12.81</v>
      </c>
      <c r="D28" s="10" t="n">
        <v>3.45</v>
      </c>
      <c r="E28" s="10" t="n">
        <v>2.71</v>
      </c>
      <c r="F28" s="10" t="n">
        <v>3.56</v>
      </c>
      <c r="G28" s="10" t="n">
        <v>22.52</v>
      </c>
      <c r="H28" s="11" t="n">
        <f aca="false">SUM(C28:F28)</f>
        <v>22.53</v>
      </c>
      <c r="I28" s="11" t="n">
        <f aca="false">G28-H28</f>
        <v>-0.00999999999999801</v>
      </c>
      <c r="J28" s="12" t="n">
        <f aca="false">C28/$G28</f>
        <v>0.568827708703375</v>
      </c>
      <c r="K28" s="12" t="n">
        <f aca="false">D28/$G28</f>
        <v>0.153197158081705</v>
      </c>
      <c r="L28" s="12" t="n">
        <f aca="false">E28/$G28</f>
        <v>0.120337477797513</v>
      </c>
      <c r="M28" s="12" t="n">
        <f aca="false">F28/$G28</f>
        <v>0.158081705150977</v>
      </c>
      <c r="N28" s="12" t="n">
        <f aca="false">G28/$G$29</f>
        <v>0.000241117620858601</v>
      </c>
    </row>
    <row r="29" customFormat="false" ht="15" hidden="false" customHeight="false" outlineLevel="0" collapsed="false">
      <c r="A29" s="9" t="n">
        <v>5</v>
      </c>
      <c r="B29" s="13" t="s">
        <v>57</v>
      </c>
      <c r="C29" s="10" t="n">
        <v>48824.46</v>
      </c>
      <c r="D29" s="10" t="n">
        <v>10322.37</v>
      </c>
      <c r="E29" s="10" t="n">
        <v>8036.01</v>
      </c>
      <c r="F29" s="10" t="n">
        <v>26215.56</v>
      </c>
      <c r="G29" s="10" t="n">
        <v>93398.4</v>
      </c>
      <c r="H29" s="11" t="n">
        <f aca="false">SUM(C29:F29)</f>
        <v>93398.4</v>
      </c>
      <c r="I29" s="11" t="n">
        <f aca="false">G29-H29</f>
        <v>0</v>
      </c>
      <c r="J29" s="12" t="n">
        <f aca="false">C29/$G29</f>
        <v>0.522754779525131</v>
      </c>
      <c r="K29" s="12" t="n">
        <f aca="false">D29/$G29</f>
        <v>0.110519773358002</v>
      </c>
      <c r="L29" s="12" t="n">
        <f aca="false">E29/$G29</f>
        <v>0.0860401248843663</v>
      </c>
      <c r="M29" s="12" t="n">
        <f aca="false">F29/$G29</f>
        <v>0.280685322232501</v>
      </c>
      <c r="N29" s="12" t="n">
        <f aca="false">G29/$G$29</f>
        <v>1</v>
      </c>
    </row>
    <row r="30" customFormat="false" ht="15" hidden="false" customHeight="false" outlineLevel="0" collapsed="false">
      <c r="B30" s="13" t="s">
        <v>58</v>
      </c>
      <c r="C30" s="11" t="n">
        <f aca="false">SUM(C25:C28)</f>
        <v>48824.46</v>
      </c>
      <c r="D30" s="11" t="n">
        <f aca="false">SUM(D25:D28)</f>
        <v>10322.37</v>
      </c>
      <c r="E30" s="11" t="n">
        <f aca="false">SUM(E25:E28)</f>
        <v>8036.01</v>
      </c>
      <c r="F30" s="11" t="n">
        <f aca="false">SUM(F25:F28)</f>
        <v>26215.56</v>
      </c>
      <c r="G30" s="11" t="n">
        <f aca="false">SUM(G25:G28)</f>
        <v>93398.39</v>
      </c>
      <c r="H30" s="11" t="n">
        <f aca="false">SUM(C30:F30)</f>
        <v>93398.4</v>
      </c>
    </row>
    <row r="31" customFormat="false" ht="15" hidden="false" customHeight="false" outlineLevel="0" collapsed="false">
      <c r="B31" s="9" t="s">
        <v>59</v>
      </c>
      <c r="C31" s="11" t="n">
        <f aca="false">C29-C30</f>
        <v>0</v>
      </c>
      <c r="D31" s="11" t="n">
        <f aca="false">D29-D30</f>
        <v>0</v>
      </c>
      <c r="E31" s="11" t="n">
        <f aca="false">E29-E30</f>
        <v>0</v>
      </c>
      <c r="F31" s="11" t="n">
        <f aca="false">F29-F30</f>
        <v>0</v>
      </c>
      <c r="G31" s="11" t="n">
        <f aca="false">G29-G30</f>
        <v>0.0100000000093132</v>
      </c>
    </row>
    <row r="32" customFormat="false" ht="15" hidden="false" customHeight="false" outlineLevel="0" collapsed="false">
      <c r="A32" s="4" t="s">
        <v>62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23.85" hidden="false" customHeight="false" outlineLevel="0" collapsed="false">
      <c r="A33" s="8" t="s">
        <v>39</v>
      </c>
      <c r="B33" s="8" t="s">
        <v>40</v>
      </c>
      <c r="C33" s="8" t="s">
        <v>41</v>
      </c>
      <c r="D33" s="8" t="s">
        <v>42</v>
      </c>
      <c r="E33" s="8" t="s">
        <v>43</v>
      </c>
      <c r="F33" s="8" t="s">
        <v>44</v>
      </c>
      <c r="G33" s="8" t="s">
        <v>45</v>
      </c>
      <c r="H33" s="8" t="s">
        <v>46</v>
      </c>
      <c r="I33" s="8" t="s">
        <v>47</v>
      </c>
      <c r="J33" s="8" t="s">
        <v>48</v>
      </c>
      <c r="K33" s="8" t="s">
        <v>49</v>
      </c>
      <c r="L33" s="8" t="s">
        <v>50</v>
      </c>
      <c r="M33" s="8" t="s">
        <v>51</v>
      </c>
      <c r="N33" s="8" t="s">
        <v>52</v>
      </c>
    </row>
    <row r="34" customFormat="false" ht="15" hidden="false" customHeight="false" outlineLevel="0" collapsed="false">
      <c r="A34" s="9" t="n">
        <v>1</v>
      </c>
      <c r="B34" s="9" t="s">
        <v>53</v>
      </c>
      <c r="C34" s="10" t="n">
        <v>3879.65</v>
      </c>
      <c r="D34" s="10" t="n">
        <v>462.67</v>
      </c>
      <c r="E34" s="10" t="n">
        <v>563.06</v>
      </c>
      <c r="F34" s="10" t="n">
        <v>2036.22</v>
      </c>
      <c r="G34" s="10" t="n">
        <v>6941.6</v>
      </c>
      <c r="H34" s="11" t="n">
        <f aca="false">SUM(C34:F34)</f>
        <v>6941.6</v>
      </c>
      <c r="I34" s="11" t="n">
        <f aca="false">G34-H34</f>
        <v>0</v>
      </c>
      <c r="J34" s="12" t="n">
        <f aca="false">C34/$G34</f>
        <v>0.558898524835773</v>
      </c>
      <c r="K34" s="12" t="n">
        <f aca="false">D34/$G34</f>
        <v>0.0666517805693212</v>
      </c>
      <c r="L34" s="12" t="n">
        <f aca="false">E34/$G34</f>
        <v>0.0811138642387922</v>
      </c>
      <c r="M34" s="12" t="n">
        <f aca="false">F34/$G34</f>
        <v>0.293335830356114</v>
      </c>
      <c r="N34" s="12" t="n">
        <f aca="false">G34/$G$38</f>
        <v>0.08047017134341</v>
      </c>
    </row>
    <row r="35" customFormat="false" ht="15" hidden="false" customHeight="false" outlineLevel="0" collapsed="false">
      <c r="A35" s="9" t="n">
        <v>2</v>
      </c>
      <c r="B35" s="9" t="s">
        <v>54</v>
      </c>
      <c r="C35" s="10" t="n">
        <v>11051.02</v>
      </c>
      <c r="D35" s="10" t="n">
        <v>3122.71</v>
      </c>
      <c r="E35" s="10" t="n">
        <v>1621.02</v>
      </c>
      <c r="F35" s="10" t="n">
        <v>3334.89</v>
      </c>
      <c r="G35" s="10" t="n">
        <v>19129.64</v>
      </c>
      <c r="H35" s="11" t="n">
        <f aca="false">SUM(C35:F35)</f>
        <v>19129.64</v>
      </c>
      <c r="I35" s="11" t="n">
        <f aca="false">G35-H35</f>
        <v>0</v>
      </c>
      <c r="J35" s="12" t="n">
        <f aca="false">C35/$G35</f>
        <v>0.577690954978766</v>
      </c>
      <c r="K35" s="12" t="n">
        <f aca="false">D35/$G35</f>
        <v>0.163239350034815</v>
      </c>
      <c r="L35" s="12" t="n">
        <f aca="false">E35/$G35</f>
        <v>0.0847386568696536</v>
      </c>
      <c r="M35" s="12" t="n">
        <f aca="false">F35/$G35</f>
        <v>0.174331038116765</v>
      </c>
      <c r="N35" s="12" t="n">
        <f aca="false">G35/$G$38</f>
        <v>0.221759451500771</v>
      </c>
    </row>
    <row r="36" customFormat="false" ht="15" hidden="false" customHeight="false" outlineLevel="0" collapsed="false">
      <c r="A36" s="9" t="n">
        <v>3</v>
      </c>
      <c r="B36" s="9" t="s">
        <v>55</v>
      </c>
      <c r="C36" s="10" t="n">
        <v>26052.53</v>
      </c>
      <c r="D36" s="10" t="n">
        <v>6330.66</v>
      </c>
      <c r="E36" s="10" t="n">
        <v>5724.89</v>
      </c>
      <c r="F36" s="10" t="n">
        <v>22061.57</v>
      </c>
      <c r="G36" s="10" t="n">
        <v>60169.66</v>
      </c>
      <c r="H36" s="11" t="n">
        <f aca="false">SUM(C36:F36)</f>
        <v>60169.65</v>
      </c>
      <c r="I36" s="11" t="n">
        <f aca="false">G36-H36</f>
        <v>0.0100000000020373</v>
      </c>
      <c r="J36" s="12" t="n">
        <f aca="false">C36/$G36</f>
        <v>0.432984497502562</v>
      </c>
      <c r="K36" s="12" t="n">
        <f aca="false">D36/$G36</f>
        <v>0.105213491317717</v>
      </c>
      <c r="L36" s="12" t="n">
        <f aca="false">E36/$G36</f>
        <v>0.0951457927467099</v>
      </c>
      <c r="M36" s="12" t="n">
        <f aca="false">F36/$G36</f>
        <v>0.366656052236293</v>
      </c>
      <c r="N36" s="12" t="n">
        <f aca="false">G36/$G$38</f>
        <v>0.697513952096739</v>
      </c>
    </row>
    <row r="37" customFormat="false" ht="15" hidden="false" customHeight="false" outlineLevel="0" collapsed="false">
      <c r="A37" s="9" t="n">
        <v>4</v>
      </c>
      <c r="B37" s="9" t="s">
        <v>56</v>
      </c>
      <c r="C37" s="10" t="n">
        <v>13.73</v>
      </c>
      <c r="D37" s="10" t="n">
        <v>3.46</v>
      </c>
      <c r="E37" s="10" t="n">
        <v>1.45</v>
      </c>
      <c r="F37" s="10" t="n">
        <v>3.48</v>
      </c>
      <c r="G37" s="10" t="n">
        <v>22.12</v>
      </c>
      <c r="H37" s="11" t="n">
        <f aca="false">SUM(C37:F37)</f>
        <v>22.12</v>
      </c>
      <c r="I37" s="11" t="n">
        <f aca="false">G37-H37</f>
        <v>0</v>
      </c>
      <c r="J37" s="12" t="n">
        <f aca="false">C37/$G37</f>
        <v>0.620705244122966</v>
      </c>
      <c r="K37" s="12" t="n">
        <f aca="false">D37/$G37</f>
        <v>0.156419529837251</v>
      </c>
      <c r="L37" s="12" t="n">
        <f aca="false">E37/$G37</f>
        <v>0.0655515370705244</v>
      </c>
      <c r="M37" s="12" t="n">
        <f aca="false">F37/$G37</f>
        <v>0.157323688969259</v>
      </c>
      <c r="N37" s="12" t="n">
        <f aca="false">G37/$G$38</f>
        <v>0.000256425059080936</v>
      </c>
    </row>
    <row r="38" customFormat="false" ht="15" hidden="false" customHeight="false" outlineLevel="0" collapsed="false">
      <c r="A38" s="9" t="n">
        <v>5</v>
      </c>
      <c r="B38" s="13" t="s">
        <v>57</v>
      </c>
      <c r="C38" s="10" t="n">
        <v>40996.93</v>
      </c>
      <c r="D38" s="10" t="n">
        <v>9919.5</v>
      </c>
      <c r="E38" s="10" t="n">
        <v>7910.42</v>
      </c>
      <c r="F38" s="10" t="n">
        <v>27436.17</v>
      </c>
      <c r="G38" s="10" t="n">
        <v>86263.02</v>
      </c>
      <c r="H38" s="11" t="n">
        <f aca="false">SUM(C38:F38)</f>
        <v>86263.02</v>
      </c>
      <c r="I38" s="11" t="n">
        <f aca="false">G38-H38</f>
        <v>0</v>
      </c>
      <c r="J38" s="12" t="n">
        <f aca="false">C38/$G38</f>
        <v>0.47525498179869</v>
      </c>
      <c r="K38" s="12" t="n">
        <f aca="false">D38/$G38</f>
        <v>0.114991336959916</v>
      </c>
      <c r="L38" s="12" t="n">
        <f aca="false">E38/$G38</f>
        <v>0.0917011716028491</v>
      </c>
      <c r="M38" s="12" t="n">
        <f aca="false">F38/$G38</f>
        <v>0.318052509638545</v>
      </c>
      <c r="N38" s="12" t="n">
        <f aca="false">G38/$G$38</f>
        <v>1</v>
      </c>
    </row>
    <row r="39" customFormat="false" ht="15" hidden="false" customHeight="false" outlineLevel="0" collapsed="false">
      <c r="B39" s="13" t="s">
        <v>58</v>
      </c>
      <c r="C39" s="11" t="n">
        <f aca="false">SUM(C34:C37)</f>
        <v>40996.93</v>
      </c>
      <c r="D39" s="11" t="n">
        <f aca="false">SUM(D34:D37)</f>
        <v>9919.5</v>
      </c>
      <c r="E39" s="11" t="n">
        <f aca="false">SUM(E34:E37)</f>
        <v>7910.42</v>
      </c>
      <c r="F39" s="11" t="n">
        <f aca="false">SUM(F34:F37)</f>
        <v>27436.16</v>
      </c>
      <c r="G39" s="11" t="n">
        <f aca="false">SUM(G34:G37)</f>
        <v>86263.02</v>
      </c>
      <c r="H39" s="11" t="n">
        <f aca="false">SUM(C39:F39)</f>
        <v>86263.01</v>
      </c>
    </row>
    <row r="40" customFormat="false" ht="15" hidden="false" customHeight="false" outlineLevel="0" collapsed="false">
      <c r="B40" s="9" t="s">
        <v>59</v>
      </c>
      <c r="C40" s="11" t="n">
        <f aca="false">C38-C39</f>
        <v>0</v>
      </c>
      <c r="D40" s="11" t="n">
        <f aca="false">D38-D39</f>
        <v>0</v>
      </c>
      <c r="E40" s="11" t="n">
        <f aca="false">E38-E39</f>
        <v>0</v>
      </c>
      <c r="F40" s="11" t="n">
        <f aca="false">F38-F39</f>
        <v>0.00999999999839929</v>
      </c>
      <c r="G40" s="11" t="n">
        <f aca="false">G38-G39</f>
        <v>0</v>
      </c>
    </row>
    <row r="42" customFormat="false" ht="15" hidden="false" customHeight="false" outlineLevel="0" collapsed="false">
      <c r="A42" s="4" t="s">
        <v>63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46.25" hidden="false" customHeight="false" outlineLevel="0" collapsed="false">
      <c r="A43" s="8" t="s">
        <v>39</v>
      </c>
      <c r="B43" s="8" t="s">
        <v>40</v>
      </c>
      <c r="C43" s="8" t="s">
        <v>64</v>
      </c>
      <c r="D43" s="8" t="s">
        <v>65</v>
      </c>
      <c r="E43" s="8" t="s">
        <v>66</v>
      </c>
      <c r="F43" s="8" t="s">
        <v>67</v>
      </c>
      <c r="G43" s="8" t="s">
        <v>68</v>
      </c>
      <c r="H43" s="8" t="s">
        <v>69</v>
      </c>
      <c r="I43" s="8" t="s">
        <v>70</v>
      </c>
      <c r="J43" s="8" t="s">
        <v>71</v>
      </c>
      <c r="K43" s="8" t="s">
        <v>72</v>
      </c>
      <c r="L43" s="8" t="s">
        <v>73</v>
      </c>
      <c r="M43" s="8" t="s">
        <v>74</v>
      </c>
      <c r="N43" s="8" t="s">
        <v>75</v>
      </c>
      <c r="O43" s="8" t="s">
        <v>76</v>
      </c>
      <c r="P43" s="8" t="s">
        <v>77</v>
      </c>
      <c r="Q43" s="8" t="s">
        <v>78</v>
      </c>
      <c r="R43" s="8" t="s">
        <v>79</v>
      </c>
      <c r="S43" s="8" t="s">
        <v>80</v>
      </c>
      <c r="T43" s="8" t="s">
        <v>81</v>
      </c>
      <c r="U43" s="8" t="s">
        <v>82</v>
      </c>
      <c r="V43" s="8" t="s">
        <v>83</v>
      </c>
    </row>
    <row r="44" customFormat="false" ht="15" hidden="false" customHeight="false" outlineLevel="0" collapsed="false">
      <c r="A44" s="9" t="n">
        <v>1</v>
      </c>
      <c r="B44" s="9" t="s">
        <v>53</v>
      </c>
      <c r="C44" s="12" t="n">
        <f aca="false">C7/C16-1</f>
        <v>-0.215411076851593</v>
      </c>
      <c r="D44" s="12" t="n">
        <f aca="false">D7/D16-1</f>
        <v>-0.204775621863507</v>
      </c>
      <c r="E44" s="12" t="n">
        <f aca="false">E7/E16-1</f>
        <v>-0.201729106628242</v>
      </c>
      <c r="F44" s="12" t="n">
        <f aca="false">F7/F16-1</f>
        <v>-0.491244340587118</v>
      </c>
      <c r="G44" s="12" t="n">
        <f aca="false">G7/G16-1</f>
        <v>-0.299176314402738</v>
      </c>
      <c r="H44" s="14" t="n">
        <f aca="false">(J7-J16)*100</f>
        <v>6.63226332851563</v>
      </c>
      <c r="I44" s="14" t="n">
        <f aca="false">(K7-K16)*100</f>
        <v>0.840762665342678</v>
      </c>
      <c r="J44" s="14" t="n">
        <f aca="false">(L7-L16)*100</f>
        <v>1.01483300296111</v>
      </c>
      <c r="K44" s="14" t="n">
        <f aca="false">(M7-M16)*100</f>
        <v>-8.48785899681941</v>
      </c>
      <c r="L44" s="15" t="n">
        <v>-0.2154</v>
      </c>
      <c r="M44" s="15" t="n">
        <v>-0.2048</v>
      </c>
      <c r="N44" s="15" t="n">
        <v>-0.2017</v>
      </c>
      <c r="O44" s="15" t="n">
        <v>-0.4912</v>
      </c>
      <c r="P44" s="15" t="n">
        <v>-0.2992</v>
      </c>
      <c r="Q44" s="16" t="n">
        <v>6.63</v>
      </c>
      <c r="R44" s="16" t="n">
        <v>0.84</v>
      </c>
      <c r="S44" s="16" t="n">
        <v>1.01</v>
      </c>
      <c r="T44" s="16" t="n">
        <v>-8.49</v>
      </c>
      <c r="U44" s="17" t="n">
        <f aca="false">MAX(ABS(C44-L44),ABS(D44-M44),ABS(E44-N44),ABS(F44-O44),ABS(G44-P44),ABS(H44-Q44)/100,ABS(I44-R44)/100,ABS(J44-S44)/100,ABS(K44-T44)/100)</f>
        <v>4.83300296110611E-005</v>
      </c>
      <c r="V44" s="18" t="n">
        <f aca="false">SUMPRODUCT(--(SIGN(ROUND(C44:G44,4))&lt;&gt;SIGN(ROUND(L44:P44,4))))+SUMPRODUCT(--(SIGN(ROUND(H44:K44,2))&lt;&gt;SIGN(ROUND(Q44:T44,2))))</f>
        <v>0</v>
      </c>
    </row>
    <row r="45" customFormat="false" ht="15" hidden="false" customHeight="false" outlineLevel="0" collapsed="false">
      <c r="A45" s="9" t="n">
        <v>2</v>
      </c>
      <c r="B45" s="9" t="s">
        <v>54</v>
      </c>
      <c r="C45" s="12" t="n">
        <f aca="false">C8/C17-1</f>
        <v>0.00478945071266068</v>
      </c>
      <c r="D45" s="12" t="n">
        <f aca="false">D8/D17-1</f>
        <v>0.00459032180402863</v>
      </c>
      <c r="E45" s="12" t="n">
        <f aca="false">E8/E17-1</f>
        <v>0.0218801062091503</v>
      </c>
      <c r="F45" s="12" t="n">
        <f aca="false">F8/F17-1</f>
        <v>-0.0759570970857332</v>
      </c>
      <c r="G45" s="12" t="n">
        <f aca="false">G8/G17-1</f>
        <v>-0.0091873786536536</v>
      </c>
      <c r="H45" s="14" t="n">
        <f aca="false">(J8-J17)*100</f>
        <v>0.806231934121093</v>
      </c>
      <c r="I45" s="14" t="n">
        <f aca="false">(K8-K17)*100</f>
        <v>0.220981550371491</v>
      </c>
      <c r="J45" s="14" t="n">
        <f aca="false">(L8-L17)*100</f>
        <v>0.250601609463952</v>
      </c>
      <c r="K45" s="14" t="n">
        <f aca="false">(M8-M17)*100</f>
        <v>-1.2778661066087</v>
      </c>
      <c r="L45" s="15" t="n">
        <v>0.0048</v>
      </c>
      <c r="M45" s="15" t="n">
        <v>0.0046</v>
      </c>
      <c r="N45" s="15" t="n">
        <v>0.0219</v>
      </c>
      <c r="O45" s="15" t="n">
        <v>-0.076</v>
      </c>
      <c r="P45" s="15" t="n">
        <v>-0.0092</v>
      </c>
      <c r="Q45" s="16" t="n">
        <v>0.81</v>
      </c>
      <c r="R45" s="16" t="n">
        <v>0.22</v>
      </c>
      <c r="S45" s="16" t="n">
        <v>0.25</v>
      </c>
      <c r="T45" s="16" t="n">
        <v>-1.28</v>
      </c>
      <c r="U45" s="17" t="n">
        <f aca="false">MAX(ABS(C45-L45),ABS(D45-M45),ABS(E45-N45),ABS(F45-O45),ABS(G45-P45),ABS(H45-Q45)/100,ABS(I45-R45)/100,ABS(J45-S45)/100,ABS(K45-T45)/100)</f>
        <v>4.29029142668264E-005</v>
      </c>
      <c r="V45" s="18" t="n">
        <f aca="false">SUMPRODUCT(--(SIGN(ROUND(C45:G45,4))&lt;&gt;SIGN(ROUND(L45:P45,4))))+SUMPRODUCT(--(SIGN(ROUND(H45:K45,2))&lt;&gt;SIGN(ROUND(Q45:T45,2))))</f>
        <v>0</v>
      </c>
    </row>
    <row r="46" customFormat="false" ht="15" hidden="false" customHeight="false" outlineLevel="0" collapsed="false">
      <c r="A46" s="9" t="n">
        <v>3</v>
      </c>
      <c r="B46" s="9" t="s">
        <v>55</v>
      </c>
      <c r="C46" s="12" t="n">
        <f aca="false">C9/C18-1</f>
        <v>1.11673633689426</v>
      </c>
      <c r="D46" s="12" t="n">
        <f aca="false">D9/D18-1</f>
        <v>0.248791860817045</v>
      </c>
      <c r="E46" s="12" t="n">
        <f aca="false">E9/E18-1</f>
        <v>0.174875527171079</v>
      </c>
      <c r="F46" s="12" t="n">
        <f aca="false">F9/F18-1</f>
        <v>-0.0981725988607554</v>
      </c>
      <c r="G46" s="12" t="n">
        <f aca="false">G9/G18-1</f>
        <v>0.474356275386896</v>
      </c>
      <c r="H46" s="14" t="n">
        <f aca="false">(J9-J18)*100</f>
        <v>18.3567763046842</v>
      </c>
      <c r="I46" s="14" t="n">
        <f aca="false">(K9-K18)*100</f>
        <v>-1.55066272693948</v>
      </c>
      <c r="J46" s="14" t="n">
        <f aca="false">(L9-L18)*100</f>
        <v>-1.89720461367567</v>
      </c>
      <c r="K46" s="14" t="n">
        <f aca="false">(M9-M18)*100</f>
        <v>-14.908908964069</v>
      </c>
      <c r="L46" s="15" t="n">
        <v>1.1167</v>
      </c>
      <c r="M46" s="15" t="n">
        <v>0.2488</v>
      </c>
      <c r="N46" s="15" t="n">
        <v>0.1749</v>
      </c>
      <c r="O46" s="15" t="n">
        <v>-0.0982</v>
      </c>
      <c r="P46" s="15" t="n">
        <v>0.4744</v>
      </c>
      <c r="Q46" s="16" t="n">
        <v>18.36</v>
      </c>
      <c r="R46" s="16" t="n">
        <v>-1.55</v>
      </c>
      <c r="S46" s="16" t="n">
        <v>-1.9</v>
      </c>
      <c r="T46" s="16" t="n">
        <v>-14.91</v>
      </c>
      <c r="U46" s="17" t="n">
        <f aca="false">MAX(ABS(C46-L46),ABS(D46-M46),ABS(E46-N46),ABS(F46-O46),ABS(G46-P46),ABS(H46-Q46)/100,ABS(I46-R46)/100,ABS(J46-S46)/100,ABS(K46-T46)/100)</f>
        <v>4.37246131044788E-005</v>
      </c>
      <c r="V46" s="18" t="n">
        <f aca="false">SUMPRODUCT(--(SIGN(ROUND(C46:G46,4))&lt;&gt;SIGN(ROUND(L46:P46,4))))+SUMPRODUCT(--(SIGN(ROUND(H46:K46,2))&lt;&gt;SIGN(ROUND(Q46:T46,2))))</f>
        <v>0</v>
      </c>
    </row>
    <row r="47" customFormat="false" ht="15" hidden="false" customHeight="false" outlineLevel="0" collapsed="false">
      <c r="A47" s="9" t="n">
        <v>4</v>
      </c>
      <c r="B47" s="9" t="s">
        <v>56</v>
      </c>
      <c r="C47" s="12" t="n">
        <f aca="false">C10/C19-1</f>
        <v>-0.0244444444444445</v>
      </c>
      <c r="D47" s="12" t="n">
        <f aca="false">D10/D19-1</f>
        <v>-0.29535864978903</v>
      </c>
      <c r="E47" s="12" t="n">
        <f aca="false">E10/E19-1</f>
        <v>-0.0792682926829268</v>
      </c>
      <c r="F47" s="12" t="n">
        <f aca="false">F10/F19-1</f>
        <v>-0.0903954802259886</v>
      </c>
      <c r="G47" s="12" t="n">
        <f aca="false">G10/G19-1</f>
        <v>-0.109936575052854</v>
      </c>
      <c r="H47" s="14" t="n">
        <f aca="false">(J10-J19)*100</f>
        <v>4.56905686149458</v>
      </c>
      <c r="I47" s="14" t="n">
        <f aca="false">(K10-K19)*100</f>
        <v>-5.21912490646955</v>
      </c>
      <c r="J47" s="14" t="n">
        <f aca="false">(L10-L19)*100</f>
        <v>0.298669733293831</v>
      </c>
      <c r="K47" s="14" t="n">
        <f aca="false">(M10-M19)*100</f>
        <v>0.410780734483993</v>
      </c>
      <c r="L47" s="15" t="n">
        <v>-0.0251</v>
      </c>
      <c r="M47" s="15" t="n">
        <v>-0.296</v>
      </c>
      <c r="N47" s="15" t="n">
        <v>-0.0805</v>
      </c>
      <c r="O47" s="15" t="n">
        <v>-0.0904</v>
      </c>
      <c r="P47" s="15" t="n">
        <v>-0.1099</v>
      </c>
      <c r="Q47" s="16" t="n">
        <v>4.54</v>
      </c>
      <c r="R47" s="16" t="n">
        <v>-5.23</v>
      </c>
      <c r="S47" s="16" t="n">
        <v>0.29</v>
      </c>
      <c r="T47" s="16" t="n">
        <v>0.41</v>
      </c>
      <c r="U47" s="17" t="n">
        <f aca="false">MAX(ABS(C47-L47),ABS(D47-M47),ABS(E47-N47),ABS(F47-O47),ABS(G47-P47),ABS(H47-Q47)/100,ABS(I47-R47)/100,ABS(J47-S47)/100,ABS(K47-T47)/100)</f>
        <v>0.00123170731707321</v>
      </c>
      <c r="V47" s="18" t="n">
        <f aca="false">SUMPRODUCT(--(SIGN(ROUND(C47:G47,4))&lt;&gt;SIGN(ROUND(L47:P47,4))))+SUMPRODUCT(--(SIGN(ROUND(H47:K47,2))&lt;&gt;SIGN(ROUND(Q47:T47,2))))</f>
        <v>0</v>
      </c>
    </row>
    <row r="48" customFormat="false" ht="15" hidden="false" customHeight="false" outlineLevel="0" collapsed="false">
      <c r="A48" s="9" t="n">
        <v>5</v>
      </c>
      <c r="B48" s="13" t="s">
        <v>84</v>
      </c>
      <c r="C48" s="12" t="n">
        <f aca="false">C11/C20-1</f>
        <v>0.654505094352288</v>
      </c>
      <c r="D48" s="12" t="n">
        <f aca="false">D11/D20-1</f>
        <v>0.144131382203807</v>
      </c>
      <c r="E48" s="12" t="n">
        <f aca="false">E11/E20-1</f>
        <v>0.112571645938505</v>
      </c>
      <c r="F48" s="12" t="n">
        <f aca="false">F11/F20-1</f>
        <v>-0.132167514541098</v>
      </c>
      <c r="G48" s="12" t="n">
        <f aca="false">G11/G20-1</f>
        <v>0.288348507798104</v>
      </c>
      <c r="H48" s="14" t="n">
        <f aca="false">(J11-J20)*100</f>
        <v>13.3100198396162</v>
      </c>
      <c r="I48" s="14" t="n">
        <f aca="false">(K11-K20)*100</f>
        <v>-1.23489770960822</v>
      </c>
      <c r="J48" s="14" t="n">
        <f aca="false">(L11-L20)*100</f>
        <v>-1.20517922384492</v>
      </c>
      <c r="K48" s="14" t="n">
        <f aca="false">(M11-M20)*100</f>
        <v>-10.8699429061631</v>
      </c>
      <c r="L48" s="15" t="n">
        <v>0.6545</v>
      </c>
      <c r="M48" s="15" t="n">
        <v>0.1441</v>
      </c>
      <c r="N48" s="15" t="n">
        <v>0.1126</v>
      </c>
      <c r="O48" s="15" t="n">
        <v>-0.1322</v>
      </c>
      <c r="P48" s="15" t="n">
        <v>0.2883</v>
      </c>
      <c r="Q48" s="16" t="n">
        <v>13.31</v>
      </c>
      <c r="R48" s="16" t="n">
        <v>-1.23</v>
      </c>
      <c r="S48" s="16" t="n">
        <v>-1.21</v>
      </c>
      <c r="T48" s="16" t="n">
        <v>-10.87</v>
      </c>
      <c r="U48" s="17" t="n">
        <f aca="false">MAX(ABS(C48-L48),ABS(D48-M48),ABS(E48-N48),ABS(F48-O48),ABS(G48-P48),ABS(H48-Q48)/100,ABS(I48-R48)/100,ABS(J48-S48)/100,ABS(K48-T48)/100)</f>
        <v>4.89770960821812E-005</v>
      </c>
      <c r="V48" s="18" t="n">
        <f aca="false">SUMPRODUCT(--(SIGN(ROUND(C48:G48,4))&lt;&gt;SIGN(ROUND(L48:P48,4))))+SUMPRODUCT(--(SIGN(ROUND(H48:K48,2))&lt;&gt;SIGN(ROUND(Q48:T48,2))))</f>
        <v>0</v>
      </c>
    </row>
    <row r="50" customFormat="false" ht="15" hidden="false" customHeight="false" outlineLevel="0" collapsed="false">
      <c r="A50" s="4" t="s">
        <v>85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46.25" hidden="false" customHeight="false" outlineLevel="0" collapsed="false">
      <c r="A51" s="8" t="s">
        <v>39</v>
      </c>
      <c r="B51" s="8" t="s">
        <v>40</v>
      </c>
      <c r="C51" s="8" t="s">
        <v>64</v>
      </c>
      <c r="D51" s="8" t="s">
        <v>65</v>
      </c>
      <c r="E51" s="8" t="s">
        <v>66</v>
      </c>
      <c r="F51" s="8" t="s">
        <v>67</v>
      </c>
      <c r="G51" s="8" t="s">
        <v>68</v>
      </c>
      <c r="H51" s="8" t="s">
        <v>69</v>
      </c>
      <c r="I51" s="8" t="s">
        <v>70</v>
      </c>
      <c r="J51" s="8" t="s">
        <v>71</v>
      </c>
      <c r="K51" s="8" t="s">
        <v>72</v>
      </c>
      <c r="L51" s="8" t="s">
        <v>73</v>
      </c>
      <c r="M51" s="8" t="s">
        <v>74</v>
      </c>
      <c r="N51" s="8" t="s">
        <v>75</v>
      </c>
      <c r="O51" s="8" t="s">
        <v>76</v>
      </c>
      <c r="P51" s="8" t="s">
        <v>77</v>
      </c>
      <c r="Q51" s="8" t="s">
        <v>78</v>
      </c>
      <c r="R51" s="8" t="s">
        <v>79</v>
      </c>
      <c r="S51" s="8" t="s">
        <v>80</v>
      </c>
      <c r="T51" s="8" t="s">
        <v>81</v>
      </c>
      <c r="U51" s="8" t="s">
        <v>82</v>
      </c>
      <c r="V51" s="8" t="s">
        <v>83</v>
      </c>
    </row>
    <row r="52" customFormat="false" ht="15" hidden="false" customHeight="false" outlineLevel="0" collapsed="false">
      <c r="A52" s="9" t="n">
        <v>1</v>
      </c>
      <c r="B52" s="9" t="s">
        <v>53</v>
      </c>
      <c r="C52" s="12" t="n">
        <f aca="false">C7/C25-1</f>
        <v>0.0200622640259653</v>
      </c>
      <c r="D52" s="12" t="n">
        <f aca="false">D7/D25-1</f>
        <v>-0.106228747123862</v>
      </c>
      <c r="E52" s="12" t="n">
        <f aca="false">E7/E25-1</f>
        <v>-0.0359087591923802</v>
      </c>
      <c r="F52" s="12" t="n">
        <f aca="false">F7/F25-1</f>
        <v>-0.149449704250371</v>
      </c>
      <c r="G52" s="12" t="n">
        <f aca="false">G7/G25-1</f>
        <v>-0.0373517780421808</v>
      </c>
      <c r="H52" s="14" t="n">
        <f aca="false">(J7-J25)*100</f>
        <v>3.4964840440064</v>
      </c>
      <c r="I52" s="14" t="n">
        <f aca="false">(K7-K25)*100</f>
        <v>-0.545802560797878</v>
      </c>
      <c r="J52" s="14" t="n">
        <f aca="false">(L7-L25)*100</f>
        <v>0.0124431215685325</v>
      </c>
      <c r="K52" s="14" t="n">
        <f aca="false">(M7-M25)*100</f>
        <v>-2.96312460477706</v>
      </c>
      <c r="L52" s="15" t="n">
        <v>0.0201</v>
      </c>
      <c r="M52" s="15" t="n">
        <v>-0.1062</v>
      </c>
      <c r="N52" s="15" t="n">
        <v>-0.0359</v>
      </c>
      <c r="O52" s="15" t="n">
        <v>-0.1495</v>
      </c>
      <c r="P52" s="15" t="n">
        <v>-0.0374</v>
      </c>
      <c r="Q52" s="16" t="n">
        <v>3.5</v>
      </c>
      <c r="R52" s="16" t="n">
        <v>-0.55</v>
      </c>
      <c r="S52" s="16" t="n">
        <v>0.01</v>
      </c>
      <c r="T52" s="16" t="n">
        <v>-2.96</v>
      </c>
      <c r="U52" s="17" t="n">
        <f aca="false">MAX(ABS(C52-L52),ABS(D52-M52),ABS(E52-N52),ABS(F52-O52),ABS(G52-P52),ABS(H52-Q52)/100,ABS(I52-R52)/100,ABS(J52-S52)/100,ABS(K52-T52)/100)</f>
        <v>5.02957496292533E-005</v>
      </c>
      <c r="V52" s="18" t="n">
        <f aca="false">SUMPRODUCT(--(SIGN(ROUND(C52:G52,4))&lt;&gt;SIGN(ROUND(L52:P52,4))))+SUMPRODUCT(--(SIGN(ROUND(H52:K52,2))&lt;&gt;SIGN(ROUND(Q52:T52,2))))</f>
        <v>0</v>
      </c>
    </row>
    <row r="53" customFormat="false" ht="15" hidden="false" customHeight="false" outlineLevel="0" collapsed="false">
      <c r="A53" s="9" t="n">
        <v>2</v>
      </c>
      <c r="B53" s="9" t="s">
        <v>54</v>
      </c>
      <c r="C53" s="12" t="n">
        <f aca="false">C8/C26-1</f>
        <v>0.0131952219634159</v>
      </c>
      <c r="D53" s="12" t="n">
        <f aca="false">D8/D26-1</f>
        <v>-0.00731772303671219</v>
      </c>
      <c r="E53" s="12" t="n">
        <f aca="false">E8/E26-1</f>
        <v>0.0114410982443505</v>
      </c>
      <c r="F53" s="12" t="n">
        <f aca="false">F8/F26-1</f>
        <v>0.00303109943057378</v>
      </c>
      <c r="G53" s="12" t="n">
        <f aca="false">G8/G26-1</f>
        <v>0.00788911750130383</v>
      </c>
      <c r="H53" s="14" t="n">
        <f aca="false">(J8-J26)*100</f>
        <v>0.303535200247407</v>
      </c>
      <c r="I53" s="14" t="n">
        <f aca="false">(K8-K26)*100</f>
        <v>-0.24682945895233</v>
      </c>
      <c r="J53" s="14" t="n">
        <f aca="false">(L8-L26)*100</f>
        <v>0.0289472766055343</v>
      </c>
      <c r="K53" s="14" t="n">
        <f aca="false">(M8-M26)*100</f>
        <v>-0.0856530179006165</v>
      </c>
      <c r="L53" s="15" t="n">
        <v>0.0132</v>
      </c>
      <c r="M53" s="15" t="n">
        <v>-0.0073</v>
      </c>
      <c r="N53" s="15" t="n">
        <v>0.0114</v>
      </c>
      <c r="O53" s="15" t="n">
        <v>0.003</v>
      </c>
      <c r="P53" s="15" t="n">
        <v>0.0079</v>
      </c>
      <c r="Q53" s="16" t="n">
        <v>0.3</v>
      </c>
      <c r="R53" s="16" t="n">
        <v>-0.25</v>
      </c>
      <c r="S53" s="16" t="n">
        <v>0.03</v>
      </c>
      <c r="T53" s="16" t="n">
        <v>-0.09</v>
      </c>
      <c r="U53" s="17" t="n">
        <f aca="false">MAX(ABS(C53-L53),ABS(D53-M53),ABS(E53-N53),ABS(F53-O53),ABS(G53-P53),ABS(H53-Q53)/100,ABS(I53-R53)/100,ABS(J53-S53)/100,ABS(K53-T53)/100)</f>
        <v>4.34698209938347E-005</v>
      </c>
      <c r="V53" s="18" t="n">
        <f aca="false">SUMPRODUCT(--(SIGN(ROUND(C53:G53,4))&lt;&gt;SIGN(ROUND(L53:P53,4))))+SUMPRODUCT(--(SIGN(ROUND(H53:K53,2))&lt;&gt;SIGN(ROUND(Q53:T53,2))))</f>
        <v>0</v>
      </c>
    </row>
    <row r="54" customFormat="false" ht="15" hidden="false" customHeight="false" outlineLevel="0" collapsed="false">
      <c r="A54" s="9" t="n">
        <v>3</v>
      </c>
      <c r="B54" s="9" t="s">
        <v>55</v>
      </c>
      <c r="C54" s="12" t="n">
        <f aca="false">C9/C27-1</f>
        <v>0.559563952254517</v>
      </c>
      <c r="D54" s="12" t="n">
        <f aca="false">D9/D27-1</f>
        <v>0.124980712159504</v>
      </c>
      <c r="E54" s="12" t="n">
        <f aca="false">E9/E27-1</f>
        <v>0.100476673427992</v>
      </c>
      <c r="F54" s="12" t="n">
        <f aca="false">F9/F27-1</f>
        <v>-0.0287120749680013</v>
      </c>
      <c r="G54" s="12" t="n">
        <f aca="false">G9/G27-1</f>
        <v>0.292690946729752</v>
      </c>
      <c r="H54" s="14" t="n">
        <f aca="false">(J9-J27)*100</f>
        <v>10.3507682857795</v>
      </c>
      <c r="I54" s="14" t="n">
        <f aca="false">(K9-K27)*100</f>
        <v>-1.2798271283226</v>
      </c>
      <c r="J54" s="14" t="n">
        <f aca="false">(L9-L27)*100</f>
        <v>-1.29999569105288</v>
      </c>
      <c r="K54" s="14" t="n">
        <f aca="false">(M9-M27)*100</f>
        <v>-7.77094546640402</v>
      </c>
      <c r="L54" s="15" t="n">
        <v>0.5596</v>
      </c>
      <c r="M54" s="15" t="n">
        <v>0.125</v>
      </c>
      <c r="N54" s="15" t="n">
        <v>0.1005</v>
      </c>
      <c r="O54" s="15" t="n">
        <v>-0.0287</v>
      </c>
      <c r="P54" s="15" t="n">
        <v>0.2927</v>
      </c>
      <c r="Q54" s="16" t="n">
        <v>10.35</v>
      </c>
      <c r="R54" s="16" t="n">
        <v>-1.28</v>
      </c>
      <c r="S54" s="16" t="n">
        <v>-1.3</v>
      </c>
      <c r="T54" s="16" t="n">
        <v>-7.77</v>
      </c>
      <c r="U54" s="17" t="n">
        <f aca="false">MAX(ABS(C54-L54),ABS(D54-M54),ABS(E54-N54),ABS(F54-O54),ABS(G54-P54),ABS(H54-Q54)/100,ABS(I54-R54)/100,ABS(J54-S54)/100,ABS(K54-T54)/100)</f>
        <v>3.60477454831587E-005</v>
      </c>
      <c r="V54" s="18" t="n">
        <f aca="false">SUMPRODUCT(--(SIGN(ROUND(C54:G54,4))&lt;&gt;SIGN(ROUND(L54:P54,4))))+SUMPRODUCT(--(SIGN(ROUND(H54:K54,2))&lt;&gt;SIGN(ROUND(Q54:T54,2))))</f>
        <v>0</v>
      </c>
    </row>
    <row r="55" customFormat="false" ht="15" hidden="false" customHeight="false" outlineLevel="0" collapsed="false">
      <c r="A55" s="9" t="n">
        <v>4</v>
      </c>
      <c r="B55" s="9" t="s">
        <v>56</v>
      </c>
      <c r="C55" s="12" t="n">
        <f aca="false">C10/C28-1</f>
        <v>-0.314597970335675</v>
      </c>
      <c r="D55" s="12" t="n">
        <f aca="false">D10/D28-1</f>
        <v>-0.0318840579710146</v>
      </c>
      <c r="E55" s="12" t="n">
        <f aca="false">E10/E28-1</f>
        <v>-0.44280442804428</v>
      </c>
      <c r="F55" s="12" t="n">
        <f aca="false">F10/F28-1</f>
        <v>-0.0955056179775281</v>
      </c>
      <c r="G55" s="12" t="n">
        <f aca="false">G10/G28-1</f>
        <v>-0.252220248667851</v>
      </c>
      <c r="H55" s="14" t="n">
        <f aca="false">(J10-J28)*100</f>
        <v>-4.74500364943488</v>
      </c>
      <c r="I55" s="14" t="n">
        <f aca="false">(K10-K28)*100</f>
        <v>4.5140134079815</v>
      </c>
      <c r="J55" s="14" t="n">
        <f aca="false">(L10-L28)*100</f>
        <v>-3.06700193652093</v>
      </c>
      <c r="K55" s="14" t="n">
        <f aca="false">(M10-M28)*100</f>
        <v>3.31296962742013</v>
      </c>
      <c r="L55" s="15" t="n">
        <v>-0.3147</v>
      </c>
      <c r="M55" s="15" t="n">
        <v>-0.032</v>
      </c>
      <c r="N55" s="15" t="n">
        <v>-0.4418</v>
      </c>
      <c r="O55" s="15" t="n">
        <v>-0.0957</v>
      </c>
      <c r="P55" s="15" t="n">
        <v>-0.2521</v>
      </c>
      <c r="Q55" s="16" t="n">
        <v>-4.76</v>
      </c>
      <c r="R55" s="16" t="n">
        <v>4.5</v>
      </c>
      <c r="S55" s="16" t="n">
        <v>-3.05</v>
      </c>
      <c r="T55" s="16" t="n">
        <v>3.3</v>
      </c>
      <c r="U55" s="17" t="n">
        <f aca="false">MAX(ABS(C55-L55),ABS(D55-M55),ABS(E55-N55),ABS(F55-O55),ABS(G55-P55),ABS(H55-Q55)/100,ABS(I55-R55)/100,ABS(J55-S55)/100,ABS(K55-T55)/100)</f>
        <v>0.00100442804428041</v>
      </c>
      <c r="V55" s="18" t="n">
        <f aca="false">SUMPRODUCT(--(SIGN(ROUND(C55:G55,4))&lt;&gt;SIGN(ROUND(L55:P55,4))))+SUMPRODUCT(--(SIGN(ROUND(H55:K55,2))&lt;&gt;SIGN(ROUND(Q55:T55,2))))</f>
        <v>0</v>
      </c>
    </row>
    <row r="56" customFormat="false" ht="15" hidden="false" customHeight="false" outlineLevel="0" collapsed="false">
      <c r="A56" s="9" t="n">
        <v>5</v>
      </c>
      <c r="B56" s="13" t="s">
        <v>84</v>
      </c>
      <c r="C56" s="12" t="n">
        <f aca="false">C11/C29-1</f>
        <v>0.393294057937354</v>
      </c>
      <c r="D56" s="12" t="n">
        <f aca="false">D11/D29-1</f>
        <v>0.073521875305768</v>
      </c>
      <c r="E56" s="12" t="n">
        <f aca="false">E11/E29-1</f>
        <v>0.0736870660937454</v>
      </c>
      <c r="F56" s="12" t="n">
        <f aca="false">F11/F29-1</f>
        <v>-0.0321194740833307</v>
      </c>
      <c r="G56" s="12" t="n">
        <f aca="false">G11/G29-1</f>
        <v>0.211046548977284</v>
      </c>
      <c r="H56" s="14" t="n">
        <f aca="false">(J11-J29)*100</f>
        <v>7.86681209288614</v>
      </c>
      <c r="I56" s="14" t="n">
        <f aca="false">(K11-K29)*100</f>
        <v>-1.25504637110314</v>
      </c>
      <c r="J56" s="14" t="n">
        <f aca="false">(L11-L29)*100</f>
        <v>-0.975885449765099</v>
      </c>
      <c r="K56" s="14" t="n">
        <f aca="false">(M11-M29)*100</f>
        <v>-5.63588027201791</v>
      </c>
      <c r="L56" s="15" t="n">
        <v>0.3933</v>
      </c>
      <c r="M56" s="15" t="n">
        <v>0.0735</v>
      </c>
      <c r="N56" s="15" t="n">
        <v>0.0737</v>
      </c>
      <c r="O56" s="15" t="n">
        <v>-0.0321</v>
      </c>
      <c r="P56" s="15" t="n">
        <v>0.211</v>
      </c>
      <c r="Q56" s="16" t="n">
        <v>7.87</v>
      </c>
      <c r="R56" s="16" t="n">
        <v>-1.26</v>
      </c>
      <c r="S56" s="16" t="n">
        <v>-0.98</v>
      </c>
      <c r="T56" s="16" t="n">
        <v>-5.64</v>
      </c>
      <c r="U56" s="17" t="n">
        <f aca="false">MAX(ABS(C56-L56),ABS(D56-M56),ABS(E56-N56),ABS(F56-O56),ABS(G56-P56),ABS(H56-Q56)/100,ABS(I56-R56)/100,ABS(J56-S56)/100,ABS(K56-T56)/100)</f>
        <v>4.95362889686435E-005</v>
      </c>
      <c r="V56" s="18" t="n">
        <f aca="false">SUMPRODUCT(--(SIGN(ROUND(C56:G56,4))&lt;&gt;SIGN(ROUND(L56:P56,4))))+SUMPRODUCT(--(SIGN(ROUND(H56:K56,2))&lt;&gt;SIGN(ROUND(Q56:T56,2))))</f>
        <v>0</v>
      </c>
    </row>
    <row r="58" customFormat="false" ht="15" hidden="false" customHeight="false" outlineLevel="0" collapsed="false">
      <c r="A58" s="4" t="s">
        <v>86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46.25" hidden="false" customHeight="false" outlineLevel="0" collapsed="false">
      <c r="A59" s="8" t="s">
        <v>39</v>
      </c>
      <c r="B59" s="8" t="s">
        <v>40</v>
      </c>
      <c r="C59" s="8" t="s">
        <v>64</v>
      </c>
      <c r="D59" s="8" t="s">
        <v>65</v>
      </c>
      <c r="E59" s="8" t="s">
        <v>66</v>
      </c>
      <c r="F59" s="8" t="s">
        <v>67</v>
      </c>
      <c r="G59" s="8" t="s">
        <v>68</v>
      </c>
      <c r="H59" s="8" t="s">
        <v>69</v>
      </c>
      <c r="I59" s="8" t="s">
        <v>70</v>
      </c>
      <c r="J59" s="8" t="s">
        <v>71</v>
      </c>
      <c r="K59" s="8" t="s">
        <v>72</v>
      </c>
      <c r="L59" s="8" t="s">
        <v>73</v>
      </c>
      <c r="M59" s="8" t="s">
        <v>74</v>
      </c>
      <c r="N59" s="8" t="s">
        <v>75</v>
      </c>
      <c r="O59" s="8" t="s">
        <v>76</v>
      </c>
      <c r="P59" s="8" t="s">
        <v>77</v>
      </c>
      <c r="Q59" s="8" t="s">
        <v>78</v>
      </c>
      <c r="R59" s="8" t="s">
        <v>79</v>
      </c>
      <c r="S59" s="8" t="s">
        <v>80</v>
      </c>
      <c r="T59" s="8" t="s">
        <v>81</v>
      </c>
      <c r="U59" s="8" t="s">
        <v>82</v>
      </c>
      <c r="V59" s="8" t="s">
        <v>83</v>
      </c>
    </row>
    <row r="60" customFormat="false" ht="15" hidden="false" customHeight="false" outlineLevel="0" collapsed="false">
      <c r="A60" s="9" t="n">
        <v>1</v>
      </c>
      <c r="B60" s="9" t="s">
        <v>53</v>
      </c>
      <c r="C60" s="12" t="n">
        <f aca="false">C7/C34-1</f>
        <v>-0.00765017462915474</v>
      </c>
      <c r="D60" s="12" t="n">
        <f aca="false">D7/D34-1</f>
        <v>-0.0512892558410963</v>
      </c>
      <c r="E60" s="12" t="n">
        <f aca="false">E7/E34-1</f>
        <v>-0.0849643022058039</v>
      </c>
      <c r="F60" s="12" t="n">
        <f aca="false">F7/F34-1</f>
        <v>-0.315702625453045</v>
      </c>
      <c r="G60" s="12" t="n">
        <f aca="false">G7/G34-1</f>
        <v>-0.107192866197995</v>
      </c>
      <c r="H60" s="14" t="n">
        <f aca="false">(J7-J34)*100</f>
        <v>6.23138653015566</v>
      </c>
      <c r="I60" s="14" t="n">
        <f aca="false">(K7-K34)*100</f>
        <v>0.417343794585667</v>
      </c>
      <c r="J60" s="14" t="n">
        <f aca="false">(L7-L34)*100</f>
        <v>0.201952320229301</v>
      </c>
      <c r="K60" s="14" t="n">
        <f aca="false">(M7-M34)*100</f>
        <v>-6.85068264497063</v>
      </c>
      <c r="L60" s="15" t="n">
        <v>-0.0077</v>
      </c>
      <c r="M60" s="15" t="n">
        <v>-0.0513</v>
      </c>
      <c r="N60" s="15" t="n">
        <v>-0.085</v>
      </c>
      <c r="O60" s="15" t="n">
        <v>-0.3157</v>
      </c>
      <c r="P60" s="15" t="n">
        <v>-0.1072</v>
      </c>
      <c r="Q60" s="16" t="n">
        <v>6.23</v>
      </c>
      <c r="R60" s="16" t="n">
        <v>0.42</v>
      </c>
      <c r="S60" s="16" t="n">
        <v>0.2</v>
      </c>
      <c r="T60" s="16" t="n">
        <v>-6.85</v>
      </c>
      <c r="U60" s="17" t="n">
        <f aca="false">MAX(ABS(C60-L60),ABS(D60-M60),ABS(E60-N60),ABS(F60-O60),ABS(G60-P60),ABS(H60-Q60)/100,ABS(I60-R60)/100,ABS(J60-S60)/100,ABS(K60-T60)/100)</f>
        <v>4.98253708452624E-005</v>
      </c>
      <c r="V60" s="18" t="n">
        <f aca="false">SUMPRODUCT(--(SIGN(ROUND(C60:G60,4))&lt;&gt;SIGN(ROUND(L60:P60,4))))+SUMPRODUCT(--(SIGN(ROUND(H60:K60,2))&lt;&gt;SIGN(ROUND(Q60:T60,2))))</f>
        <v>0</v>
      </c>
    </row>
    <row r="61" customFormat="false" ht="15" hidden="false" customHeight="false" outlineLevel="0" collapsed="false">
      <c r="A61" s="9" t="n">
        <v>2</v>
      </c>
      <c r="B61" s="9" t="s">
        <v>54</v>
      </c>
      <c r="C61" s="12" t="n">
        <f aca="false">C8/C35-1</f>
        <v>0.018679723681615</v>
      </c>
      <c r="D61" s="12" t="n">
        <f aca="false">D8/D35-1</f>
        <v>0.00219040512887858</v>
      </c>
      <c r="E61" s="12" t="n">
        <f aca="false">E8/E35-1</f>
        <v>-0.0123502486089006</v>
      </c>
      <c r="F61" s="12" t="n">
        <f aca="false">F8/F35-1</f>
        <v>0.0299829979399622</v>
      </c>
      <c r="G61" s="12" t="n">
        <f aca="false">G8/G35-1</f>
        <v>0.0153290913995245</v>
      </c>
      <c r="H61" s="14" t="n">
        <f aca="false">(J8-J35)*100</f>
        <v>0.190640648359186</v>
      </c>
      <c r="I61" s="14" t="n">
        <f aca="false">(K8-K35)*100</f>
        <v>-0.211236989592736</v>
      </c>
      <c r="J61" s="14" t="n">
        <f aca="false">(L8-L35)*100</f>
        <v>-0.231009838605074</v>
      </c>
      <c r="K61" s="14" t="n">
        <f aca="false">(M8-M35)*100</f>
        <v>0.25160617983862</v>
      </c>
      <c r="L61" s="15" t="n">
        <v>0.0187</v>
      </c>
      <c r="M61" s="15" t="n">
        <v>0.0022</v>
      </c>
      <c r="N61" s="15" t="n">
        <v>-0.0123</v>
      </c>
      <c r="O61" s="15" t="n">
        <v>0.03</v>
      </c>
      <c r="P61" s="15" t="n">
        <v>0.0153</v>
      </c>
      <c r="Q61" s="16" t="n">
        <v>0.19</v>
      </c>
      <c r="R61" s="16" t="n">
        <v>-0.21</v>
      </c>
      <c r="S61" s="16" t="n">
        <v>-0.23</v>
      </c>
      <c r="T61" s="16" t="n">
        <v>0.25</v>
      </c>
      <c r="U61" s="17" t="n">
        <f aca="false">MAX(ABS(C61-L61),ABS(D61-M61),ABS(E61-N61),ABS(F61-O61),ABS(G61-P61),ABS(H61-Q61)/100,ABS(I61-R61)/100,ABS(J61-S61)/100,ABS(K61-T61)/100)</f>
        <v>5.0248608900549E-005</v>
      </c>
      <c r="V61" s="18" t="n">
        <f aca="false">SUMPRODUCT(--(SIGN(ROUND(C61:G61,4))&lt;&gt;SIGN(ROUND(L61:P61,4))))+SUMPRODUCT(--(SIGN(ROUND(H61:K61,2))&lt;&gt;SIGN(ROUND(Q61:T61,2))))</f>
        <v>0</v>
      </c>
    </row>
    <row r="62" customFormat="false" ht="15" hidden="false" customHeight="false" outlineLevel="0" collapsed="false">
      <c r="A62" s="9" t="n">
        <v>3</v>
      </c>
      <c r="B62" s="9" t="s">
        <v>55</v>
      </c>
      <c r="C62" s="12" t="n">
        <f aca="false">C9/C36-1</f>
        <v>1.03092137308737</v>
      </c>
      <c r="D62" s="12" t="n">
        <f aca="false">D9/D36-1</f>
        <v>0.186204913863641</v>
      </c>
      <c r="E62" s="12" t="n">
        <f aca="false">E9/E36-1</f>
        <v>0.137213116758575</v>
      </c>
      <c r="F62" s="12" t="n">
        <f aca="false">F9/F36-1</f>
        <v>-0.0688763311042687</v>
      </c>
      <c r="G62" s="12" t="n">
        <f aca="false">G9/G36-1</f>
        <v>0.453765402696309</v>
      </c>
      <c r="H62" s="14" t="n">
        <f aca="false">(J9-J36)*100</f>
        <v>17.1898153138662</v>
      </c>
      <c r="I62" s="14" t="n">
        <f aca="false">(K9-K36)*100</f>
        <v>-1.93641787846569</v>
      </c>
      <c r="J62" s="14" t="n">
        <f aca="false">(L9-L36)*100</f>
        <v>-2.0717660590538</v>
      </c>
      <c r="K62" s="14" t="n">
        <f aca="false">(M9-M36)*100</f>
        <v>-13.1816147566749</v>
      </c>
      <c r="L62" s="15" t="n">
        <v>1.0309</v>
      </c>
      <c r="M62" s="15" t="n">
        <v>0.1862</v>
      </c>
      <c r="N62" s="15" t="n">
        <v>0.1372</v>
      </c>
      <c r="O62" s="15" t="n">
        <v>-0.0689</v>
      </c>
      <c r="P62" s="15" t="n">
        <v>0.4538</v>
      </c>
      <c r="Q62" s="16" t="n">
        <v>17.19</v>
      </c>
      <c r="R62" s="16" t="n">
        <v>-1.94</v>
      </c>
      <c r="S62" s="16" t="n">
        <v>-2.07</v>
      </c>
      <c r="T62" s="16" t="n">
        <v>-13.18</v>
      </c>
      <c r="U62" s="17" t="n">
        <f aca="false">MAX(ABS(C62-L62),ABS(D62-M62),ABS(E62-N62),ABS(F62-O62),ABS(G62-P62),ABS(H62-Q62)/100,ABS(I62-R62)/100,ABS(J62-S62)/100,ABS(K62-T62)/100)</f>
        <v>3.58212153430948E-005</v>
      </c>
      <c r="V62" s="18" t="n">
        <f aca="false">SUMPRODUCT(--(SIGN(ROUND(C62:G62,4))&lt;&gt;SIGN(ROUND(L62:P62,4))))+SUMPRODUCT(--(SIGN(ROUND(H62:K62,2))&lt;&gt;SIGN(ROUND(Q62:T62,2))))</f>
        <v>0</v>
      </c>
    </row>
    <row r="63" customFormat="false" ht="15" hidden="false" customHeight="false" outlineLevel="0" collapsed="false">
      <c r="A63" s="9" t="n">
        <v>4</v>
      </c>
      <c r="B63" s="9" t="s">
        <v>56</v>
      </c>
      <c r="C63" s="12" t="n">
        <f aca="false">C10/C37-1</f>
        <v>-0.360524399126002</v>
      </c>
      <c r="D63" s="12" t="n">
        <f aca="false">D10/D37-1</f>
        <v>-0.0346820809248555</v>
      </c>
      <c r="E63" s="12" t="n">
        <f aca="false">E10/E37-1</f>
        <v>0.0413793103448277</v>
      </c>
      <c r="F63" s="12" t="n">
        <f aca="false">F10/F37-1</f>
        <v>-0.0747126436781609</v>
      </c>
      <c r="G63" s="12" t="n">
        <f aca="false">G10/G37-1</f>
        <v>-0.23869801084991</v>
      </c>
      <c r="H63" s="14" t="n">
        <f aca="false">(J10-J37)*100</f>
        <v>-9.93275719139396</v>
      </c>
      <c r="I63" s="14" t="n">
        <f aca="false">(K10-K37)*100</f>
        <v>4.19177623242688</v>
      </c>
      <c r="J63" s="14" t="n">
        <f aca="false">(L10-L37)*100</f>
        <v>2.41159213617796</v>
      </c>
      <c r="K63" s="14" t="n">
        <f aca="false">(M10-M37)*100</f>
        <v>3.38877124559196</v>
      </c>
      <c r="L63" s="15" t="n">
        <v>-0.3608</v>
      </c>
      <c r="M63" s="15" t="n">
        <v>-0.0368</v>
      </c>
      <c r="N63" s="15" t="n">
        <v>0.0456</v>
      </c>
      <c r="O63" s="15" t="n">
        <v>-0.0764</v>
      </c>
      <c r="P63" s="15" t="n">
        <v>-0.2387</v>
      </c>
      <c r="Q63" s="16" t="n">
        <v>-9.95</v>
      </c>
      <c r="R63" s="16" t="n">
        <v>4.15</v>
      </c>
      <c r="S63" s="16" t="n">
        <v>2.44</v>
      </c>
      <c r="T63" s="16" t="n">
        <v>3.36</v>
      </c>
      <c r="U63" s="17" t="n">
        <f aca="false">MAX(ABS(C63-L63),ABS(D63-M63),ABS(E63-N63),ABS(F63-O63),ABS(G63-P63),ABS(H63-Q63)/100,ABS(I63-R63)/100,ABS(J63-S63)/100,ABS(K63-T63)/100)</f>
        <v>0.00422068965517232</v>
      </c>
      <c r="V63" s="18" t="n">
        <f aca="false">SUMPRODUCT(--(SIGN(ROUND(C63:G63,4))&lt;&gt;SIGN(ROUND(L63:P63,4))))+SUMPRODUCT(--(SIGN(ROUND(H63:K63,2))&lt;&gt;SIGN(ROUND(Q63:T63,2))))</f>
        <v>0</v>
      </c>
    </row>
    <row r="64" customFormat="false" ht="15" hidden="false" customHeight="false" outlineLevel="0" collapsed="false">
      <c r="A64" s="9" t="n">
        <v>5</v>
      </c>
      <c r="B64" s="13" t="s">
        <v>84</v>
      </c>
      <c r="C64" s="12" t="n">
        <f aca="false">C11/C38-1</f>
        <v>0.659315221895884</v>
      </c>
      <c r="D64" s="12" t="n">
        <f aca="false">D11/D38-1</f>
        <v>0.117121830737436</v>
      </c>
      <c r="E64" s="12" t="n">
        <f aca="false">E11/E38-1</f>
        <v>0.0907334882345059</v>
      </c>
      <c r="F64" s="12" t="n">
        <f aca="false">F11/F38-1</f>
        <v>-0.0751795895709934</v>
      </c>
      <c r="G64" s="12" t="n">
        <f aca="false">G11/G38-1</f>
        <v>0.311220149723485</v>
      </c>
      <c r="H64" s="14" t="n">
        <f aca="false">(J11-J38)*100</f>
        <v>12.6167918655303</v>
      </c>
      <c r="I64" s="14" t="n">
        <f aca="false">(K11-K38)*100</f>
        <v>-1.70220273129458</v>
      </c>
      <c r="J64" s="14" t="n">
        <f aca="false">(L11-L38)*100</f>
        <v>-1.54199012161337</v>
      </c>
      <c r="K64" s="14" t="n">
        <f aca="false">(M11-M38)*100</f>
        <v>-9.37259901262233</v>
      </c>
      <c r="L64" s="15" t="n">
        <v>0.6593</v>
      </c>
      <c r="M64" s="15" t="n">
        <v>0.1171</v>
      </c>
      <c r="N64" s="15" t="n">
        <v>0.0907</v>
      </c>
      <c r="O64" s="15" t="n">
        <v>-0.0752</v>
      </c>
      <c r="P64" s="15" t="n">
        <v>0.3112</v>
      </c>
      <c r="Q64" s="16" t="n">
        <v>12.62</v>
      </c>
      <c r="R64" s="16" t="n">
        <v>-1.7</v>
      </c>
      <c r="S64" s="16" t="n">
        <v>-1.54</v>
      </c>
      <c r="T64" s="16" t="n">
        <v>-9.37</v>
      </c>
      <c r="U64" s="17" t="n">
        <f aca="false">MAX(ABS(C64-L64),ABS(D64-M64),ABS(E64-N64),ABS(F64-O64),ABS(G64-P64),ABS(H64-Q64)/100,ABS(I64-R64)/100,ABS(J64-S64)/100,ABS(K64-T64)/100)</f>
        <v>3.34882345058851E-005</v>
      </c>
      <c r="V64" s="18" t="n">
        <f aca="false">SUMPRODUCT(--(SIGN(ROUND(C64:G64,4))&lt;&gt;SIGN(ROUND(L64:P64,4))))+SUMPRODUCT(--(SIGN(ROUND(H64:K64,2))&lt;&gt;SIGN(ROUND(Q64:T64,2))))</f>
        <v>0</v>
      </c>
    </row>
    <row r="67" customFormat="false" ht="15" hidden="false" customHeight="false" outlineLevel="0" collapsed="false">
      <c r="A67" s="4" t="s">
        <v>87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23.85" hidden="false" customHeight="false" outlineLevel="0" collapsed="false">
      <c r="A68" s="8" t="s">
        <v>39</v>
      </c>
      <c r="B68" s="8" t="s">
        <v>88</v>
      </c>
      <c r="C68" s="8" t="s">
        <v>89</v>
      </c>
      <c r="D68" s="8" t="s">
        <v>90</v>
      </c>
      <c r="E68" s="8" t="s">
        <v>91</v>
      </c>
    </row>
    <row r="69" customFormat="false" ht="102.2" hidden="false" customHeight="false" outlineLevel="0" collapsed="false">
      <c r="A69" s="9" t="n">
        <v>1</v>
      </c>
      <c r="B69" s="19" t="s">
        <v>92</v>
      </c>
      <c r="C69" s="18" t="n">
        <f aca="false">SUM(V44:V48,V52:V56,V60:V64)</f>
        <v>0</v>
      </c>
      <c r="D69" s="9" t="s">
        <v>93</v>
      </c>
      <c r="E69" s="20" t="s">
        <v>94</v>
      </c>
    </row>
    <row r="70" customFormat="false" ht="57.45" hidden="false" customHeight="false" outlineLevel="0" collapsed="false">
      <c r="A70" s="9" t="n">
        <v>2</v>
      </c>
      <c r="B70" s="19" t="s">
        <v>95</v>
      </c>
      <c r="C70" s="14" t="n">
        <f aca="false">H48</f>
        <v>13.3100198396162</v>
      </c>
      <c r="D70" s="9" t="s">
        <v>96</v>
      </c>
      <c r="E70" s="20" t="s">
        <v>97</v>
      </c>
    </row>
    <row r="71" customFormat="false" ht="57.45" hidden="false" customHeight="false" outlineLevel="0" collapsed="false">
      <c r="A71" s="9" t="n">
        <v>3</v>
      </c>
      <c r="B71" s="19" t="s">
        <v>98</v>
      </c>
      <c r="C71" s="17" t="n">
        <f aca="false">MAX(U44:U48,U52:U56,U60:U64)</f>
        <v>0.00422068965517232</v>
      </c>
      <c r="D71" s="9" t="s">
        <v>99</v>
      </c>
      <c r="E71" s="20" t="s">
        <v>100</v>
      </c>
    </row>
    <row r="72" customFormat="false" ht="35.05" hidden="false" customHeight="false" outlineLevel="0" collapsed="false">
      <c r="A72" s="9" t="n">
        <v>4</v>
      </c>
      <c r="B72" s="19" t="s">
        <v>101</v>
      </c>
      <c r="C72" s="11" t="n">
        <f aca="false">MAX(ABS(C13),ABS(G13),ABS(C22),ABS(G22),ABS(C31),ABS(G31),ABS(C40),ABS(G40))</f>
        <v>0.0100000000093132</v>
      </c>
      <c r="D72" s="9" t="s">
        <v>102</v>
      </c>
      <c r="E72" s="20" t="s">
        <v>103</v>
      </c>
    </row>
    <row r="73" customFormat="false" ht="79.85" hidden="false" customHeight="false" outlineLevel="0" collapsed="false">
      <c r="A73" s="9" t="n">
        <v>5</v>
      </c>
      <c r="B73" s="19" t="s">
        <v>104</v>
      </c>
      <c r="C73" s="11" t="n">
        <f aca="false">C9-C18</f>
        <v>27914.31</v>
      </c>
      <c r="D73" s="9" t="s">
        <v>102</v>
      </c>
      <c r="E73" s="20" t="s">
        <v>105</v>
      </c>
    </row>
    <row r="74" customFormat="false" ht="46.25" hidden="false" customHeight="false" outlineLevel="0" collapsed="false">
      <c r="A74" s="9" t="n">
        <v>6</v>
      </c>
      <c r="B74" s="19" t="s">
        <v>106</v>
      </c>
      <c r="C74" s="21" t="n">
        <f aca="false">B2_Balance_Movement!J25-G11</f>
        <v>2338.83</v>
      </c>
      <c r="D74" s="9" t="s">
        <v>102</v>
      </c>
      <c r="E74" s="20" t="s">
        <v>107</v>
      </c>
    </row>
    <row r="76" customFormat="false" ht="15" hidden="false" customHeight="false" outlineLevel="0" collapsed="false">
      <c r="A76" s="4" t="s">
        <v>108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8" customFormat="false" ht="15" hidden="false" customHeight="false" outlineLevel="0" collapsed="false">
      <c r="A78" s="4" t="s">
        <v>109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23.85" hidden="false" customHeight="false" outlineLevel="0" collapsed="false">
      <c r="A79" s="8" t="s">
        <v>39</v>
      </c>
      <c r="B79" s="8" t="s">
        <v>110</v>
      </c>
      <c r="C79" s="8" t="s">
        <v>111</v>
      </c>
      <c r="D79" s="8" t="s">
        <v>112</v>
      </c>
      <c r="E79" s="8" t="s">
        <v>113</v>
      </c>
      <c r="F79" s="8" t="s">
        <v>90</v>
      </c>
      <c r="G79" s="8" t="s">
        <v>114</v>
      </c>
    </row>
    <row r="80" customFormat="false" ht="57.45" hidden="false" customHeight="false" outlineLevel="0" collapsed="false">
      <c r="A80" s="9" t="n">
        <v>1</v>
      </c>
      <c r="B80" s="13" t="s">
        <v>115</v>
      </c>
      <c r="C80" s="20" t="s">
        <v>116</v>
      </c>
      <c r="D80" s="20" t="s">
        <v>117</v>
      </c>
      <c r="E80" s="11" t="n">
        <f aca="false">C9</f>
        <v>52910.64</v>
      </c>
      <c r="F80" s="9" t="s">
        <v>102</v>
      </c>
      <c r="G80" s="20"/>
    </row>
    <row r="81" customFormat="false" ht="35.05" hidden="false" customHeight="false" outlineLevel="0" collapsed="false">
      <c r="A81" s="9" t="n">
        <v>2</v>
      </c>
      <c r="B81" s="13" t="s">
        <v>115</v>
      </c>
      <c r="C81" s="20" t="s">
        <v>118</v>
      </c>
      <c r="D81" s="20" t="s">
        <v>119</v>
      </c>
      <c r="E81" s="12" t="n">
        <f aca="false">M11</f>
        <v>0.224326519512322</v>
      </c>
      <c r="F81" s="9" t="s">
        <v>99</v>
      </c>
      <c r="G81" s="20"/>
    </row>
    <row r="82" customFormat="false" ht="35.05" hidden="false" customHeight="false" outlineLevel="0" collapsed="false">
      <c r="A82" s="9" t="n">
        <v>3</v>
      </c>
      <c r="B82" s="13" t="s">
        <v>115</v>
      </c>
      <c r="C82" s="20" t="s">
        <v>120</v>
      </c>
      <c r="D82" s="20" t="s">
        <v>117</v>
      </c>
      <c r="E82" s="11" t="n">
        <f aca="false">G20</f>
        <v>87794.42</v>
      </c>
      <c r="F82" s="9" t="s">
        <v>102</v>
      </c>
      <c r="G82" s="20"/>
    </row>
    <row r="83" customFormat="false" ht="35.05" hidden="false" customHeight="false" outlineLevel="0" collapsed="false">
      <c r="A83" s="9" t="n">
        <v>4</v>
      </c>
      <c r="B83" s="13" t="s">
        <v>121</v>
      </c>
      <c r="C83" s="20" t="s">
        <v>122</v>
      </c>
      <c r="D83" s="20" t="s">
        <v>123</v>
      </c>
      <c r="E83" s="12" t="n">
        <f aca="false">G48</f>
        <v>0.288348507798104</v>
      </c>
      <c r="F83" s="9" t="s">
        <v>99</v>
      </c>
      <c r="G83" s="20"/>
    </row>
    <row r="84" customFormat="false" ht="57.45" hidden="false" customHeight="false" outlineLevel="0" collapsed="false">
      <c r="A84" s="9" t="n">
        <v>5</v>
      </c>
      <c r="B84" s="13" t="s">
        <v>121</v>
      </c>
      <c r="C84" s="20" t="s">
        <v>124</v>
      </c>
      <c r="D84" s="20" t="s">
        <v>125</v>
      </c>
      <c r="E84" s="14" t="n">
        <f aca="false">H48</f>
        <v>13.3100198396162</v>
      </c>
      <c r="F84" s="9" t="s">
        <v>96</v>
      </c>
      <c r="G84" s="20" t="s">
        <v>126</v>
      </c>
    </row>
    <row r="85" customFormat="false" ht="35.05" hidden="false" customHeight="false" outlineLevel="0" collapsed="false">
      <c r="A85" s="9" t="n">
        <v>6</v>
      </c>
      <c r="B85" s="13" t="s">
        <v>121</v>
      </c>
      <c r="C85" s="20" t="s">
        <v>127</v>
      </c>
      <c r="D85" s="20" t="s">
        <v>128</v>
      </c>
      <c r="E85" s="12" t="n">
        <f aca="false">G52</f>
        <v>-0.0373517780421808</v>
      </c>
      <c r="F85" s="9" t="s">
        <v>99</v>
      </c>
      <c r="G85" s="20"/>
    </row>
    <row r="86" customFormat="false" ht="46.25" hidden="false" customHeight="false" outlineLevel="0" collapsed="false">
      <c r="A86" s="9" t="n">
        <v>7</v>
      </c>
      <c r="B86" s="13" t="s">
        <v>121</v>
      </c>
      <c r="C86" s="20" t="s">
        <v>129</v>
      </c>
      <c r="D86" s="20" t="s">
        <v>130</v>
      </c>
      <c r="E86" s="12" t="n">
        <f aca="false">N9</f>
        <v>0.773342029307626</v>
      </c>
      <c r="F86" s="9" t="s">
        <v>99</v>
      </c>
      <c r="G86" s="20"/>
    </row>
    <row r="87" customFormat="false" ht="68.65" hidden="false" customHeight="false" outlineLevel="0" collapsed="false">
      <c r="A87" s="9" t="n">
        <v>8</v>
      </c>
      <c r="B87" s="13" t="s">
        <v>131</v>
      </c>
      <c r="C87" s="20" t="s">
        <v>132</v>
      </c>
      <c r="D87" s="20" t="s">
        <v>133</v>
      </c>
      <c r="E87" s="12" t="n">
        <f aca="false">F44</f>
        <v>-0.491244340587118</v>
      </c>
      <c r="F87" s="9" t="s">
        <v>99</v>
      </c>
      <c r="G87" s="20" t="s">
        <v>134</v>
      </c>
    </row>
    <row r="88" customFormat="false" ht="68.65" hidden="false" customHeight="false" outlineLevel="0" collapsed="false">
      <c r="A88" s="9" t="n">
        <v>9</v>
      </c>
      <c r="B88" s="13" t="s">
        <v>131</v>
      </c>
      <c r="C88" s="20" t="s">
        <v>135</v>
      </c>
      <c r="D88" s="20" t="s">
        <v>136</v>
      </c>
      <c r="E88" s="12" t="n">
        <f aca="false">(C9-C18)/(G11-G20)</f>
        <v>1.10266166154264</v>
      </c>
      <c r="F88" s="9" t="s">
        <v>99</v>
      </c>
      <c r="G88" s="20" t="s">
        <v>137</v>
      </c>
    </row>
    <row r="89" customFormat="false" ht="68.65" hidden="false" customHeight="false" outlineLevel="0" collapsed="false">
      <c r="A89" s="9" t="n">
        <v>10</v>
      </c>
      <c r="B89" s="13" t="s">
        <v>131</v>
      </c>
      <c r="C89" s="20" t="s">
        <v>138</v>
      </c>
      <c r="D89" s="20" t="s">
        <v>139</v>
      </c>
      <c r="E89" s="12" t="n">
        <f aca="false">(G11-G9)/(G20-G18)-1</f>
        <v>-0.0993444953098692</v>
      </c>
      <c r="F89" s="9" t="s">
        <v>99</v>
      </c>
      <c r="G89" s="20" t="s">
        <v>140</v>
      </c>
    </row>
    <row r="91" customFormat="false" ht="15" hidden="false" customHeight="false" outlineLevel="0" collapsed="false">
      <c r="A91" s="4" t="s">
        <v>141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69.75" hidden="false" customHeight="true" outlineLevel="0" collapsed="false">
      <c r="A92" s="22" t="s">
        <v>142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4" customFormat="false" ht="15" hidden="false" customHeight="false" outlineLevel="0" collapsed="false">
      <c r="A94" s="3" t="s">
        <v>2</v>
      </c>
    </row>
  </sheetData>
  <mergeCells count="1">
    <mergeCell ref="A92:N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145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3" t="s">
        <v>146</v>
      </c>
      <c r="C6" s="23" t="s">
        <v>147</v>
      </c>
      <c r="D6" s="23"/>
      <c r="E6" s="23"/>
      <c r="F6" s="23"/>
    </row>
    <row r="7" customFormat="false" ht="15" hidden="false" customHeight="true" outlineLevel="0" collapsed="false">
      <c r="B7" s="13" t="s">
        <v>148</v>
      </c>
      <c r="C7" s="20" t="s">
        <v>149</v>
      </c>
      <c r="D7" s="20"/>
      <c r="E7" s="20"/>
      <c r="F7" s="20"/>
    </row>
    <row r="8" customFormat="false" ht="15" hidden="false" customHeight="true" outlineLevel="0" collapsed="false">
      <c r="B8" s="13" t="s">
        <v>150</v>
      </c>
      <c r="C8" s="20" t="s">
        <v>151</v>
      </c>
      <c r="D8" s="20"/>
      <c r="E8" s="20"/>
      <c r="F8" s="20"/>
    </row>
    <row r="9" customFormat="false" ht="15" hidden="false" customHeight="true" outlineLevel="0" collapsed="false">
      <c r="B9" s="13" t="s">
        <v>152</v>
      </c>
      <c r="C9" s="20" t="s">
        <v>153</v>
      </c>
      <c r="D9" s="20"/>
      <c r="E9" s="20"/>
      <c r="F9" s="20"/>
    </row>
    <row r="10" customFormat="false" ht="15" hidden="false" customHeight="true" outlineLevel="0" collapsed="false">
      <c r="B10" s="13" t="s">
        <v>154</v>
      </c>
      <c r="C10" s="20" t="s">
        <v>155</v>
      </c>
      <c r="D10" s="20"/>
      <c r="E10" s="20"/>
      <c r="F10" s="20"/>
    </row>
    <row r="11" customFormat="false" ht="15" hidden="false" customHeight="true" outlineLevel="0" collapsed="false">
      <c r="B11" s="13" t="s">
        <v>156</v>
      </c>
      <c r="C11" s="20" t="s">
        <v>157</v>
      </c>
      <c r="D11" s="20"/>
      <c r="E11" s="20"/>
      <c r="F11" s="20"/>
    </row>
    <row r="12" customFormat="false" ht="15" hidden="false" customHeight="true" outlineLevel="0" collapsed="false">
      <c r="B12" s="13" t="s">
        <v>158</v>
      </c>
      <c r="C12" s="20" t="s">
        <v>159</v>
      </c>
      <c r="D12" s="20"/>
      <c r="E12" s="20"/>
      <c r="F12" s="20"/>
    </row>
    <row r="13" customFormat="false" ht="15" hidden="false" customHeight="true" outlineLevel="0" collapsed="false">
      <c r="B13" s="13" t="s">
        <v>160</v>
      </c>
      <c r="C13" s="20" t="s">
        <v>161</v>
      </c>
      <c r="D13" s="20"/>
      <c r="E13" s="20"/>
      <c r="F13" s="20"/>
    </row>
    <row r="14" customFormat="false" ht="15" hidden="false" customHeight="true" outlineLevel="0" collapsed="false">
      <c r="B14" s="13" t="s">
        <v>162</v>
      </c>
      <c r="C14" s="20" t="s">
        <v>163</v>
      </c>
      <c r="D14" s="20"/>
      <c r="E14" s="20"/>
      <c r="F14" s="20"/>
    </row>
    <row r="15" customFormat="false" ht="15" hidden="false" customHeight="true" outlineLevel="0" collapsed="false">
      <c r="B15" s="13" t="s">
        <v>164</v>
      </c>
      <c r="C15" s="20" t="s">
        <v>165</v>
      </c>
      <c r="D15" s="20"/>
      <c r="E15" s="20"/>
      <c r="F15" s="20"/>
    </row>
    <row r="16" customFormat="false" ht="15" hidden="false" customHeight="true" outlineLevel="0" collapsed="false">
      <c r="B16" s="13" t="s">
        <v>166</v>
      </c>
      <c r="C16" s="20" t="s">
        <v>167</v>
      </c>
      <c r="D16" s="20"/>
      <c r="E16" s="20"/>
      <c r="F16" s="20"/>
    </row>
    <row r="17" customFormat="false" ht="15" hidden="false" customHeight="false" outlineLevel="0" collapsed="false">
      <c r="B17" s="24" t="s">
        <v>168</v>
      </c>
    </row>
    <row r="19" customFormat="false" ht="15" hidden="false" customHeight="false" outlineLevel="0" collapsed="false">
      <c r="A19" s="4" t="s">
        <v>169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8" t="s">
        <v>39</v>
      </c>
      <c r="B20" s="8" t="s">
        <v>170</v>
      </c>
      <c r="C20" s="8" t="s">
        <v>171</v>
      </c>
      <c r="D20" s="8" t="s">
        <v>172</v>
      </c>
      <c r="E20" s="8" t="s">
        <v>173</v>
      </c>
      <c r="F20" s="8" t="s">
        <v>174</v>
      </c>
    </row>
    <row r="21" customFormat="false" ht="23.85" hidden="false" customHeight="false" outlineLevel="0" collapsed="false">
      <c r="A21" s="9" t="n">
        <v>1</v>
      </c>
      <c r="B21" s="20" t="s">
        <v>175</v>
      </c>
      <c r="C21" s="20" t="s">
        <v>176</v>
      </c>
      <c r="D21" s="20" t="s">
        <v>177</v>
      </c>
      <c r="E21" s="20" t="s">
        <v>178</v>
      </c>
      <c r="F21" s="25" t="str">
        <f aca="false">"Deposits INSIGNIA CM / LM / LQ / LY "&amp;TEXT(B1_MEB_Periods!C9,"#,##0.00;-#,##0.00;0.00")&amp;" / "&amp;TEXT(B1_MEB_Periods!C27,"#,##0.00;-#,##0.00;0.00")&amp;" / "&amp;TEXT(B1_MEB_Periods!C36,"#,##0.00;-#,##0.00;0.00")&amp;" / "&amp;TEXT(B1_MEB_Periods!C18,"#,##0.00;-#,##0.00;0.00")</f>
        <v>Deposits INSIGNIA CM / LM / LQ / LY 52,910.64 / 33,926.56 / 26,052.53 / 24,996.33</v>
      </c>
    </row>
    <row r="22" customFormat="false" ht="15" hidden="false" customHeight="false" outlineLevel="0" collapsed="false">
      <c r="A22" s="9" t="n">
        <v>2</v>
      </c>
      <c r="B22" s="20" t="s">
        <v>175</v>
      </c>
      <c r="C22" s="20" t="s">
        <v>179</v>
      </c>
      <c r="D22" s="20" t="s">
        <v>180</v>
      </c>
      <c r="E22" s="20" t="s">
        <v>181</v>
      </c>
      <c r="F22" s="25" t="str">
        <f aca="false">"CM: CA "&amp;TEXT(B1_MEB_Periods!G7,"#,##0.00;-#,##0.00;0.00")&amp;"; SA "&amp;TEXT(B1_MEB_Periods!G8,"#,##0.00;-#,##0.00;0.00")&amp;"; Deposits "&amp;TEXT(B1_MEB_Periods!G9,"#,##0.00;-#,##0.00;0.00")&amp;"; ODFD "&amp;TEXT(B1_MEB_Periods!G10,"#,##0.00;-#,##0.00;0.00")</f>
        <v>CM: CA 6,197.51; SA 19,422.88; Deposits 87,472.57; ODFD 16.84</v>
      </c>
    </row>
    <row r="23" customFormat="false" ht="15" hidden="false" customHeight="false" outlineLevel="0" collapsed="false">
      <c r="A23" s="9" t="n">
        <v>3</v>
      </c>
      <c r="B23" s="20" t="s">
        <v>175</v>
      </c>
      <c r="C23" s="20" t="s">
        <v>182</v>
      </c>
      <c r="D23" s="20" t="s">
        <v>183</v>
      </c>
      <c r="E23" s="20" t="s">
        <v>181</v>
      </c>
      <c r="F23" s="25" t="str">
        <f aca="false">"CM: "&amp;TEXT(B1_MEB_Periods!C11,"#,##0.00;-#,##0.00;0.00")&amp;" / "&amp;TEXT(B1_MEB_Periods!D11,"#,##0.00;-#,##0.00;0.00")&amp;" / "&amp;TEXT(B1_MEB_Periods!E11,"#,##0.00;-#,##0.00;0.00")&amp;" / "&amp;TEXT(B1_MEB_Periods!F11,"#,##0.00;-#,##0.00;0.00")</f>
        <v>CM: 68,026.83 / 11,081.29 / 8,628.16 / 25,373.53</v>
      </c>
    </row>
    <row r="24" customFormat="false" ht="15" hidden="false" customHeight="false" outlineLevel="0" collapsed="false">
      <c r="A24" s="9" t="n">
        <v>4</v>
      </c>
      <c r="B24" s="20" t="s">
        <v>175</v>
      </c>
      <c r="C24" s="20" t="s">
        <v>84</v>
      </c>
      <c r="D24" s="20" t="s">
        <v>156</v>
      </c>
      <c r="E24" s="20" t="s">
        <v>184</v>
      </c>
      <c r="F24" s="25" t="str">
        <f aca="false">"CM / LM / LQ / LY "&amp;TEXT(B1_MEB_Periods!G11,"#,##0.00;-#,##0.00;0.00")&amp;" / "&amp;TEXT(B1_MEB_Periods!G29,"#,##0.00;-#,##0.00;0.00")&amp;" / "&amp;TEXT(B1_MEB_Periods!G38,"#,##0.00;-#,##0.00;0.00")&amp;" / "&amp;TEXT(B1_MEB_Periods!G20,"#,##0.00;-#,##0.00;0.00")</f>
        <v>CM / LM / LQ / LY 113,109.81 / 93,398.40 / 86,263.02 / 87,794.42</v>
      </c>
    </row>
    <row r="25" customFormat="false" ht="15" hidden="false" customHeight="false" outlineLevel="0" collapsed="false">
      <c r="A25" s="9" t="n">
        <v>5</v>
      </c>
      <c r="B25" s="20" t="s">
        <v>185</v>
      </c>
      <c r="C25" s="20" t="s">
        <v>186</v>
      </c>
      <c r="D25" s="20" t="s">
        <v>187</v>
      </c>
      <c r="E25" s="20" t="s">
        <v>188</v>
      </c>
      <c r="F25" s="25" t="str">
        <f aca="false">"CM "&amp;TEXT(B1_MEB_Periods!C13,"#,##0.00;-#,##0.00;0.00")&amp;" / "&amp;TEXT(B1_MEB_Periods!D13,"#,##0.00;-#,##0.00;0.00")&amp;" / "&amp;TEXT(B1_MEB_Periods!E13,"#,##0.00;-#,##0.00;0.00")&amp;" / "&amp;TEXT(B1_MEB_Periods!F13,"#,##0.00;-#,##0.00;0.00")&amp;" / "&amp;TEXT(B1_MEB_Periods!G13,"#,##0.00;-#,##0.00;0.00")</f>
        <v>CM -0.01 / 0.00 / 0.01 / 0.00 / 0.01</v>
      </c>
    </row>
    <row r="26" customFormat="false" ht="15" hidden="false" customHeight="false" outlineLevel="0" collapsed="false">
      <c r="A26" s="9" t="n">
        <v>6</v>
      </c>
      <c r="B26" s="20" t="s">
        <v>185</v>
      </c>
      <c r="C26" s="20" t="s">
        <v>189</v>
      </c>
      <c r="D26" s="20" t="s">
        <v>190</v>
      </c>
      <c r="E26" s="20" t="s">
        <v>191</v>
      </c>
      <c r="F26" s="25" t="str">
        <f aca="false">"CM "&amp;TEXT(B1_MEB_Periods!I7,"#,##0.00;-#,##0.00;0.00")&amp;" / "&amp;TEXT(B1_MEB_Periods!I8,"#,##0.00;-#,##0.00;0.00")&amp;" / "&amp;TEXT(B1_MEB_Periods!I9,"#,##0.00;-#,##0.00;0.00")&amp;" / "&amp;TEXT(B1_MEB_Periods!I10,"#,##0.00;-#,##0.00;0.00")&amp;" / "&amp;TEXT(B1_MEB_Periods!I11,"#,##0.00;-#,##0.00;0.00")</f>
        <v>CM 0.00 / 0.00 / 0.00 / -0.01 / 0.00</v>
      </c>
    </row>
    <row r="27" customFormat="false" ht="23.85" hidden="false" customHeight="false" outlineLevel="0" collapsed="false">
      <c r="A27" s="9" t="n">
        <v>7</v>
      </c>
      <c r="B27" s="20" t="s">
        <v>192</v>
      </c>
      <c r="C27" s="20" t="s">
        <v>193</v>
      </c>
      <c r="D27" s="20" t="s">
        <v>194</v>
      </c>
      <c r="E27" s="20" t="s">
        <v>195</v>
      </c>
      <c r="F27" s="25" t="str">
        <f aca="false">"Deposits CM "&amp;TEXT(B1_MEB_Periods!J9,"0.0%")&amp;" / "&amp;TEXT(B1_MEB_Periods!K9,"0.0%")&amp;" / "&amp;TEXT(B1_MEB_Periods!L9,"0.0%")&amp;" / "&amp;TEXT(B1_MEB_Periods!M9,"0.0%")&amp;"; LY "&amp;TEXT(B1_MEB_Periods!J18,"0.0%")&amp;" / "&amp;TEXT(B1_MEB_Periods!K18,"0.0%")&amp;" / "&amp;TEXT(B1_MEB_Periods!L18,"0.0%")&amp;" / "&amp;TEXT(B1_MEB_Periods!M18,"0.0%")</f>
        <v>Deposits CM 60.5% / 8.6% / 7.4% / 23.5%; LY 42.1% / 10.1% / 9.3% / 38.4%</v>
      </c>
    </row>
    <row r="28" customFormat="false" ht="15" hidden="false" customHeight="false" outlineLevel="0" collapsed="false">
      <c r="A28" s="9" t="n">
        <v>8</v>
      </c>
      <c r="B28" s="20" t="s">
        <v>192</v>
      </c>
      <c r="C28" s="20" t="s">
        <v>196</v>
      </c>
      <c r="D28" s="20" t="s">
        <v>197</v>
      </c>
      <c r="E28" s="20" t="s">
        <v>198</v>
      </c>
      <c r="F28" s="25" t="str">
        <f aca="false">"CM "&amp;TEXT(B1_MEB_Periods!J11,"0.0%")&amp;" / "&amp;TEXT(B1_MEB_Periods!K11,"0.0%")&amp;" / "&amp;TEXT(B1_MEB_Periods!L11,"0.0%")&amp;" / "&amp;TEXT(B1_MEB_Periods!M11,"0.0%")&amp;"; LY "&amp;TEXT(B1_MEB_Periods!J20,"0.0%")&amp;" / "&amp;TEXT(B1_MEB_Periods!K20,"0.0%")&amp;" / "&amp;TEXT(B1_MEB_Periods!L20,"0.0%")&amp;" / "&amp;TEXT(B1_MEB_Periods!M20,"0.0%")</f>
        <v>CM 60.1% / 9.8% / 7.6% / 22.4%; LY 46.8% / 11.0% / 8.8% / 33.3%</v>
      </c>
    </row>
    <row r="29" customFormat="false" ht="15" hidden="false" customHeight="false" outlineLevel="0" collapsed="false">
      <c r="A29" s="9" t="n">
        <v>9</v>
      </c>
      <c r="B29" s="20" t="s">
        <v>192</v>
      </c>
      <c r="C29" s="20" t="s">
        <v>199</v>
      </c>
      <c r="D29" s="20" t="s">
        <v>200</v>
      </c>
      <c r="E29" s="20" t="s">
        <v>201</v>
      </c>
      <c r="F29" s="25" t="str">
        <f aca="false">"CM "&amp;TEXT(B1_MEB_Periods!N7,"0.0%")&amp;" / "&amp;TEXT(B1_MEB_Periods!N8,"0.0%")&amp;" / "&amp;TEXT(B1_MEB_Periods!N9,"0.0%")&amp;" / "&amp;TEXT(B1_MEB_Periods!N10,"0.0%")&amp;" (CA / SA / Dep / ODFD)"</f>
        <v>CM 5.5% / 17.2% / 77.3% / 0.0% (CA / SA / Dep / ODFD)</v>
      </c>
    </row>
    <row r="30" customFormat="false" ht="15" hidden="false" customHeight="false" outlineLevel="0" collapsed="false">
      <c r="A30" s="9" t="n">
        <v>10</v>
      </c>
      <c r="B30" s="20" t="s">
        <v>192</v>
      </c>
      <c r="C30" s="20" t="s">
        <v>202</v>
      </c>
      <c r="D30" s="20" t="s">
        <v>203</v>
      </c>
      <c r="E30" s="20" t="s">
        <v>184</v>
      </c>
      <c r="F30" s="25" t="str">
        <f aca="false">"CM "&amp;TEXT((B1_MEB_Periods!G7+B1_MEB_Periods!G8)/B1_MEB_Periods!G11,"0.0%")&amp;"; LM "&amp;TEXT((B1_MEB_Periods!G25+B1_MEB_Periods!G26)/B1_MEB_Periods!G29,"0.0%")&amp;"; LY "&amp;TEXT((B1_MEB_Periods!G16+B1_MEB_Periods!G17)/B1_MEB_Periods!G20,"0.0%")</f>
        <v>CM 22.7%; LM 27.5%; LY 32.4%</v>
      </c>
    </row>
    <row r="31" customFormat="false" ht="23.85" hidden="false" customHeight="false" outlineLevel="0" collapsed="false">
      <c r="A31" s="9" t="n">
        <v>11</v>
      </c>
      <c r="B31" s="20" t="s">
        <v>192</v>
      </c>
      <c r="C31" s="20" t="s">
        <v>204</v>
      </c>
      <c r="D31" s="20" t="s">
        <v>205</v>
      </c>
      <c r="E31" s="20" t="s">
        <v>206</v>
      </c>
      <c r="F31" s="25" t="str">
        <f aca="false">"vs LY, GT row: "&amp;TEXT(B1_MEB_Periods!H48,"+0.0"" pp"";-0.0"" pp"";0.0"" pp""")&amp;" / "&amp;TEXT(B1_MEB_Periods!I48,"+0.0"" pp"";-0.0"" pp"";0.0"" pp""")&amp;" / "&amp;TEXT(B1_MEB_Periods!J48,"+0.0"" pp"";-0.0"" pp"";0.0"" pp""")&amp;" / "&amp;TEXT(B1_MEB_Periods!K48,"+0.0"" pp"";-0.0"" pp"";0.0"" pp""")&amp;"; vs LM "&amp;TEXT(B1_MEB_Periods!H56,"+0.0"" pp"";-0.0"" pp"";0.0"" pp""")&amp;" / "&amp;TEXT(B1_MEB_Periods!I56,"+0.0"" pp"";-0.0"" pp"";0.0"" pp""")&amp;" / "&amp;TEXT(B1_MEB_Periods!J56,"+0.0"" pp"";-0.0"" pp"";0.0"" pp""")&amp;" / "&amp;TEXT(B1_MEB_Periods!K56,"+0.0"" pp"";-0.0"" pp"";0.0"" pp""")</f>
        <v>vs LY, GT row: +13.3 pp / -1.2 pp / -1.2 pp / -10.9 pp; vs LM +7.9 pp / -1.3 pp / -1.0 pp / -5.6 pp</v>
      </c>
    </row>
    <row r="32" customFormat="false" ht="23.85" hidden="false" customHeight="false" outlineLevel="0" collapsed="false">
      <c r="A32" s="9" t="n">
        <v>12</v>
      </c>
      <c r="B32" s="20" t="s">
        <v>207</v>
      </c>
      <c r="C32" s="20" t="s">
        <v>208</v>
      </c>
      <c r="D32" s="20" t="s">
        <v>209</v>
      </c>
      <c r="E32" s="20" t="s">
        <v>210</v>
      </c>
      <c r="F32" s="25" t="str">
        <f aca="false">"CA "&amp;TEXT(B1_MEB_Periods!C44,"+0.0%;-0.0%;0.0%")&amp;" / "&amp;TEXT(B1_MEB_Periods!D44,"+0.0%;-0.0%;0.0%")&amp;" / "&amp;TEXT(B1_MEB_Periods!E44,"+0.0%;-0.0%;0.0%")&amp;" / "&amp;TEXT(B1_MEB_Periods!F44,"+0.0%;-0.0%;0.0%")&amp;" / "&amp;TEXT(B1_MEB_Periods!G44,"+0.0%;-0.0%;0.0%")&amp;"; Deposits "&amp;TEXT(B1_MEB_Periods!C46,"+0.0%;-0.0%;0.0%")&amp;" / "&amp;TEXT(B1_MEB_Periods!D46,"+0.0%;-0.0%;0.0%")&amp;" / "&amp;TEXT(B1_MEB_Periods!E46,"+0.0%;-0.0%;0.0%")&amp;" / "&amp;TEXT(B1_MEB_Periods!F46,"+0.0%;-0.0%;0.0%")&amp;" / "&amp;TEXT(B1_MEB_Periods!G46,"+0.0%;-0.0%;0.0%")</f>
        <v>CA -21.5% / -20.5% / -20.2% / -49.1% / -29.9%; Deposits +111.7% / +24.9% / +17.5% / -9.8% / +47.4%</v>
      </c>
    </row>
    <row r="33" customFormat="false" ht="15" hidden="false" customHeight="false" outlineLevel="0" collapsed="false">
      <c r="A33" s="9" t="n">
        <v>13</v>
      </c>
      <c r="B33" s="20" t="s">
        <v>207</v>
      </c>
      <c r="C33" s="20" t="s">
        <v>211</v>
      </c>
      <c r="D33" s="20" t="s">
        <v>212</v>
      </c>
      <c r="E33" s="20" t="s">
        <v>213</v>
      </c>
      <c r="F33" s="25" t="str">
        <f aca="false">TEXT(B1_MEB_Periods!C48,"+0.0%;-0.0%;0.0%")&amp;" / "&amp;TEXT(B1_MEB_Periods!D48,"+0.0%;-0.0%;0.0%")&amp;" / "&amp;TEXT(B1_MEB_Periods!E48,"+0.0%;-0.0%;0.0%")&amp;" / "&amp;TEXT(B1_MEB_Periods!F48,"+0.0%;-0.0%;0.0%")&amp;" / "&amp;TEXT(B1_MEB_Periods!G48,"+0.0%;-0.0%;0.0%")</f>
        <v>+65.5% / +14.4% / +11.3% / -13.2% / +28.8%</v>
      </c>
    </row>
    <row r="34" customFormat="false" ht="23.85" hidden="false" customHeight="false" outlineLevel="0" collapsed="false">
      <c r="A34" s="9" t="n">
        <v>14</v>
      </c>
      <c r="B34" s="20" t="s">
        <v>207</v>
      </c>
      <c r="C34" s="20" t="s">
        <v>214</v>
      </c>
      <c r="D34" s="20" t="s">
        <v>215</v>
      </c>
      <c r="E34" s="20" t="s">
        <v>216</v>
      </c>
      <c r="F34" s="25" t="str">
        <f aca="false">"GT row "&amp;TEXT(B1_MEB_Periods!C56,"+0.0%;-0.0%;0.0%")&amp;" / "&amp;TEXT(B1_MEB_Periods!D56,"+0.0%;-0.0%;0.0%")&amp;" / "&amp;TEXT(B1_MEB_Periods!E56,"+0.0%;-0.0%;0.0%")&amp;" / "&amp;TEXT(B1_MEB_Periods!F56,"+0.0%;-0.0%;0.0%")&amp;" / "&amp;TEXT(B1_MEB_Periods!G56,"+0.0%;-0.0%;0.0%")&amp;"; Deposits "&amp;TEXT(B1_MEB_Periods!C54,"+0.0%;-0.0%;0.0%")&amp;" / "&amp;TEXT(B1_MEB_Periods!D54,"+0.0%;-0.0%;0.0%")&amp;" / "&amp;TEXT(B1_MEB_Periods!E54,"+0.0%;-0.0%;0.0%")&amp;" / "&amp;TEXT(B1_MEB_Periods!F54,"+0.0%;-0.0%;0.0%")&amp;" / "&amp;TEXT(B1_MEB_Periods!G54,"+0.0%;-0.0%;0.0%")</f>
        <v>GT row +39.3% / +7.4% / +7.4% / -3.2% / +21.1%; Deposits +56.0% / +12.5% / +10.0% / -2.9% / +29.3%</v>
      </c>
    </row>
    <row r="35" customFormat="false" ht="15" hidden="false" customHeight="false" outlineLevel="0" collapsed="false">
      <c r="A35" s="9" t="n">
        <v>15</v>
      </c>
      <c r="B35" s="20" t="s">
        <v>207</v>
      </c>
      <c r="C35" s="20" t="s">
        <v>217</v>
      </c>
      <c r="D35" s="20" t="s">
        <v>218</v>
      </c>
      <c r="E35" s="20" t="s">
        <v>216</v>
      </c>
      <c r="F35" s="25" t="str">
        <f aca="false">"GT row "&amp;TEXT(B1_MEB_Periods!C64,"+0.0%;-0.0%;0.0%")&amp;" / "&amp;TEXT(B1_MEB_Periods!D64,"+0.0%;-0.0%;0.0%")&amp;" / "&amp;TEXT(B1_MEB_Periods!E64,"+0.0%;-0.0%;0.0%")&amp;" / "&amp;TEXT(B1_MEB_Periods!F64,"+0.0%;-0.0%;0.0%")&amp;" / "&amp;TEXT(B1_MEB_Periods!G64,"+0.0%;-0.0%;0.0%")&amp;"; CA "&amp;TEXT(B1_MEB_Periods!C60,"+0.0%;-0.0%;0.0%")&amp;" / "&amp;TEXT(B1_MEB_Periods!D60,"+0.0%;-0.0%;0.0%")&amp;" / "&amp;TEXT(B1_MEB_Periods!E60,"+0.0%;-0.0%;0.0%")&amp;" / "&amp;TEXT(B1_MEB_Periods!F60,"+0.0%;-0.0%;0.0%")&amp;" / "&amp;TEXT(B1_MEB_Periods!G60,"+0.0%;-0.0%;0.0%")</f>
        <v>GT row +65.9% / +11.7% / +9.1% / -7.5% / +31.1%; CA -0.8% / -5.1% / -8.5% / -31.6% / -10.7%</v>
      </c>
    </row>
    <row r="36" customFormat="false" ht="15" hidden="false" customHeight="false" outlineLevel="0" collapsed="false">
      <c r="A36" s="9" t="n">
        <v>16</v>
      </c>
      <c r="B36" s="20" t="s">
        <v>207</v>
      </c>
      <c r="C36" s="20" t="s">
        <v>219</v>
      </c>
      <c r="D36" s="20" t="s">
        <v>220</v>
      </c>
      <c r="E36" s="20" t="s">
        <v>221</v>
      </c>
      <c r="F36" s="25" t="str">
        <f aca="false">TEXT((B1_MEB_Periods!G11-B1_MEB_Periods!G9)/(B1_MEB_Periods!G20-B1_MEB_Periods!G18)-1,"+0.0%;-0.0%;0.0%")</f>
        <v>-9.9%</v>
      </c>
    </row>
    <row r="37" customFormat="false" ht="15" hidden="false" customHeight="false" outlineLevel="0" collapsed="false">
      <c r="A37" s="9" t="n">
        <v>17</v>
      </c>
      <c r="B37" s="20" t="s">
        <v>207</v>
      </c>
      <c r="C37" s="20" t="s">
        <v>222</v>
      </c>
      <c r="D37" s="20" t="s">
        <v>223</v>
      </c>
      <c r="E37" s="20" t="s">
        <v>221</v>
      </c>
      <c r="F37" s="25" t="str">
        <f aca="false">TEXT((B1_MEB_Periods!G11-B1_MEB_Periods!C11)/(B1_MEB_Periods!G20-B1_MEB_Periods!C20)-1,"+0.0%;-0.0%;0.0%")</f>
        <v>-3.4%</v>
      </c>
    </row>
    <row r="38" customFormat="false" ht="15" hidden="false" customHeight="false" outlineLevel="0" collapsed="false">
      <c r="A38" s="9" t="n">
        <v>18</v>
      </c>
      <c r="B38" s="20" t="s">
        <v>207</v>
      </c>
      <c r="C38" s="20" t="s">
        <v>224</v>
      </c>
      <c r="D38" s="20" t="s">
        <v>225</v>
      </c>
      <c r="E38" s="20" t="s">
        <v>226</v>
      </c>
      <c r="F38" s="25" t="str">
        <f aca="false">"YoY: INSIGNIA Dep "&amp;TEXT(B1_MEB_Periods!C9-B1_MEB_Periods!C18,"#,##0.00;-#,##0.00;0.00")&amp;"; MASS Dep "&amp;TEXT(B1_MEB_Periods!F9-B1_MEB_Periods!F18,"#,##0.00;-#,##0.00;0.00")&amp;"; GT "&amp;TEXT(B1_MEB_Periods!G11-B1_MEB_Periods!G20,"#,##0.00;-#,##0.00;0.00")</f>
        <v>YoY: INSIGNIA Dep 27,914.31; MASS Dep -2,236.20; GT 25,315.39</v>
      </c>
    </row>
    <row r="39" customFormat="false" ht="15" hidden="false" customHeight="false" outlineLevel="0" collapsed="false">
      <c r="A39" s="9" t="n">
        <v>19</v>
      </c>
      <c r="B39" s="20" t="s">
        <v>227</v>
      </c>
      <c r="C39" s="20" t="s">
        <v>228</v>
      </c>
      <c r="D39" s="20" t="s">
        <v>229</v>
      </c>
      <c r="E39" s="20" t="s">
        <v>230</v>
      </c>
      <c r="F39" s="25" t="str">
        <f aca="false">"INSIGNIA Dep "&amp;TEXT((B1_MEB_Periods!C9-B1_MEB_Periods!C18)/(B1_MEB_Periods!G11-B1_MEB_Periods!G20),"0.0%")&amp;"; MASS Dep "&amp;TEXT((B1_MEB_Periods!F9-B1_MEB_Periods!F18)/(B1_MEB_Periods!G11-B1_MEB_Periods!G20),"0.0%")&amp;"; CA total "&amp;TEXT((B1_MEB_Periods!G7-B1_MEB_Periods!G16)/(B1_MEB_Periods!G11-B1_MEB_Periods!G20),"0.0%")</f>
        <v>INSIGNIA Dep 110.3%; MASS Dep -8.8%; CA total -10.5%</v>
      </c>
    </row>
    <row r="40" customFormat="false" ht="15" hidden="false" customHeight="false" outlineLevel="0" collapsed="false">
      <c r="A40" s="9" t="n">
        <v>20</v>
      </c>
      <c r="B40" s="20" t="s">
        <v>227</v>
      </c>
      <c r="C40" s="20" t="s">
        <v>231</v>
      </c>
      <c r="D40" s="20" t="s">
        <v>232</v>
      </c>
      <c r="E40" s="20" t="s">
        <v>233</v>
      </c>
      <c r="F40" s="25" t="str">
        <f aca="false">"INSIGNIA Dep "&amp;TEXT((B1_MEB_Periods!C9-B1_MEB_Periods!C27)/(B1_MEB_Periods!G11-B1_MEB_Periods!G29),"0.0%")&amp;"; MASS Dep "&amp;TEXT((B1_MEB_Periods!F9-B1_MEB_Periods!F27)/(B1_MEB_Periods!G11-B1_MEB_Periods!G29),"0.0%")</f>
        <v>INSIGNIA Dep 96.3%; MASS Dep -3.1%</v>
      </c>
    </row>
    <row r="41" customFormat="false" ht="15" hidden="false" customHeight="false" outlineLevel="0" collapsed="false">
      <c r="A41" s="9" t="n">
        <v>21</v>
      </c>
      <c r="B41" s="20" t="s">
        <v>234</v>
      </c>
      <c r="C41" s="20" t="s">
        <v>235</v>
      </c>
      <c r="D41" s="20" t="s">
        <v>236</v>
      </c>
      <c r="E41" s="20" t="s">
        <v>184</v>
      </c>
      <c r="F41" s="25" t="str">
        <f aca="false">"LY / LQ / LM / CM "&amp;TEXT(B1_MEB_Periods!J18,"0.0%")&amp;" / "&amp;TEXT(B1_MEB_Periods!J36,"0.0%")&amp;" / "&amp;TEXT(B1_MEB_Periods!J27,"0.0%")&amp;" / "&amp;TEXT(B1_MEB_Periods!J9,"0.0%")</f>
        <v>LY / LQ / LM / CM 42.1% / 43.3% / 50.1% / 60.5%</v>
      </c>
    </row>
    <row r="42" customFormat="false" ht="15" hidden="false" customHeight="false" outlineLevel="0" collapsed="false">
      <c r="A42" s="9" t="n">
        <v>22</v>
      </c>
      <c r="B42" s="20" t="s">
        <v>234</v>
      </c>
      <c r="C42" s="20" t="s">
        <v>237</v>
      </c>
      <c r="D42" s="20" t="s">
        <v>238</v>
      </c>
      <c r="E42" s="20" t="s">
        <v>184</v>
      </c>
      <c r="F42" s="25" t="str">
        <f aca="false">"LY / CM "&amp;TEXT(SUMPRODUCT((B1_MEB_Periods!C20:F20/B1_MEB_Periods!G20)^2)*10000,"#,##0")&amp;" / "&amp;TEXT(SUMPRODUCT((B1_MEB_Periods!C11:F11/B1_MEB_Periods!G11)^2)*10000,"#,##0")</f>
        <v>LY / CM 3,502 / 4,274</v>
      </c>
    </row>
    <row r="43" customFormat="false" ht="23.85" hidden="false" customHeight="false" outlineLevel="0" collapsed="false">
      <c r="A43" s="9" t="n">
        <v>23</v>
      </c>
      <c r="B43" s="20" t="s">
        <v>239</v>
      </c>
      <c r="C43" s="20" t="s">
        <v>240</v>
      </c>
      <c r="D43" s="20" t="s">
        <v>241</v>
      </c>
      <c r="E43" s="20" t="s">
        <v>233</v>
      </c>
      <c r="F43" s="25" t="str">
        <f aca="false">TEXT(MAX(B1_MEB_Periods!C44:F47),"+0.0%;-0.0%;0.0%")&amp;" (Deposits INSIGNIA)"</f>
        <v>+111.7% (Deposits INSIGNIA)</v>
      </c>
    </row>
    <row r="44" customFormat="false" ht="15" hidden="false" customHeight="false" outlineLevel="0" collapsed="false">
      <c r="A44" s="9" t="n">
        <v>24</v>
      </c>
      <c r="B44" s="20" t="s">
        <v>239</v>
      </c>
      <c r="C44" s="20" t="s">
        <v>242</v>
      </c>
      <c r="D44" s="20" t="s">
        <v>243</v>
      </c>
      <c r="E44" s="20" t="s">
        <v>233</v>
      </c>
      <c r="F44" s="25" t="str">
        <f aca="false">TEXT(MIN(B1_MEB_Periods!C44:F47),"+0.0%;-0.0%;0.0%")&amp;" (CA MASS)"</f>
        <v>-49.1% (CA MASS)</v>
      </c>
    </row>
    <row r="45" customFormat="false" ht="15" hidden="false" customHeight="false" outlineLevel="0" collapsed="false">
      <c r="A45" s="9" t="n">
        <v>25</v>
      </c>
      <c r="B45" s="20" t="s">
        <v>239</v>
      </c>
      <c r="C45" s="20" t="s">
        <v>244</v>
      </c>
      <c r="D45" s="20" t="s">
        <v>245</v>
      </c>
      <c r="E45" s="20" t="s">
        <v>233</v>
      </c>
      <c r="F45" s="25" t="str">
        <f aca="false">TEXT(COUNTIF(B1_MEB_Periods!C44:F47,"&lt;0"),"#,##0")&amp;" of 16"</f>
        <v>10 of 16</v>
      </c>
    </row>
    <row r="46" customFormat="false" ht="15" hidden="false" customHeight="false" outlineLevel="0" collapsed="false">
      <c r="A46" s="9" t="n">
        <v>26</v>
      </c>
      <c r="B46" s="20" t="s">
        <v>246</v>
      </c>
      <c r="C46" s="20" t="s">
        <v>247</v>
      </c>
      <c r="D46" s="20" t="s">
        <v>248</v>
      </c>
      <c r="E46" s="20" t="s">
        <v>249</v>
      </c>
      <c r="F46" s="25" t="str">
        <f aca="false">TEXT(MAX(B1_MEB_Periods!U44:U48,B1_MEB_Periods!U52:U56,B1_MEB_Periods!U60:U64),"0.00%")</f>
        <v>0.42%</v>
      </c>
    </row>
    <row r="47" customFormat="false" ht="15" hidden="false" customHeight="false" outlineLevel="0" collapsed="false">
      <c r="A47" s="9" t="n">
        <v>27</v>
      </c>
      <c r="B47" s="20" t="s">
        <v>246</v>
      </c>
      <c r="C47" s="20" t="s">
        <v>250</v>
      </c>
      <c r="D47" s="20" t="s">
        <v>251</v>
      </c>
      <c r="E47" s="20" t="s">
        <v>252</v>
      </c>
      <c r="F47" s="25" t="str">
        <f aca="false">TEXT(SUM(B1_MEB_Periods!V44:V48,B1_MEB_Periods!V52:V56,B1_MEB_Periods!V60:V64),"#,##0")&amp;" sign mismatches"</f>
        <v>0 sign mismatches</v>
      </c>
    </row>
    <row r="48" customFormat="false" ht="15" hidden="false" customHeight="false" outlineLevel="0" collapsed="false">
      <c r="A48" s="9" t="n">
        <v>28</v>
      </c>
      <c r="B48" s="20" t="s">
        <v>246</v>
      </c>
      <c r="C48" s="20" t="s">
        <v>253</v>
      </c>
      <c r="D48" s="20" t="s">
        <v>254</v>
      </c>
      <c r="E48" s="20" t="s">
        <v>255</v>
      </c>
      <c r="F48" s="25" t="str">
        <f aca="false">"MEB "&amp;TEXT(B1_MEB_Periods!G11,"#,##0.00;-#,##0.00;0.00")&amp;" vs MAB "&amp;TEXT(B2_Balance_Movement!J25,"#,##0.00;-#,##0.00;0.00")</f>
        <v>MEB 113,109.81 vs MAB 115,448.64</v>
      </c>
    </row>
    <row r="50" customFormat="false" ht="15" hidden="false" customHeight="false" outlineLevel="0" collapsed="false">
      <c r="A50" s="3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29" min="3" style="0" width="12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258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customFormat="false" ht="35.05" hidden="false" customHeight="false" outlineLevel="0" collapsed="false">
      <c r="A6" s="8" t="s">
        <v>39</v>
      </c>
      <c r="B6" s="8" t="s">
        <v>259</v>
      </c>
      <c r="C6" s="8" t="s">
        <v>40</v>
      </c>
      <c r="D6" s="8" t="s">
        <v>260</v>
      </c>
      <c r="E6" s="8" t="s">
        <v>261</v>
      </c>
      <c r="F6" s="8" t="s">
        <v>262</v>
      </c>
      <c r="G6" s="8" t="s">
        <v>263</v>
      </c>
      <c r="H6" s="8" t="s">
        <v>264</v>
      </c>
      <c r="I6" s="8" t="s">
        <v>265</v>
      </c>
      <c r="J6" s="8" t="s">
        <v>266</v>
      </c>
      <c r="K6" s="8" t="s">
        <v>267</v>
      </c>
      <c r="L6" s="8" t="s">
        <v>268</v>
      </c>
      <c r="M6" s="8" t="s">
        <v>269</v>
      </c>
      <c r="N6" s="8" t="s">
        <v>270</v>
      </c>
      <c r="O6" s="8" t="s">
        <v>271</v>
      </c>
      <c r="P6" s="8" t="s">
        <v>272</v>
      </c>
      <c r="Q6" s="8" t="s">
        <v>273</v>
      </c>
      <c r="R6" s="8" t="s">
        <v>274</v>
      </c>
      <c r="S6" s="8" t="s">
        <v>275</v>
      </c>
      <c r="T6" s="8" t="s">
        <v>276</v>
      </c>
      <c r="U6" s="8" t="s">
        <v>277</v>
      </c>
      <c r="V6" s="8" t="s">
        <v>278</v>
      </c>
      <c r="W6" s="8" t="s">
        <v>279</v>
      </c>
      <c r="X6" s="8" t="s">
        <v>280</v>
      </c>
      <c r="Y6" s="8" t="s">
        <v>281</v>
      </c>
      <c r="Z6" s="8" t="s">
        <v>282</v>
      </c>
      <c r="AA6" s="8" t="s">
        <v>283</v>
      </c>
      <c r="AB6" s="8" t="s">
        <v>284</v>
      </c>
      <c r="AC6" s="8" t="s">
        <v>285</v>
      </c>
    </row>
    <row r="7" customFormat="false" ht="15" hidden="false" customHeight="false" outlineLevel="0" collapsed="false">
      <c r="A7" s="9" t="n">
        <v>1</v>
      </c>
      <c r="B7" s="9" t="s">
        <v>41</v>
      </c>
      <c r="C7" s="9" t="s">
        <v>53</v>
      </c>
      <c r="D7" s="10" t="n">
        <v>3632</v>
      </c>
      <c r="E7" s="10" t="n">
        <v>1993</v>
      </c>
      <c r="F7" s="10" t="n">
        <v>165</v>
      </c>
      <c r="G7" s="10" t="n">
        <v>3623</v>
      </c>
      <c r="H7" s="10" t="n">
        <v>1992</v>
      </c>
      <c r="I7" s="10" t="n">
        <v>164</v>
      </c>
      <c r="J7" s="10" t="n">
        <v>3632.2</v>
      </c>
      <c r="K7" s="10" t="n">
        <v>1993.14</v>
      </c>
      <c r="L7" s="10" t="n">
        <v>164.65</v>
      </c>
      <c r="M7" s="10" t="n">
        <v>3654.79</v>
      </c>
      <c r="N7" s="10" t="n">
        <v>2007</v>
      </c>
      <c r="O7" s="10" t="n">
        <v>166.48</v>
      </c>
      <c r="P7" s="10" t="n">
        <v>3771.85</v>
      </c>
      <c r="Q7" s="10" t="n">
        <v>2005.68</v>
      </c>
      <c r="R7" s="10" t="n">
        <v>168.68</v>
      </c>
      <c r="S7" s="10" t="n">
        <v>3520.74</v>
      </c>
      <c r="T7" s="10" t="n">
        <v>1820.98</v>
      </c>
      <c r="U7" s="10" t="n">
        <v>152.38</v>
      </c>
      <c r="V7" s="12" t="n">
        <f aca="false">K7/J7</f>
        <v>0.548741809371731</v>
      </c>
      <c r="W7" s="12" t="n">
        <f aca="false">L7/J7</f>
        <v>0.0453306535983701</v>
      </c>
      <c r="X7" s="12" t="n">
        <f aca="false">J7/M7-1</f>
        <v>-0.00618092968405848</v>
      </c>
      <c r="Y7" s="12" t="n">
        <f aca="false">J7/P7-1</f>
        <v>-0.0370242719090101</v>
      </c>
      <c r="Z7" s="12" t="n">
        <f aca="false">J7/S7-1</f>
        <v>0.0316581173276074</v>
      </c>
      <c r="AA7" s="11" t="n">
        <f aca="false">D7-G7</f>
        <v>9</v>
      </c>
      <c r="AB7" s="26" t="n">
        <f aca="false">J7/B1_MEB_Periods!C7</f>
        <v>0.943435922877321</v>
      </c>
      <c r="AC7" s="12" t="n">
        <f aca="false">J7/$J$27</f>
        <v>0.0314616092489266</v>
      </c>
    </row>
    <row r="8" customFormat="false" ht="15" hidden="false" customHeight="false" outlineLevel="0" collapsed="false">
      <c r="A8" s="9" t="n">
        <v>2</v>
      </c>
      <c r="B8" s="9" t="s">
        <v>41</v>
      </c>
      <c r="C8" s="9" t="s">
        <v>54</v>
      </c>
      <c r="D8" s="10" t="n">
        <v>11292</v>
      </c>
      <c r="E8" s="10" t="n">
        <v>8238</v>
      </c>
      <c r="F8" s="10" t="n">
        <v>7636</v>
      </c>
      <c r="G8" s="10" t="n">
        <v>11277</v>
      </c>
      <c r="H8" s="10" t="n">
        <v>8224</v>
      </c>
      <c r="I8" s="10" t="n">
        <v>7623</v>
      </c>
      <c r="J8" s="10" t="n">
        <v>11292.23</v>
      </c>
      <c r="K8" s="10" t="n">
        <v>8237.78</v>
      </c>
      <c r="L8" s="10" t="n">
        <v>7636.22</v>
      </c>
      <c r="M8" s="10" t="n">
        <v>11009.63</v>
      </c>
      <c r="N8" s="10" t="n">
        <v>8255.49</v>
      </c>
      <c r="O8" s="10" t="n">
        <v>7660.36</v>
      </c>
      <c r="P8" s="10" t="n">
        <v>10755.15</v>
      </c>
      <c r="Q8" s="10" t="n">
        <v>8328.96</v>
      </c>
      <c r="R8" s="10" t="n">
        <v>7737.18</v>
      </c>
      <c r="S8" s="10" t="n">
        <v>10769.1</v>
      </c>
      <c r="T8" s="10" t="n">
        <v>8986.49</v>
      </c>
      <c r="U8" s="10" t="n">
        <v>8276.84</v>
      </c>
      <c r="V8" s="12" t="n">
        <f aca="false">K8/J8</f>
        <v>0.729508697573464</v>
      </c>
      <c r="W8" s="12" t="n">
        <f aca="false">L8/J8</f>
        <v>0.67623666893076</v>
      </c>
      <c r="X8" s="12" t="n">
        <f aca="false">J8/M8-1</f>
        <v>0.0256684375405896</v>
      </c>
      <c r="Y8" s="12" t="n">
        <f aca="false">J8/P8-1</f>
        <v>0.0499370069222651</v>
      </c>
      <c r="Z8" s="12" t="n">
        <f aca="false">J8/S8-1</f>
        <v>0.0485769470057851</v>
      </c>
      <c r="AA8" s="11" t="n">
        <f aca="false">D8-G8</f>
        <v>15</v>
      </c>
      <c r="AB8" s="26" t="n">
        <f aca="false">J8/B1_MEB_Periods!C8</f>
        <v>1.00308950961363</v>
      </c>
      <c r="AC8" s="12" t="n">
        <f aca="false">J8/$J$27</f>
        <v>0.0978117195663803</v>
      </c>
    </row>
    <row r="9" customFormat="false" ht="15" hidden="false" customHeight="false" outlineLevel="0" collapsed="false">
      <c r="A9" s="9" t="n">
        <v>3</v>
      </c>
      <c r="B9" s="9" t="s">
        <v>41</v>
      </c>
      <c r="C9" s="9" t="s">
        <v>55</v>
      </c>
      <c r="D9" s="10" t="n">
        <v>53834</v>
      </c>
      <c r="E9" s="10" t="n">
        <v>25134</v>
      </c>
      <c r="F9" s="10" t="n">
        <v>17074</v>
      </c>
      <c r="G9" s="10" t="n">
        <v>53779</v>
      </c>
      <c r="H9" s="10" t="n">
        <v>25067</v>
      </c>
      <c r="I9" s="10" t="n">
        <v>17004</v>
      </c>
      <c r="J9" s="10" t="n">
        <v>53834.13</v>
      </c>
      <c r="K9" s="10" t="n">
        <v>25133.69</v>
      </c>
      <c r="L9" s="10" t="n">
        <v>17073.96</v>
      </c>
      <c r="M9" s="10" t="n">
        <v>34820.85</v>
      </c>
      <c r="N9" s="10" t="n">
        <v>24584.69</v>
      </c>
      <c r="O9" s="10" t="n">
        <v>16922.51</v>
      </c>
      <c r="P9" s="10" t="n">
        <v>24851.69</v>
      </c>
      <c r="Q9" s="10" t="n">
        <v>22642.5</v>
      </c>
      <c r="R9" s="10" t="n">
        <v>15771.57</v>
      </c>
      <c r="S9" s="10" t="n">
        <v>21769.31</v>
      </c>
      <c r="T9" s="10" t="n">
        <v>20035.28</v>
      </c>
      <c r="U9" s="10" t="n">
        <v>14567.77</v>
      </c>
      <c r="V9" s="12" t="n">
        <f aca="false">K9/J9</f>
        <v>0.466872781263485</v>
      </c>
      <c r="W9" s="12" t="n">
        <f aca="false">L9/J9</f>
        <v>0.317158650097995</v>
      </c>
      <c r="X9" s="12" t="n">
        <f aca="false">J9/M9-1</f>
        <v>0.546031472522928</v>
      </c>
      <c r="Y9" s="12" t="n">
        <f aca="false">J9/P9-1</f>
        <v>1.16621606015527</v>
      </c>
      <c r="Z9" s="12" t="n">
        <f aca="false">J9/S9-1</f>
        <v>1.47293690061835</v>
      </c>
      <c r="AA9" s="11" t="n">
        <f aca="false">D9-G9</f>
        <v>55</v>
      </c>
      <c r="AB9" s="26" t="n">
        <f aca="false">J9/B1_MEB_Periods!C9</f>
        <v>1.017453767333</v>
      </c>
      <c r="AC9" s="12" t="n">
        <f aca="false">J9/$J$27</f>
        <v>0.466303717393293</v>
      </c>
    </row>
    <row r="10" customFormat="false" ht="15" hidden="false" customHeight="false" outlineLevel="0" collapsed="false">
      <c r="A10" s="9" t="n">
        <v>4</v>
      </c>
      <c r="B10" s="9" t="s">
        <v>41</v>
      </c>
      <c r="C10" s="9" t="s">
        <v>56</v>
      </c>
      <c r="D10" s="10" t="n">
        <v>11</v>
      </c>
      <c r="E10" s="10" t="n">
        <v>11</v>
      </c>
      <c r="F10" s="10" t="n">
        <v>4</v>
      </c>
      <c r="G10" s="10" t="n">
        <v>12</v>
      </c>
      <c r="H10" s="10" t="n">
        <v>12</v>
      </c>
      <c r="I10" s="10" t="n">
        <v>4</v>
      </c>
      <c r="J10" s="10" t="n">
        <v>10.93</v>
      </c>
      <c r="K10" s="10" t="n">
        <v>10.93</v>
      </c>
      <c r="L10" s="10" t="n">
        <v>3.63</v>
      </c>
      <c r="M10" s="10" t="n">
        <v>12.92</v>
      </c>
      <c r="N10" s="10" t="n">
        <v>9.84</v>
      </c>
      <c r="O10" s="10" t="n">
        <v>3.22</v>
      </c>
      <c r="P10" s="10" t="n">
        <v>14.31</v>
      </c>
      <c r="Q10" s="10" t="n">
        <v>14.31</v>
      </c>
      <c r="R10" s="10" t="n">
        <v>2.71</v>
      </c>
      <c r="S10" s="10" t="n">
        <v>5.1</v>
      </c>
      <c r="T10" s="10" t="n">
        <v>5.1</v>
      </c>
      <c r="U10" s="10" t="n">
        <v>3.59</v>
      </c>
      <c r="V10" s="12" t="n">
        <f aca="false">K10/J10</f>
        <v>1</v>
      </c>
      <c r="W10" s="12" t="n">
        <f aca="false">L10/J10</f>
        <v>0.332113449222324</v>
      </c>
      <c r="X10" s="12" t="n">
        <f aca="false">J10/M10-1</f>
        <v>-0.154024767801858</v>
      </c>
      <c r="Y10" s="12" t="n">
        <f aca="false">J10/P10-1</f>
        <v>-0.236198462613557</v>
      </c>
      <c r="Z10" s="12" t="n">
        <f aca="false">J10/S10-1</f>
        <v>1.14313725490196</v>
      </c>
      <c r="AA10" s="11" t="n">
        <f aca="false">D10-G10</f>
        <v>-1</v>
      </c>
      <c r="AB10" s="26" t="n">
        <f aca="false">J10/B1_MEB_Periods!C10</f>
        <v>1.24487471526196</v>
      </c>
      <c r="AC10" s="12" t="n">
        <f aca="false">J10/$J$27</f>
        <v>9.46741338832575E-005</v>
      </c>
    </row>
    <row r="11" customFormat="false" ht="15" hidden="false" customHeight="false" outlineLevel="0" collapsed="false">
      <c r="A11" s="9" t="n">
        <v>5</v>
      </c>
      <c r="B11" s="9" t="s">
        <v>42</v>
      </c>
      <c r="C11" s="9" t="s">
        <v>53</v>
      </c>
      <c r="D11" s="10" t="n">
        <v>464</v>
      </c>
      <c r="E11" s="10" t="n">
        <v>405</v>
      </c>
      <c r="F11" s="10" t="n">
        <v>22</v>
      </c>
      <c r="G11" s="10" t="n">
        <v>465</v>
      </c>
      <c r="H11" s="10" t="n">
        <v>405</v>
      </c>
      <c r="I11" s="10" t="n">
        <v>22</v>
      </c>
      <c r="J11" s="10" t="n">
        <v>464.43</v>
      </c>
      <c r="K11" s="10" t="n">
        <v>404.88</v>
      </c>
      <c r="L11" s="10" t="n">
        <v>22.31</v>
      </c>
      <c r="M11" s="10" t="n">
        <v>448.61</v>
      </c>
      <c r="N11" s="10" t="n">
        <v>407.99</v>
      </c>
      <c r="O11" s="10" t="n">
        <v>23.14</v>
      </c>
      <c r="P11" s="10" t="n">
        <v>451.09</v>
      </c>
      <c r="Q11" s="10" t="n">
        <v>414.86</v>
      </c>
      <c r="R11" s="10" t="n">
        <v>21.05</v>
      </c>
      <c r="S11" s="10" t="n">
        <v>403.49</v>
      </c>
      <c r="T11" s="10" t="n">
        <v>377.86</v>
      </c>
      <c r="U11" s="10" t="n">
        <v>19.1</v>
      </c>
      <c r="V11" s="12" t="n">
        <f aca="false">K11/J11</f>
        <v>0.871778308894774</v>
      </c>
      <c r="W11" s="12" t="n">
        <f aca="false">L11/J11</f>
        <v>0.0480373791529402</v>
      </c>
      <c r="X11" s="12" t="n">
        <f aca="false">J11/M11-1</f>
        <v>0.035264483627204</v>
      </c>
      <c r="Y11" s="12" t="n">
        <f aca="false">J11/P11-1</f>
        <v>0.029572812520783</v>
      </c>
      <c r="Z11" s="12" t="n">
        <f aca="false">J11/S11-1</f>
        <v>0.151032243673945</v>
      </c>
      <c r="AA11" s="11" t="n">
        <f aca="false">D11-G11</f>
        <v>-1</v>
      </c>
      <c r="AB11" s="26" t="n">
        <f aca="false">J11/B1_MEB_Periods!D7</f>
        <v>1.05807171823028</v>
      </c>
      <c r="AC11" s="12" t="n">
        <f aca="false">J11/$J$27</f>
        <v>0.00402282781330295</v>
      </c>
    </row>
    <row r="12" customFormat="false" ht="15" hidden="false" customHeight="false" outlineLevel="0" collapsed="false">
      <c r="A12" s="9" t="n">
        <v>6</v>
      </c>
      <c r="B12" s="9" t="s">
        <v>42</v>
      </c>
      <c r="C12" s="9" t="s">
        <v>54</v>
      </c>
      <c r="D12" s="10" t="n">
        <v>3163</v>
      </c>
      <c r="E12" s="10" t="n">
        <v>2821</v>
      </c>
      <c r="F12" s="10" t="n">
        <v>2634</v>
      </c>
      <c r="G12" s="10" t="n">
        <v>3158</v>
      </c>
      <c r="H12" s="10" t="n">
        <v>2816</v>
      </c>
      <c r="I12" s="10" t="n">
        <v>2630</v>
      </c>
      <c r="J12" s="10" t="n">
        <v>3162.61</v>
      </c>
      <c r="K12" s="10" t="n">
        <v>2820.83</v>
      </c>
      <c r="L12" s="10" t="n">
        <v>2634.12</v>
      </c>
      <c r="M12" s="10" t="n">
        <v>3131.39</v>
      </c>
      <c r="N12" s="10" t="n">
        <v>2840.13</v>
      </c>
      <c r="O12" s="10" t="n">
        <v>2648.78</v>
      </c>
      <c r="P12" s="10" t="n">
        <v>2975.19</v>
      </c>
      <c r="Q12" s="10" t="n">
        <v>2750.52</v>
      </c>
      <c r="R12" s="10" t="n">
        <v>2555.06</v>
      </c>
      <c r="S12" s="10" t="n">
        <v>2889.62</v>
      </c>
      <c r="T12" s="10" t="n">
        <v>2766.81</v>
      </c>
      <c r="U12" s="10" t="n">
        <v>2554.14</v>
      </c>
      <c r="V12" s="12" t="n">
        <f aca="false">K12/J12</f>
        <v>0.891931031647911</v>
      </c>
      <c r="W12" s="12" t="n">
        <f aca="false">L12/J12</f>
        <v>0.832894349919845</v>
      </c>
      <c r="X12" s="12" t="n">
        <f aca="false">J12/M12-1</f>
        <v>0.00997001331676994</v>
      </c>
      <c r="Y12" s="12" t="n">
        <f aca="false">J12/P12-1</f>
        <v>0.062994296162598</v>
      </c>
      <c r="Z12" s="12" t="n">
        <f aca="false">J12/S12-1</f>
        <v>0.0944726296191196</v>
      </c>
      <c r="AA12" s="11" t="n">
        <f aca="false">D12-G12</f>
        <v>5</v>
      </c>
      <c r="AB12" s="26" t="n">
        <f aca="false">J12/B1_MEB_Periods!D8</f>
        <v>1.01056381907942</v>
      </c>
      <c r="AC12" s="12" t="n">
        <f aca="false">J12/$J$27</f>
        <v>0.027394086236096</v>
      </c>
    </row>
    <row r="13" customFormat="false" ht="15" hidden="false" customHeight="false" outlineLevel="0" collapsed="false">
      <c r="A13" s="9" t="n">
        <v>7</v>
      </c>
      <c r="B13" s="9" t="s">
        <v>42</v>
      </c>
      <c r="C13" s="9" t="s">
        <v>55</v>
      </c>
      <c r="D13" s="10" t="n">
        <v>7691</v>
      </c>
      <c r="E13" s="10" t="n">
        <v>6488</v>
      </c>
      <c r="F13" s="10" t="n">
        <v>5165</v>
      </c>
      <c r="G13" s="10" t="n">
        <v>7685</v>
      </c>
      <c r="H13" s="10" t="n">
        <v>6479</v>
      </c>
      <c r="I13" s="10" t="n">
        <v>5156</v>
      </c>
      <c r="J13" s="10" t="n">
        <v>7691.48</v>
      </c>
      <c r="K13" s="10" t="n">
        <v>6488.34</v>
      </c>
      <c r="L13" s="10" t="n">
        <v>5164.5</v>
      </c>
      <c r="M13" s="10" t="n">
        <v>6971.53</v>
      </c>
      <c r="N13" s="10" t="n">
        <v>6415.62</v>
      </c>
      <c r="O13" s="10" t="n">
        <v>5117.17</v>
      </c>
      <c r="P13" s="10" t="n">
        <v>5987.47</v>
      </c>
      <c r="Q13" s="10" t="n">
        <v>5815.5</v>
      </c>
      <c r="R13" s="10" t="n">
        <v>4671.18</v>
      </c>
      <c r="S13" s="10" t="n">
        <v>5563.27</v>
      </c>
      <c r="T13" s="10" t="n">
        <v>5436.99</v>
      </c>
      <c r="U13" s="10" t="n">
        <v>4478.53</v>
      </c>
      <c r="V13" s="12" t="n">
        <f aca="false">K13/J13</f>
        <v>0.843574968666629</v>
      </c>
      <c r="W13" s="12" t="n">
        <f aca="false">L13/J13</f>
        <v>0.671457248799971</v>
      </c>
      <c r="X13" s="12" t="n">
        <f aca="false">J13/M13-1</f>
        <v>0.103270013899388</v>
      </c>
      <c r="Y13" s="12" t="n">
        <f aca="false">J13/P13-1</f>
        <v>0.284595997975773</v>
      </c>
      <c r="Z13" s="12" t="n">
        <f aca="false">J13/S13-1</f>
        <v>0.382546595797076</v>
      </c>
      <c r="AA13" s="11" t="n">
        <f aca="false">D13-G13</f>
        <v>6</v>
      </c>
      <c r="AB13" s="26" t="n">
        <f aca="false">J13/B1_MEB_Periods!D9</f>
        <v>1.02423876017716</v>
      </c>
      <c r="AC13" s="12" t="n">
        <f aca="false">J13/$J$27</f>
        <v>0.0666225258262029</v>
      </c>
    </row>
    <row r="14" customFormat="false" ht="15" hidden="false" customHeight="false" outlineLevel="0" collapsed="false">
      <c r="A14" s="9" t="n">
        <v>8</v>
      </c>
      <c r="B14" s="9" t="s">
        <v>42</v>
      </c>
      <c r="C14" s="9" t="s">
        <v>56</v>
      </c>
      <c r="D14" s="10" t="n">
        <v>3</v>
      </c>
      <c r="E14" s="10" t="n">
        <v>3</v>
      </c>
      <c r="F14" s="10" t="n">
        <v>1</v>
      </c>
      <c r="G14" s="10" t="n">
        <v>3</v>
      </c>
      <c r="H14" s="10" t="n">
        <v>3</v>
      </c>
      <c r="I14" s="10" t="n">
        <v>1</v>
      </c>
      <c r="J14" s="10" t="n">
        <v>3.39</v>
      </c>
      <c r="K14" s="10" t="n">
        <v>3.39</v>
      </c>
      <c r="L14" s="10" t="n">
        <v>1.34</v>
      </c>
      <c r="M14" s="10" t="n">
        <v>3.54</v>
      </c>
      <c r="N14" s="10" t="n">
        <v>3.54</v>
      </c>
      <c r="O14" s="10" t="n">
        <v>1.42</v>
      </c>
      <c r="P14" s="10" t="n">
        <v>4.75</v>
      </c>
      <c r="Q14" s="10" t="n">
        <v>4.75</v>
      </c>
      <c r="R14" s="10" t="n">
        <v>2.01</v>
      </c>
      <c r="S14" s="10" t="n">
        <v>1.8</v>
      </c>
      <c r="T14" s="10" t="n">
        <v>1.8</v>
      </c>
      <c r="U14" s="10" t="n">
        <v>1.57</v>
      </c>
      <c r="V14" s="12" t="n">
        <f aca="false">K14/J14</f>
        <v>1</v>
      </c>
      <c r="W14" s="12" t="n">
        <f aca="false">L14/J14</f>
        <v>0.395280235988201</v>
      </c>
      <c r="X14" s="12" t="n">
        <f aca="false">J14/M14-1</f>
        <v>-0.0423728813559322</v>
      </c>
      <c r="Y14" s="12" t="n">
        <f aca="false">J14/P14-1</f>
        <v>-0.286315789473684</v>
      </c>
      <c r="Z14" s="12" t="n">
        <f aca="false">J14/S14-1</f>
        <v>0.883333333333333</v>
      </c>
      <c r="AA14" s="11" t="n">
        <f aca="false">D14-G14</f>
        <v>0</v>
      </c>
      <c r="AB14" s="26" t="n">
        <f aca="false">J14/B1_MEB_Periods!D10</f>
        <v>1.01497005988024</v>
      </c>
      <c r="AC14" s="12" t="n">
        <f aca="false">J14/$J$27</f>
        <v>2.93637066664449E-005</v>
      </c>
    </row>
    <row r="15" customFormat="false" ht="15" hidden="false" customHeight="false" outlineLevel="0" collapsed="false">
      <c r="A15" s="9" t="n">
        <v>9</v>
      </c>
      <c r="B15" s="9" t="s">
        <v>43</v>
      </c>
      <c r="C15" s="9" t="s">
        <v>53</v>
      </c>
      <c r="D15" s="10" t="n">
        <v>512</v>
      </c>
      <c r="E15" s="10" t="n">
        <v>487</v>
      </c>
      <c r="F15" s="10" t="n">
        <v>25</v>
      </c>
      <c r="G15" s="10" t="n">
        <v>512</v>
      </c>
      <c r="H15" s="10" t="n">
        <v>483</v>
      </c>
      <c r="I15" s="10" t="n">
        <v>25</v>
      </c>
      <c r="J15" s="10" t="n">
        <v>512.41</v>
      </c>
      <c r="K15" s="10" t="n">
        <v>486.51</v>
      </c>
      <c r="L15" s="10" t="n">
        <v>24.9</v>
      </c>
      <c r="M15" s="10" t="n">
        <v>519.02</v>
      </c>
      <c r="N15" s="10" t="n">
        <v>492.3</v>
      </c>
      <c r="O15" s="10" t="n">
        <v>25.79</v>
      </c>
      <c r="P15" s="10" t="n">
        <v>519.49</v>
      </c>
      <c r="Q15" s="10" t="n">
        <v>501.14</v>
      </c>
      <c r="R15" s="10" t="n">
        <v>22.5</v>
      </c>
      <c r="S15" s="10" t="n">
        <v>492.75</v>
      </c>
      <c r="T15" s="10" t="n">
        <v>452.15</v>
      </c>
      <c r="U15" s="10" t="n">
        <v>25.58</v>
      </c>
      <c r="V15" s="12" t="n">
        <f aca="false">K15/J15</f>
        <v>0.949454538357956</v>
      </c>
      <c r="W15" s="12" t="n">
        <f aca="false">L15/J15</f>
        <v>0.0485938994164829</v>
      </c>
      <c r="X15" s="12" t="n">
        <f aca="false">J15/M15-1</f>
        <v>-0.0127355400562599</v>
      </c>
      <c r="Y15" s="12" t="n">
        <f aca="false">J15/P15-1</f>
        <v>-0.0136287512752893</v>
      </c>
      <c r="Z15" s="12" t="n">
        <f aca="false">J15/S15-1</f>
        <v>0.0398985286656519</v>
      </c>
      <c r="AA15" s="11" t="n">
        <f aca="false">D15-G15</f>
        <v>0</v>
      </c>
      <c r="AB15" s="26" t="n">
        <f aca="false">J15/B1_MEB_Periods!E7</f>
        <v>0.994546019176274</v>
      </c>
      <c r="AC15" s="12" t="n">
        <f aca="false">J15/$J$27</f>
        <v>0.00443842387402745</v>
      </c>
    </row>
    <row r="16" customFormat="false" ht="15" hidden="false" customHeight="false" outlineLevel="0" collapsed="false">
      <c r="A16" s="9" t="n">
        <v>10</v>
      </c>
      <c r="B16" s="9" t="s">
        <v>43</v>
      </c>
      <c r="C16" s="9" t="s">
        <v>54</v>
      </c>
      <c r="D16" s="10" t="n">
        <v>1601</v>
      </c>
      <c r="E16" s="10" t="n">
        <v>1459</v>
      </c>
      <c r="F16" s="10" t="n">
        <v>1358</v>
      </c>
      <c r="G16" s="10" t="n">
        <v>1597</v>
      </c>
      <c r="H16" s="10" t="n">
        <v>1458</v>
      </c>
      <c r="I16" s="10" t="n">
        <v>1357</v>
      </c>
      <c r="J16" s="10" t="n">
        <v>1600.8</v>
      </c>
      <c r="K16" s="10" t="n">
        <v>1459.24</v>
      </c>
      <c r="L16" s="10" t="n">
        <v>1357.7</v>
      </c>
      <c r="M16" s="10" t="n">
        <v>1571.98</v>
      </c>
      <c r="N16" s="10" t="n">
        <v>1438.74</v>
      </c>
      <c r="O16" s="10" t="n">
        <v>1340.47</v>
      </c>
      <c r="P16" s="10" t="n">
        <v>1489.31</v>
      </c>
      <c r="Q16" s="10" t="n">
        <v>1406.7</v>
      </c>
      <c r="R16" s="10" t="n">
        <v>1308.01</v>
      </c>
      <c r="S16" s="10" t="n">
        <v>1397.93</v>
      </c>
      <c r="T16" s="10" t="n">
        <v>1331.13</v>
      </c>
      <c r="U16" s="10" t="n">
        <v>1238.57</v>
      </c>
      <c r="V16" s="12" t="n">
        <f aca="false">K16/J16</f>
        <v>0.911569215392304</v>
      </c>
      <c r="W16" s="12" t="n">
        <f aca="false">L16/J16</f>
        <v>0.848138430784608</v>
      </c>
      <c r="X16" s="12" t="n">
        <f aca="false">J16/M16-1</f>
        <v>0.0183335665848166</v>
      </c>
      <c r="Y16" s="12" t="n">
        <f aca="false">J16/P16-1</f>
        <v>0.0748601701459064</v>
      </c>
      <c r="Z16" s="12" t="n">
        <f aca="false">J16/S16-1</f>
        <v>0.145121715679612</v>
      </c>
      <c r="AA16" s="11" t="n">
        <f aca="false">D16-G16</f>
        <v>4</v>
      </c>
      <c r="AB16" s="26" t="n">
        <f aca="false">J16/B1_MEB_Periods!E8</f>
        <v>0.999875078076202</v>
      </c>
      <c r="AC16" s="12" t="n">
        <f aca="false">J16/$J$27</f>
        <v>0.013865906086031</v>
      </c>
    </row>
    <row r="17" customFormat="false" ht="15" hidden="false" customHeight="false" outlineLevel="0" collapsed="false">
      <c r="A17" s="9" t="n">
        <v>11</v>
      </c>
      <c r="B17" s="9" t="s">
        <v>43</v>
      </c>
      <c r="C17" s="9" t="s">
        <v>55</v>
      </c>
      <c r="D17" s="10" t="n">
        <v>6650</v>
      </c>
      <c r="E17" s="10" t="n">
        <v>5238</v>
      </c>
      <c r="F17" s="10" t="n">
        <v>4198</v>
      </c>
      <c r="G17" s="10" t="n">
        <v>6644</v>
      </c>
      <c r="H17" s="10" t="n">
        <v>5232</v>
      </c>
      <c r="I17" s="10" t="n">
        <v>4193</v>
      </c>
      <c r="J17" s="10" t="n">
        <v>6649.5</v>
      </c>
      <c r="K17" s="10" t="n">
        <v>5238.19</v>
      </c>
      <c r="L17" s="10" t="n">
        <v>4198.4</v>
      </c>
      <c r="M17" s="10" t="n">
        <v>6048.97</v>
      </c>
      <c r="N17" s="10" t="n">
        <v>5222.25</v>
      </c>
      <c r="O17" s="10" t="n">
        <v>4195.7</v>
      </c>
      <c r="P17" s="10" t="n">
        <v>5465.44</v>
      </c>
      <c r="Q17" s="10" t="n">
        <v>4833.6</v>
      </c>
      <c r="R17" s="10" t="n">
        <v>3976.14</v>
      </c>
      <c r="S17" s="10" t="n">
        <v>4964.08</v>
      </c>
      <c r="T17" s="10" t="n">
        <v>4556.55</v>
      </c>
      <c r="U17" s="10" t="n">
        <v>3827.28</v>
      </c>
      <c r="V17" s="12" t="n">
        <f aca="false">K17/J17</f>
        <v>0.787756974208587</v>
      </c>
      <c r="W17" s="12" t="n">
        <f aca="false">L17/J17</f>
        <v>0.631385818482593</v>
      </c>
      <c r="X17" s="12" t="n">
        <f aca="false">J17/M17-1</f>
        <v>0.0992780589092026</v>
      </c>
      <c r="Y17" s="12" t="n">
        <f aca="false">J17/P17-1</f>
        <v>0.21664495447759</v>
      </c>
      <c r="Z17" s="12" t="n">
        <f aca="false">J17/S17-1</f>
        <v>0.339523134196065</v>
      </c>
      <c r="AA17" s="11" t="n">
        <f aca="false">D17-G17</f>
        <v>6</v>
      </c>
      <c r="AB17" s="26" t="n">
        <f aca="false">J17/B1_MEB_Periods!E9</f>
        <v>1.02136267706231</v>
      </c>
      <c r="AC17" s="12" t="n">
        <f aca="false">J17/$J$27</f>
        <v>0.0575970405541373</v>
      </c>
    </row>
    <row r="18" customFormat="false" ht="15" hidden="false" customHeight="false" outlineLevel="0" collapsed="false">
      <c r="A18" s="9" t="n">
        <v>12</v>
      </c>
      <c r="B18" s="9" t="s">
        <v>43</v>
      </c>
      <c r="C18" s="9" t="s">
        <v>56</v>
      </c>
      <c r="D18" s="10" t="n">
        <v>2</v>
      </c>
      <c r="E18" s="10" t="n">
        <v>2</v>
      </c>
      <c r="F18" s="10" t="n">
        <v>1</v>
      </c>
      <c r="G18" s="10" t="n">
        <v>2</v>
      </c>
      <c r="H18" s="10" t="n">
        <v>2</v>
      </c>
      <c r="I18" s="10" t="n">
        <v>1</v>
      </c>
      <c r="J18" s="10" t="n">
        <v>1.57</v>
      </c>
      <c r="K18" s="10" t="n">
        <v>1.57</v>
      </c>
      <c r="L18" s="10" t="n">
        <v>0.85</v>
      </c>
      <c r="M18" s="10" t="n">
        <v>2.12</v>
      </c>
      <c r="N18" s="10" t="n">
        <v>2.12</v>
      </c>
      <c r="O18" s="10" t="n">
        <v>0.8</v>
      </c>
      <c r="P18" s="10" t="n">
        <v>2.07</v>
      </c>
      <c r="Q18" s="10" t="n">
        <v>2.07</v>
      </c>
      <c r="R18" s="10" t="n">
        <v>1.29</v>
      </c>
      <c r="S18" s="10" t="n">
        <v>0.96</v>
      </c>
      <c r="T18" s="10" t="n">
        <v>0.96</v>
      </c>
      <c r="U18" s="10" t="n">
        <v>0.67</v>
      </c>
      <c r="V18" s="12" t="n">
        <f aca="false">K18/J18</f>
        <v>1</v>
      </c>
      <c r="W18" s="12" t="n">
        <f aca="false">L18/J18</f>
        <v>0.54140127388535</v>
      </c>
      <c r="X18" s="12" t="n">
        <f aca="false">J18/M18-1</f>
        <v>-0.259433962264151</v>
      </c>
      <c r="Y18" s="12" t="n">
        <f aca="false">J18/P18-1</f>
        <v>-0.241545893719807</v>
      </c>
      <c r="Z18" s="12" t="n">
        <f aca="false">J18/S18-1</f>
        <v>0.635416666666667</v>
      </c>
      <c r="AA18" s="11" t="n">
        <f aca="false">D18-G18</f>
        <v>0</v>
      </c>
      <c r="AB18" s="26" t="n">
        <f aca="false">J18/B1_MEB_Periods!E10</f>
        <v>1.03973509933775</v>
      </c>
      <c r="AC18" s="12" t="n">
        <f aca="false">J18/$J$27</f>
        <v>1.35991207865246E-005</v>
      </c>
    </row>
    <row r="19" customFormat="false" ht="15" hidden="false" customHeight="false" outlineLevel="0" collapsed="false">
      <c r="A19" s="9" t="n">
        <v>13</v>
      </c>
      <c r="B19" s="9" t="s">
        <v>44</v>
      </c>
      <c r="C19" s="9" t="s">
        <v>53</v>
      </c>
      <c r="D19" s="10" t="n">
        <v>1430</v>
      </c>
      <c r="E19" s="10" t="n">
        <v>949</v>
      </c>
      <c r="F19" s="10" t="n">
        <v>38</v>
      </c>
      <c r="G19" s="10" t="n">
        <v>1429</v>
      </c>
      <c r="H19" s="10" t="n">
        <v>946</v>
      </c>
      <c r="I19" s="10" t="n">
        <v>38</v>
      </c>
      <c r="J19" s="10" t="n">
        <v>1429.87</v>
      </c>
      <c r="K19" s="10" t="n">
        <v>949.08</v>
      </c>
      <c r="L19" s="10" t="n">
        <v>37.56</v>
      </c>
      <c r="M19" s="10" t="n">
        <v>1488.67</v>
      </c>
      <c r="N19" s="10" t="n">
        <v>928.15</v>
      </c>
      <c r="O19" s="10" t="n">
        <v>36.43</v>
      </c>
      <c r="P19" s="10" t="n">
        <v>1517.97</v>
      </c>
      <c r="Q19" s="10" t="n">
        <v>912.73</v>
      </c>
      <c r="R19" s="10" t="n">
        <v>30.39</v>
      </c>
      <c r="S19" s="10" t="n">
        <v>1018.29</v>
      </c>
      <c r="T19" s="10" t="n">
        <v>754.52</v>
      </c>
      <c r="U19" s="10" t="n">
        <v>28.11</v>
      </c>
      <c r="V19" s="12" t="n">
        <f aca="false">K19/J19</f>
        <v>0.663752648842203</v>
      </c>
      <c r="W19" s="12" t="n">
        <f aca="false">L19/J19</f>
        <v>0.0262681222768503</v>
      </c>
      <c r="X19" s="12" t="n">
        <f aca="false">J19/M19-1</f>
        <v>-0.0394983441595519</v>
      </c>
      <c r="Y19" s="12" t="n">
        <f aca="false">J19/P19-1</f>
        <v>-0.0580380376423777</v>
      </c>
      <c r="Z19" s="12" t="n">
        <f aca="false">J19/S19-1</f>
        <v>0.404187412230308</v>
      </c>
      <c r="AA19" s="11" t="n">
        <f aca="false">D19-G19</f>
        <v>1</v>
      </c>
      <c r="AB19" s="26" t="n">
        <f aca="false">J19/B1_MEB_Periods!F7</f>
        <v>1.02618811810131</v>
      </c>
      <c r="AC19" s="12" t="n">
        <f aca="false">J19/$J$27</f>
        <v>0.0123853342923745</v>
      </c>
    </row>
    <row r="20" customFormat="false" ht="15" hidden="false" customHeight="false" outlineLevel="0" collapsed="false">
      <c r="A20" s="9" t="n">
        <v>14</v>
      </c>
      <c r="B20" s="9" t="s">
        <v>44</v>
      </c>
      <c r="C20" s="9" t="s">
        <v>54</v>
      </c>
      <c r="D20" s="10" t="n">
        <v>3425</v>
      </c>
      <c r="E20" s="10" t="n">
        <v>2873</v>
      </c>
      <c r="F20" s="10" t="n">
        <v>2673</v>
      </c>
      <c r="G20" s="10" t="n">
        <v>3420</v>
      </c>
      <c r="H20" s="10" t="n">
        <v>2869</v>
      </c>
      <c r="I20" s="10" t="n">
        <v>2669</v>
      </c>
      <c r="J20" s="10" t="n">
        <v>3424.93</v>
      </c>
      <c r="K20" s="10" t="n">
        <v>2873.5</v>
      </c>
      <c r="L20" s="10" t="n">
        <v>2672.71</v>
      </c>
      <c r="M20" s="10" t="n">
        <v>3310.68</v>
      </c>
      <c r="N20" s="10" t="n">
        <v>2779.41</v>
      </c>
      <c r="O20" s="10" t="n">
        <v>2576.04</v>
      </c>
      <c r="P20" s="10" t="n">
        <v>3585.5</v>
      </c>
      <c r="Q20" s="10" t="n">
        <v>2632.36</v>
      </c>
      <c r="R20" s="10" t="n">
        <v>2430.85</v>
      </c>
      <c r="S20" s="10" t="n">
        <v>2760.59</v>
      </c>
      <c r="T20" s="10" t="n">
        <v>2248.48</v>
      </c>
      <c r="U20" s="10" t="n">
        <v>2070.45</v>
      </c>
      <c r="V20" s="12" t="n">
        <f aca="false">K20/J20</f>
        <v>0.838995249537947</v>
      </c>
      <c r="W20" s="12" t="n">
        <f aca="false">L20/J20</f>
        <v>0.780369233823757</v>
      </c>
      <c r="X20" s="12" t="n">
        <f aca="false">J20/M20-1</f>
        <v>0.0345095267437505</v>
      </c>
      <c r="Y20" s="12" t="n">
        <f aca="false">J20/P20-1</f>
        <v>-0.0447831543717753</v>
      </c>
      <c r="Z20" s="12" t="n">
        <f aca="false">J20/S20-1</f>
        <v>0.240651454942603</v>
      </c>
      <c r="AA20" s="11" t="n">
        <f aca="false">D20-G20</f>
        <v>5</v>
      </c>
      <c r="AB20" s="26" t="n">
        <f aca="false">J20/B1_MEB_Periods!F8</f>
        <v>0.997103246692752</v>
      </c>
      <c r="AC20" s="12" t="n">
        <f aca="false">J20/$J$27</f>
        <v>0.0296662654492942</v>
      </c>
    </row>
    <row r="21" customFormat="false" ht="15" hidden="false" customHeight="false" outlineLevel="0" collapsed="false">
      <c r="A21" s="9" t="n">
        <v>15</v>
      </c>
      <c r="B21" s="9" t="s">
        <v>44</v>
      </c>
      <c r="C21" s="9" t="s">
        <v>55</v>
      </c>
      <c r="D21" s="10" t="n">
        <v>21726</v>
      </c>
      <c r="E21" s="10" t="n">
        <v>7994</v>
      </c>
      <c r="F21" s="10" t="n">
        <v>3431</v>
      </c>
      <c r="G21" s="10" t="n">
        <v>21745</v>
      </c>
      <c r="H21" s="10" t="n">
        <v>7983</v>
      </c>
      <c r="I21" s="10" t="n">
        <v>3422</v>
      </c>
      <c r="J21" s="10" t="n">
        <v>21726.17</v>
      </c>
      <c r="K21" s="10" t="n">
        <v>7994.29</v>
      </c>
      <c r="L21" s="10" t="n">
        <v>3430.71</v>
      </c>
      <c r="M21" s="10" t="n">
        <v>21873.22</v>
      </c>
      <c r="N21" s="10" t="n">
        <v>7730.07</v>
      </c>
      <c r="O21" s="10" t="n">
        <v>3287.99</v>
      </c>
      <c r="P21" s="10" t="n">
        <v>21698.96</v>
      </c>
      <c r="Q21" s="10" t="n">
        <v>6791.36</v>
      </c>
      <c r="R21" s="10" t="n">
        <v>2802.95</v>
      </c>
      <c r="S21" s="10" t="n">
        <v>17832.35</v>
      </c>
      <c r="T21" s="10" t="n">
        <v>5330.82</v>
      </c>
      <c r="U21" s="10" t="n">
        <v>2456.2</v>
      </c>
      <c r="V21" s="12" t="n">
        <f aca="false">K21/J21</f>
        <v>0.367956708430432</v>
      </c>
      <c r="W21" s="12" t="n">
        <f aca="false">L21/J21</f>
        <v>0.157906800876547</v>
      </c>
      <c r="X21" s="12" t="n">
        <f aca="false">J21/M21-1</f>
        <v>-0.00672283276079166</v>
      </c>
      <c r="Y21" s="12" t="n">
        <f aca="false">J21/P21-1</f>
        <v>0.00125397714913511</v>
      </c>
      <c r="Z21" s="12" t="n">
        <f aca="false">J21/S21-1</f>
        <v>0.218357086979562</v>
      </c>
      <c r="AA21" s="11" t="n">
        <f aca="false">D21-G21</f>
        <v>-19</v>
      </c>
      <c r="AB21" s="26" t="n">
        <f aca="false">J21/B1_MEB_Periods!F9</f>
        <v>1.05764371131411</v>
      </c>
      <c r="AC21" s="12" t="n">
        <f aca="false">J21/$J$27</f>
        <v>0.188189050992719</v>
      </c>
    </row>
    <row r="22" customFormat="false" ht="15" hidden="false" customHeight="false" outlineLevel="0" collapsed="false">
      <c r="A22" s="9" t="n">
        <v>16</v>
      </c>
      <c r="B22" s="9" t="s">
        <v>44</v>
      </c>
      <c r="C22" s="9" t="s">
        <v>56</v>
      </c>
      <c r="D22" s="10" t="n">
        <v>12</v>
      </c>
      <c r="E22" s="10" t="n">
        <v>8</v>
      </c>
      <c r="F22" s="10" t="n">
        <v>3</v>
      </c>
      <c r="G22" s="10" t="n">
        <v>12</v>
      </c>
      <c r="H22" s="10" t="n">
        <v>8</v>
      </c>
      <c r="I22" s="10" t="n">
        <v>3</v>
      </c>
      <c r="J22" s="10" t="n">
        <v>11.98</v>
      </c>
      <c r="K22" s="10" t="n">
        <v>8.27</v>
      </c>
      <c r="L22" s="10" t="n">
        <v>2.91</v>
      </c>
      <c r="M22" s="10" t="n">
        <v>12.86</v>
      </c>
      <c r="N22" s="10" t="n">
        <v>3.93</v>
      </c>
      <c r="O22" s="10" t="n">
        <v>2.95</v>
      </c>
      <c r="P22" s="10" t="n">
        <v>8.7</v>
      </c>
      <c r="Q22" s="10" t="n">
        <v>8.7</v>
      </c>
      <c r="R22" s="10" t="n">
        <v>3.07</v>
      </c>
      <c r="S22" s="10" t="n">
        <v>7</v>
      </c>
      <c r="T22" s="10" t="n">
        <v>7</v>
      </c>
      <c r="U22" s="10" t="n">
        <v>2.99</v>
      </c>
      <c r="V22" s="12" t="n">
        <f aca="false">K22/J22</f>
        <v>0.690317195325543</v>
      </c>
      <c r="W22" s="12" t="n">
        <f aca="false">L22/J22</f>
        <v>0.242904841402337</v>
      </c>
      <c r="X22" s="12" t="n">
        <f aca="false">J22/M22-1</f>
        <v>-0.0684292379471228</v>
      </c>
      <c r="Y22" s="12" t="n">
        <f aca="false">J22/P22-1</f>
        <v>0.377011494252874</v>
      </c>
      <c r="Z22" s="12" t="n">
        <f aca="false">J22/S22-1</f>
        <v>0.711428571428572</v>
      </c>
      <c r="AA22" s="11" t="n">
        <f aca="false">D22-G22</f>
        <v>0</v>
      </c>
      <c r="AB22" s="26" t="n">
        <f aca="false">J22/B1_MEB_Periods!F10</f>
        <v>3.72049689440994</v>
      </c>
      <c r="AC22" s="12" t="n">
        <f aca="false">J22/$J$27</f>
        <v>0.000103769087275519</v>
      </c>
    </row>
    <row r="24" customFormat="false" ht="15" hidden="false" customHeight="false" outlineLevel="0" collapsed="false">
      <c r="B24" s="13" t="s">
        <v>286</v>
      </c>
      <c r="D24" s="11" t="n">
        <f aca="false">SUM(D7:D22)</f>
        <v>115448</v>
      </c>
      <c r="E24" s="11" t="n">
        <f aca="false">SUM(E7:E22)</f>
        <v>64103</v>
      </c>
      <c r="F24" s="11" t="n">
        <f aca="false">SUM(F7:F22)</f>
        <v>44428</v>
      </c>
      <c r="G24" s="11" t="n">
        <f aca="false">SUM(G7:G22)</f>
        <v>115363</v>
      </c>
      <c r="H24" s="11" t="n">
        <f aca="false">SUM(H7:H22)</f>
        <v>63979</v>
      </c>
      <c r="I24" s="11" t="n">
        <f aca="false">SUM(I7:I22)</f>
        <v>44312</v>
      </c>
      <c r="J24" s="11" t="n">
        <f aca="false">SUM(J7:J22)</f>
        <v>115448.63</v>
      </c>
      <c r="K24" s="11" t="n">
        <f aca="false">SUM(K7:K22)</f>
        <v>64103.63</v>
      </c>
      <c r="L24" s="11" t="n">
        <f aca="false">SUM(L7:L22)</f>
        <v>44426.47</v>
      </c>
      <c r="M24" s="11" t="n">
        <f aca="false">SUM(M7:M22)</f>
        <v>94880.78</v>
      </c>
      <c r="N24" s="11" t="n">
        <f aca="false">SUM(N7:N22)</f>
        <v>63121.27</v>
      </c>
      <c r="O24" s="11" t="n">
        <f aca="false">SUM(O7:O22)</f>
        <v>44009.25</v>
      </c>
      <c r="P24" s="11" t="n">
        <f aca="false">SUM(P7:P22)</f>
        <v>83098.94</v>
      </c>
      <c r="Q24" s="11" t="n">
        <f aca="false">SUM(Q7:Q22)</f>
        <v>59065.74</v>
      </c>
      <c r="R24" s="11" t="n">
        <f aca="false">SUM(R7:R22)</f>
        <v>41504.64</v>
      </c>
      <c r="S24" s="11" t="n">
        <f aca="false">SUM(S7:S22)</f>
        <v>73396.38</v>
      </c>
      <c r="T24" s="11" t="n">
        <f aca="false">SUM(T7:T22)</f>
        <v>54112.92</v>
      </c>
      <c r="U24" s="11" t="n">
        <f aca="false">SUM(U7:U22)</f>
        <v>39703.77</v>
      </c>
    </row>
    <row r="25" customFormat="false" ht="15" hidden="false" customHeight="false" outlineLevel="0" collapsed="false">
      <c r="B25" s="13" t="s">
        <v>57</v>
      </c>
      <c r="D25" s="10" t="n">
        <v>115449</v>
      </c>
      <c r="E25" s="10" t="n">
        <v>64104</v>
      </c>
      <c r="F25" s="10" t="n">
        <v>44426</v>
      </c>
      <c r="G25" s="10" t="n">
        <v>115364</v>
      </c>
      <c r="H25" s="10" t="n">
        <v>63980</v>
      </c>
      <c r="I25" s="10" t="n">
        <v>44312</v>
      </c>
      <c r="J25" s="10" t="n">
        <v>115448.64</v>
      </c>
      <c r="K25" s="10" t="n">
        <v>64103.64</v>
      </c>
      <c r="L25" s="10" t="n">
        <v>44426.48</v>
      </c>
      <c r="M25" s="10" t="n">
        <v>94880.79</v>
      </c>
      <c r="N25" s="10" t="n">
        <v>63121.29</v>
      </c>
      <c r="O25" s="10" t="n">
        <v>44009.26</v>
      </c>
      <c r="P25" s="10" t="n">
        <v>83098.91</v>
      </c>
      <c r="Q25" s="10" t="n">
        <v>59065.73</v>
      </c>
      <c r="R25" s="10" t="n">
        <v>41504.63</v>
      </c>
      <c r="S25" s="10" t="n">
        <v>73396.38</v>
      </c>
      <c r="T25" s="10" t="n">
        <v>54112.92</v>
      </c>
      <c r="U25" s="10" t="n">
        <v>39703.76</v>
      </c>
      <c r="V25" s="12" t="n">
        <f aca="false">K25/J25</f>
        <v>0.555256779118403</v>
      </c>
      <c r="W25" s="12" t="n">
        <f aca="false">L25/J25</f>
        <v>0.384815966649759</v>
      </c>
      <c r="X25" s="12" t="n">
        <f aca="false">J25/M25-1</f>
        <v>0.216775703490665</v>
      </c>
      <c r="Y25" s="12" t="n">
        <f aca="false">J25/P25-1</f>
        <v>0.389291869171329</v>
      </c>
      <c r="Z25" s="12" t="n">
        <f aca="false">J25/S25-1</f>
        <v>0.572947330644917</v>
      </c>
      <c r="AA25" s="11" t="n">
        <f aca="false">D25-G25</f>
        <v>85</v>
      </c>
    </row>
    <row r="26" customFormat="false" ht="15" hidden="false" customHeight="false" outlineLevel="0" collapsed="false">
      <c r="B26" s="9" t="s">
        <v>287</v>
      </c>
      <c r="D26" s="11" t="n">
        <f aca="false">D25-D24</f>
        <v>1</v>
      </c>
      <c r="E26" s="11" t="n">
        <f aca="false">E25-E24</f>
        <v>1</v>
      </c>
      <c r="F26" s="11" t="n">
        <f aca="false">F25-F24</f>
        <v>-2</v>
      </c>
      <c r="G26" s="11" t="n">
        <f aca="false">G25-G24</f>
        <v>1</v>
      </c>
      <c r="H26" s="11" t="n">
        <f aca="false">H25-H24</f>
        <v>1</v>
      </c>
      <c r="I26" s="11" t="n">
        <f aca="false">I25-I24</f>
        <v>0</v>
      </c>
      <c r="J26" s="11" t="n">
        <f aca="false">J25-J24</f>
        <v>0.0100000000093132</v>
      </c>
      <c r="K26" s="11" t="n">
        <f aca="false">K25-K24</f>
        <v>0.0100000000020373</v>
      </c>
      <c r="L26" s="11" t="n">
        <f aca="false">L25-L24</f>
        <v>0.0100000000020373</v>
      </c>
      <c r="M26" s="11" t="n">
        <f aca="false">M25-M24</f>
        <v>0.00999999999476131</v>
      </c>
      <c r="N26" s="11" t="n">
        <f aca="false">N25-N24</f>
        <v>0.0200000000040745</v>
      </c>
      <c r="O26" s="11" t="n">
        <f aca="false">O25-O24</f>
        <v>0.0100000000020373</v>
      </c>
      <c r="P26" s="11" t="n">
        <f aca="false">P25-P24</f>
        <v>-0.0299999999988358</v>
      </c>
      <c r="Q26" s="11" t="n">
        <f aca="false">Q25-Q24</f>
        <v>-0.00999999999476131</v>
      </c>
      <c r="R26" s="11" t="n">
        <f aca="false">R25-R24</f>
        <v>-0.0100000000020373</v>
      </c>
      <c r="S26" s="11" t="n">
        <f aca="false">S25-S24</f>
        <v>0</v>
      </c>
      <c r="T26" s="11" t="n">
        <f aca="false">T25-T24</f>
        <v>0</v>
      </c>
      <c r="U26" s="11" t="n">
        <f aca="false">U25-U24</f>
        <v>-0.00999999999476131</v>
      </c>
    </row>
    <row r="27" customFormat="false" ht="15" hidden="false" customHeight="false" outlineLevel="0" collapsed="false">
      <c r="B27" s="9" t="s">
        <v>288</v>
      </c>
      <c r="D27" s="11" t="n">
        <f aca="false">D25</f>
        <v>115449</v>
      </c>
      <c r="E27" s="11" t="n">
        <f aca="false">E25</f>
        <v>64104</v>
      </c>
      <c r="F27" s="11" t="n">
        <f aca="false">F25</f>
        <v>44426</v>
      </c>
      <c r="G27" s="11" t="n">
        <f aca="false">G25</f>
        <v>115364</v>
      </c>
      <c r="H27" s="11" t="n">
        <f aca="false">H25</f>
        <v>63980</v>
      </c>
      <c r="I27" s="11" t="n">
        <f aca="false">I25</f>
        <v>44312</v>
      </c>
      <c r="J27" s="11" t="n">
        <f aca="false">J25</f>
        <v>115448.64</v>
      </c>
      <c r="K27" s="11" t="n">
        <f aca="false">K25</f>
        <v>64103.64</v>
      </c>
      <c r="L27" s="11" t="n">
        <f aca="false">L25</f>
        <v>44426.48</v>
      </c>
      <c r="M27" s="11" t="n">
        <f aca="false">M25</f>
        <v>94880.79</v>
      </c>
      <c r="N27" s="11" t="n">
        <f aca="false">N25</f>
        <v>63121.29</v>
      </c>
      <c r="O27" s="11" t="n">
        <f aca="false">O25</f>
        <v>44009.26</v>
      </c>
      <c r="P27" s="11" t="n">
        <f aca="false">P25</f>
        <v>83098.91</v>
      </c>
      <c r="Q27" s="11" t="n">
        <f aca="false">Q25</f>
        <v>59065.73</v>
      </c>
      <c r="R27" s="11" t="n">
        <f aca="false">R25</f>
        <v>41504.63</v>
      </c>
      <c r="S27" s="11" t="n">
        <f aca="false">S25</f>
        <v>73396.38</v>
      </c>
      <c r="T27" s="11" t="n">
        <f aca="false">T25</f>
        <v>54112.92</v>
      </c>
      <c r="U27" s="11" t="n">
        <f aca="false">U25</f>
        <v>39703.76</v>
      </c>
    </row>
    <row r="29" customFormat="false" ht="15" hidden="false" customHeight="false" outlineLevel="0" collapsed="false">
      <c r="A29" s="4" t="s">
        <v>289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customFormat="false" ht="23.85" hidden="false" customHeight="false" outlineLevel="0" collapsed="false">
      <c r="A30" s="8" t="s">
        <v>39</v>
      </c>
      <c r="B30" s="8" t="s">
        <v>110</v>
      </c>
      <c r="C30" s="8" t="s">
        <v>290</v>
      </c>
      <c r="D30" s="8" t="s">
        <v>260</v>
      </c>
      <c r="E30" s="8" t="s">
        <v>261</v>
      </c>
      <c r="F30" s="8" t="s">
        <v>262</v>
      </c>
      <c r="G30" s="8" t="s">
        <v>263</v>
      </c>
      <c r="H30" s="8" t="s">
        <v>264</v>
      </c>
      <c r="I30" s="8" t="s">
        <v>265</v>
      </c>
      <c r="J30" s="8" t="s">
        <v>266</v>
      </c>
      <c r="K30" s="8" t="s">
        <v>267</v>
      </c>
      <c r="L30" s="8" t="s">
        <v>268</v>
      </c>
      <c r="M30" s="8" t="s">
        <v>269</v>
      </c>
      <c r="N30" s="8" t="s">
        <v>270</v>
      </c>
      <c r="O30" s="8" t="s">
        <v>271</v>
      </c>
      <c r="P30" s="8" t="s">
        <v>272</v>
      </c>
      <c r="Q30" s="8" t="s">
        <v>273</v>
      </c>
      <c r="R30" s="8" t="s">
        <v>274</v>
      </c>
      <c r="S30" s="8" t="s">
        <v>275</v>
      </c>
      <c r="T30" s="8" t="s">
        <v>276</v>
      </c>
      <c r="U30" s="8" t="s">
        <v>277</v>
      </c>
      <c r="V30" s="8" t="s">
        <v>278</v>
      </c>
      <c r="W30" s="8" t="s">
        <v>279</v>
      </c>
      <c r="X30" s="8" t="s">
        <v>280</v>
      </c>
      <c r="Y30" s="8" t="s">
        <v>281</v>
      </c>
      <c r="Z30" s="8" t="s">
        <v>282</v>
      </c>
      <c r="AA30" s="8" t="s">
        <v>291</v>
      </c>
      <c r="AB30" s="8"/>
      <c r="AC30" s="8" t="s">
        <v>285</v>
      </c>
    </row>
    <row r="31" customFormat="false" ht="15" hidden="false" customHeight="false" outlineLevel="0" collapsed="false">
      <c r="A31" s="9" t="n">
        <v>1</v>
      </c>
      <c r="B31" s="9" t="s">
        <v>259</v>
      </c>
      <c r="C31" s="13" t="s">
        <v>41</v>
      </c>
      <c r="D31" s="11" t="n">
        <f aca="false">SUMIFS(D$7:D$22,$B$7:$B$22,$C31)</f>
        <v>68769</v>
      </c>
      <c r="E31" s="11" t="n">
        <f aca="false">SUMIFS(E$7:E$22,$B$7:$B$22,$C31)</f>
        <v>35376</v>
      </c>
      <c r="F31" s="11" t="n">
        <f aca="false">SUMIFS(F$7:F$22,$B$7:$B$22,$C31)</f>
        <v>24879</v>
      </c>
      <c r="G31" s="11" t="n">
        <f aca="false">SUMIFS(G$7:G$22,$B$7:$B$22,$C31)</f>
        <v>68691</v>
      </c>
      <c r="H31" s="11" t="n">
        <f aca="false">SUMIFS(H$7:H$22,$B$7:$B$22,$C31)</f>
        <v>35295</v>
      </c>
      <c r="I31" s="11" t="n">
        <f aca="false">SUMIFS(I$7:I$22,$B$7:$B$22,$C31)</f>
        <v>24795</v>
      </c>
      <c r="J31" s="11" t="n">
        <f aca="false">SUMIFS(J$7:J$22,$B$7:$B$22,$C31)</f>
        <v>68769.49</v>
      </c>
      <c r="K31" s="11" t="n">
        <f aca="false">SUMIFS(K$7:K$22,$B$7:$B$22,$C31)</f>
        <v>35375.54</v>
      </c>
      <c r="L31" s="11" t="n">
        <f aca="false">SUMIFS(L$7:L$22,$B$7:$B$22,$C31)</f>
        <v>24878.46</v>
      </c>
      <c r="M31" s="11" t="n">
        <f aca="false">SUMIFS(M$7:M$22,$B$7:$B$22,$C31)</f>
        <v>49498.19</v>
      </c>
      <c r="N31" s="11" t="n">
        <f aca="false">SUMIFS(N$7:N$22,$B$7:$B$22,$C31)</f>
        <v>34857.02</v>
      </c>
      <c r="O31" s="11" t="n">
        <f aca="false">SUMIFS(O$7:O$22,$B$7:$B$22,$C31)</f>
        <v>24752.57</v>
      </c>
      <c r="P31" s="11" t="n">
        <f aca="false">SUMIFS(P$7:P$22,$B$7:$B$22,$C31)</f>
        <v>39393</v>
      </c>
      <c r="Q31" s="11" t="n">
        <f aca="false">SUMIFS(Q$7:Q$22,$B$7:$B$22,$C31)</f>
        <v>32991.45</v>
      </c>
      <c r="R31" s="11" t="n">
        <f aca="false">SUMIFS(R$7:R$22,$B$7:$B$22,$C31)</f>
        <v>23680.14</v>
      </c>
      <c r="S31" s="11" t="n">
        <f aca="false">SUMIFS(S$7:S$22,$B$7:$B$22,$C31)</f>
        <v>36064.25</v>
      </c>
      <c r="T31" s="11" t="n">
        <f aca="false">SUMIFS(T$7:T$22,$B$7:$B$22,$C31)</f>
        <v>30847.85</v>
      </c>
      <c r="U31" s="11" t="n">
        <f aca="false">SUMIFS(U$7:U$22,$B$7:$B$22,$C31)</f>
        <v>23000.58</v>
      </c>
      <c r="V31" s="12" t="n">
        <f aca="false">K31/J31</f>
        <v>0.514407479246974</v>
      </c>
      <c r="W31" s="12" t="n">
        <f aca="false">L31/J31</f>
        <v>0.361765951732374</v>
      </c>
      <c r="X31" s="12" t="n">
        <f aca="false">J31/M31-1</f>
        <v>0.389333428151615</v>
      </c>
      <c r="Y31" s="12" t="n">
        <f aca="false">J31/P31-1</f>
        <v>0.745728682760896</v>
      </c>
      <c r="Z31" s="12" t="n">
        <f aca="false">J31/S31-1</f>
        <v>0.906860394989498</v>
      </c>
      <c r="AA31" s="11" t="n">
        <f aca="false">D31-G31</f>
        <v>78</v>
      </c>
      <c r="AC31" s="12" t="n">
        <f aca="false">J31/$J$27</f>
        <v>0.595671720342483</v>
      </c>
    </row>
    <row r="32" customFormat="false" ht="15" hidden="false" customHeight="false" outlineLevel="0" collapsed="false">
      <c r="A32" s="9" t="n">
        <v>2</v>
      </c>
      <c r="B32" s="9" t="s">
        <v>259</v>
      </c>
      <c r="C32" s="13" t="s">
        <v>42</v>
      </c>
      <c r="D32" s="11" t="n">
        <f aca="false">SUMIFS(D$7:D$22,$B$7:$B$22,$C32)</f>
        <v>11321</v>
      </c>
      <c r="E32" s="11" t="n">
        <f aca="false">SUMIFS(E$7:E$22,$B$7:$B$22,$C32)</f>
        <v>9717</v>
      </c>
      <c r="F32" s="11" t="n">
        <f aca="false">SUMIFS(F$7:F$22,$B$7:$B$22,$C32)</f>
        <v>7822</v>
      </c>
      <c r="G32" s="11" t="n">
        <f aca="false">SUMIFS(G$7:G$22,$B$7:$B$22,$C32)</f>
        <v>11311</v>
      </c>
      <c r="H32" s="11" t="n">
        <f aca="false">SUMIFS(H$7:H$22,$B$7:$B$22,$C32)</f>
        <v>9703</v>
      </c>
      <c r="I32" s="11" t="n">
        <f aca="false">SUMIFS(I$7:I$22,$B$7:$B$22,$C32)</f>
        <v>7809</v>
      </c>
      <c r="J32" s="11" t="n">
        <f aca="false">SUMIFS(J$7:J$22,$B$7:$B$22,$C32)</f>
        <v>11321.91</v>
      </c>
      <c r="K32" s="11" t="n">
        <f aca="false">SUMIFS(K$7:K$22,$B$7:$B$22,$C32)</f>
        <v>9717.44</v>
      </c>
      <c r="L32" s="11" t="n">
        <f aca="false">SUMIFS(L$7:L$22,$B$7:$B$22,$C32)</f>
        <v>7822.27</v>
      </c>
      <c r="M32" s="11" t="n">
        <f aca="false">SUMIFS(M$7:M$22,$B$7:$B$22,$C32)</f>
        <v>10555.07</v>
      </c>
      <c r="N32" s="11" t="n">
        <f aca="false">SUMIFS(N$7:N$22,$B$7:$B$22,$C32)</f>
        <v>9667.28</v>
      </c>
      <c r="O32" s="11" t="n">
        <f aca="false">SUMIFS(O$7:O$22,$B$7:$B$22,$C32)</f>
        <v>7790.51</v>
      </c>
      <c r="P32" s="11" t="n">
        <f aca="false">SUMIFS(P$7:P$22,$B$7:$B$22,$C32)</f>
        <v>9418.5</v>
      </c>
      <c r="Q32" s="11" t="n">
        <f aca="false">SUMIFS(Q$7:Q$22,$B$7:$B$22,$C32)</f>
        <v>8985.63</v>
      </c>
      <c r="R32" s="11" t="n">
        <f aca="false">SUMIFS(R$7:R$22,$B$7:$B$22,$C32)</f>
        <v>7249.3</v>
      </c>
      <c r="S32" s="11" t="n">
        <f aca="false">SUMIFS(S$7:S$22,$B$7:$B$22,$C32)</f>
        <v>8858.18</v>
      </c>
      <c r="T32" s="11" t="n">
        <f aca="false">SUMIFS(T$7:T$22,$B$7:$B$22,$C32)</f>
        <v>8583.46</v>
      </c>
      <c r="U32" s="11" t="n">
        <f aca="false">SUMIFS(U$7:U$22,$B$7:$B$22,$C32)</f>
        <v>7053.34</v>
      </c>
      <c r="V32" s="12" t="n">
        <f aca="false">K32/J32</f>
        <v>0.858286278551941</v>
      </c>
      <c r="W32" s="12" t="n">
        <f aca="false">L32/J32</f>
        <v>0.690896677327412</v>
      </c>
      <c r="X32" s="12" t="n">
        <f aca="false">J32/M32-1</f>
        <v>0.0726513419617303</v>
      </c>
      <c r="Y32" s="12" t="n">
        <f aca="false">J32/P32-1</f>
        <v>0.202092689918777</v>
      </c>
      <c r="Z32" s="12" t="n">
        <f aca="false">J32/S32-1</f>
        <v>0.278130496332204</v>
      </c>
      <c r="AA32" s="11" t="n">
        <f aca="false">D32-G32</f>
        <v>10</v>
      </c>
      <c r="AC32" s="12" t="n">
        <f aca="false">J32/$J$27</f>
        <v>0.0980688035822683</v>
      </c>
    </row>
    <row r="33" customFormat="false" ht="15" hidden="false" customHeight="false" outlineLevel="0" collapsed="false">
      <c r="A33" s="9" t="n">
        <v>3</v>
      </c>
      <c r="B33" s="9" t="s">
        <v>259</v>
      </c>
      <c r="C33" s="13" t="s">
        <v>43</v>
      </c>
      <c r="D33" s="11" t="n">
        <f aca="false">SUMIFS(D$7:D$22,$B$7:$B$22,$C33)</f>
        <v>8765</v>
      </c>
      <c r="E33" s="11" t="n">
        <f aca="false">SUMIFS(E$7:E$22,$B$7:$B$22,$C33)</f>
        <v>7186</v>
      </c>
      <c r="F33" s="11" t="n">
        <f aca="false">SUMIFS(F$7:F$22,$B$7:$B$22,$C33)</f>
        <v>5582</v>
      </c>
      <c r="G33" s="11" t="n">
        <f aca="false">SUMIFS(G$7:G$22,$B$7:$B$22,$C33)</f>
        <v>8755</v>
      </c>
      <c r="H33" s="11" t="n">
        <f aca="false">SUMIFS(H$7:H$22,$B$7:$B$22,$C33)</f>
        <v>7175</v>
      </c>
      <c r="I33" s="11" t="n">
        <f aca="false">SUMIFS(I$7:I$22,$B$7:$B$22,$C33)</f>
        <v>5576</v>
      </c>
      <c r="J33" s="11" t="n">
        <f aca="false">SUMIFS(J$7:J$22,$B$7:$B$22,$C33)</f>
        <v>8764.28</v>
      </c>
      <c r="K33" s="11" t="n">
        <f aca="false">SUMIFS(K$7:K$22,$B$7:$B$22,$C33)</f>
        <v>7185.51</v>
      </c>
      <c r="L33" s="11" t="n">
        <f aca="false">SUMIFS(L$7:L$22,$B$7:$B$22,$C33)</f>
        <v>5581.85</v>
      </c>
      <c r="M33" s="11" t="n">
        <f aca="false">SUMIFS(M$7:M$22,$B$7:$B$22,$C33)</f>
        <v>8142.09</v>
      </c>
      <c r="N33" s="11" t="n">
        <f aca="false">SUMIFS(N$7:N$22,$B$7:$B$22,$C33)</f>
        <v>7155.41</v>
      </c>
      <c r="O33" s="11" t="n">
        <f aca="false">SUMIFS(O$7:O$22,$B$7:$B$22,$C33)</f>
        <v>5562.76</v>
      </c>
      <c r="P33" s="11" t="n">
        <f aca="false">SUMIFS(P$7:P$22,$B$7:$B$22,$C33)</f>
        <v>7476.31</v>
      </c>
      <c r="Q33" s="11" t="n">
        <f aca="false">SUMIFS(Q$7:Q$22,$B$7:$B$22,$C33)</f>
        <v>6743.51</v>
      </c>
      <c r="R33" s="11" t="n">
        <f aca="false">SUMIFS(R$7:R$22,$B$7:$B$22,$C33)</f>
        <v>5307.94</v>
      </c>
      <c r="S33" s="11" t="n">
        <f aca="false">SUMIFS(S$7:S$22,$B$7:$B$22,$C33)</f>
        <v>6855.72</v>
      </c>
      <c r="T33" s="11" t="n">
        <f aca="false">SUMIFS(T$7:T$22,$B$7:$B$22,$C33)</f>
        <v>6340.79</v>
      </c>
      <c r="U33" s="11" t="n">
        <f aca="false">SUMIFS(U$7:U$22,$B$7:$B$22,$C33)</f>
        <v>5092.1</v>
      </c>
      <c r="V33" s="12" t="n">
        <f aca="false">K33/J33</f>
        <v>0.819863126235127</v>
      </c>
      <c r="W33" s="12" t="n">
        <f aca="false">L33/J33</f>
        <v>0.636886315818299</v>
      </c>
      <c r="X33" s="12" t="n">
        <f aca="false">J33/M33-1</f>
        <v>0.0764164974840613</v>
      </c>
      <c r="Y33" s="12" t="n">
        <f aca="false">J33/P33-1</f>
        <v>0.172273487856978</v>
      </c>
      <c r="Z33" s="12" t="n">
        <f aca="false">J33/S33-1</f>
        <v>0.278389432473905</v>
      </c>
      <c r="AA33" s="11" t="n">
        <f aca="false">D33-G33</f>
        <v>10</v>
      </c>
      <c r="AC33" s="12" t="n">
        <f aca="false">J33/$J$27</f>
        <v>0.0759149696349823</v>
      </c>
    </row>
    <row r="34" customFormat="false" ht="15" hidden="false" customHeight="false" outlineLevel="0" collapsed="false">
      <c r="A34" s="9" t="n">
        <v>4</v>
      </c>
      <c r="B34" s="9" t="s">
        <v>259</v>
      </c>
      <c r="C34" s="13" t="s">
        <v>44</v>
      </c>
      <c r="D34" s="11" t="n">
        <f aca="false">SUMIFS(D$7:D$22,$B$7:$B$22,$C34)</f>
        <v>26593</v>
      </c>
      <c r="E34" s="11" t="n">
        <f aca="false">SUMIFS(E$7:E$22,$B$7:$B$22,$C34)</f>
        <v>11824</v>
      </c>
      <c r="F34" s="11" t="n">
        <f aca="false">SUMIFS(F$7:F$22,$B$7:$B$22,$C34)</f>
        <v>6145</v>
      </c>
      <c r="G34" s="11" t="n">
        <f aca="false">SUMIFS(G$7:G$22,$B$7:$B$22,$C34)</f>
        <v>26606</v>
      </c>
      <c r="H34" s="11" t="n">
        <f aca="false">SUMIFS(H$7:H$22,$B$7:$B$22,$C34)</f>
        <v>11806</v>
      </c>
      <c r="I34" s="11" t="n">
        <f aca="false">SUMIFS(I$7:I$22,$B$7:$B$22,$C34)</f>
        <v>6132</v>
      </c>
      <c r="J34" s="11" t="n">
        <f aca="false">SUMIFS(J$7:J$22,$B$7:$B$22,$C34)</f>
        <v>26592.95</v>
      </c>
      <c r="K34" s="11" t="n">
        <f aca="false">SUMIFS(K$7:K$22,$B$7:$B$22,$C34)</f>
        <v>11825.14</v>
      </c>
      <c r="L34" s="11" t="n">
        <f aca="false">SUMIFS(L$7:L$22,$B$7:$B$22,$C34)</f>
        <v>6143.89</v>
      </c>
      <c r="M34" s="11" t="n">
        <f aca="false">SUMIFS(M$7:M$22,$B$7:$B$22,$C34)</f>
        <v>26685.43</v>
      </c>
      <c r="N34" s="11" t="n">
        <f aca="false">SUMIFS(N$7:N$22,$B$7:$B$22,$C34)</f>
        <v>11441.56</v>
      </c>
      <c r="O34" s="11" t="n">
        <f aca="false">SUMIFS(O$7:O$22,$B$7:$B$22,$C34)</f>
        <v>5903.41</v>
      </c>
      <c r="P34" s="11" t="n">
        <f aca="false">SUMIFS(P$7:P$22,$B$7:$B$22,$C34)</f>
        <v>26811.13</v>
      </c>
      <c r="Q34" s="11" t="n">
        <f aca="false">SUMIFS(Q$7:Q$22,$B$7:$B$22,$C34)</f>
        <v>10345.15</v>
      </c>
      <c r="R34" s="11" t="n">
        <f aca="false">SUMIFS(R$7:R$22,$B$7:$B$22,$C34)</f>
        <v>5267.26</v>
      </c>
      <c r="S34" s="11" t="n">
        <f aca="false">SUMIFS(S$7:S$22,$B$7:$B$22,$C34)</f>
        <v>21618.23</v>
      </c>
      <c r="T34" s="11" t="n">
        <f aca="false">SUMIFS(T$7:T$22,$B$7:$B$22,$C34)</f>
        <v>8340.82</v>
      </c>
      <c r="U34" s="11" t="n">
        <f aca="false">SUMIFS(U$7:U$22,$B$7:$B$22,$C34)</f>
        <v>4557.75</v>
      </c>
      <c r="V34" s="12" t="n">
        <f aca="false">K34/J34</f>
        <v>0.444671990132723</v>
      </c>
      <c r="W34" s="12" t="n">
        <f aca="false">L34/J34</f>
        <v>0.23103454110958</v>
      </c>
      <c r="X34" s="12" t="n">
        <f aca="false">J34/M34-1</f>
        <v>-0.00346556154425859</v>
      </c>
      <c r="Y34" s="12" t="n">
        <f aca="false">J34/P34-1</f>
        <v>-0.00813766521590098</v>
      </c>
      <c r="Z34" s="12" t="n">
        <f aca="false">J34/S34-1</f>
        <v>0.23011689671171</v>
      </c>
      <c r="AA34" s="11" t="n">
        <f aca="false">D34-G34</f>
        <v>-13</v>
      </c>
      <c r="AC34" s="12" t="n">
        <f aca="false">J34/$J$27</f>
        <v>0.230344419821663</v>
      </c>
    </row>
    <row r="35" customFormat="false" ht="15" hidden="false" customHeight="false" outlineLevel="0" collapsed="false">
      <c r="A35" s="9" t="n">
        <v>5</v>
      </c>
      <c r="B35" s="9" t="s">
        <v>40</v>
      </c>
      <c r="C35" s="13" t="s">
        <v>53</v>
      </c>
      <c r="D35" s="11" t="n">
        <f aca="false">SUMIFS(D$7:D$22,$C$7:$C$22,$C35)</f>
        <v>6038</v>
      </c>
      <c r="E35" s="11" t="n">
        <f aca="false">SUMIFS(E$7:E$22,$C$7:$C$22,$C35)</f>
        <v>3834</v>
      </c>
      <c r="F35" s="11" t="n">
        <f aca="false">SUMIFS(F$7:F$22,$C$7:$C$22,$C35)</f>
        <v>250</v>
      </c>
      <c r="G35" s="11" t="n">
        <f aca="false">SUMIFS(G$7:G$22,$C$7:$C$22,$C35)</f>
        <v>6029</v>
      </c>
      <c r="H35" s="11" t="n">
        <f aca="false">SUMIFS(H$7:H$22,$C$7:$C$22,$C35)</f>
        <v>3826</v>
      </c>
      <c r="I35" s="11" t="n">
        <f aca="false">SUMIFS(I$7:I$22,$C$7:$C$22,$C35)</f>
        <v>249</v>
      </c>
      <c r="J35" s="11" t="n">
        <f aca="false">SUMIFS(J$7:J$22,$C$7:$C$22,$C35)</f>
        <v>6038.91</v>
      </c>
      <c r="K35" s="11" t="n">
        <f aca="false">SUMIFS(K$7:K$22,$C$7:$C$22,$C35)</f>
        <v>3833.61</v>
      </c>
      <c r="L35" s="11" t="n">
        <f aca="false">SUMIFS(L$7:L$22,$C$7:$C$22,$C35)</f>
        <v>249.42</v>
      </c>
      <c r="M35" s="11" t="n">
        <f aca="false">SUMIFS(M$7:M$22,$C$7:$C$22,$C35)</f>
        <v>6111.09</v>
      </c>
      <c r="N35" s="11" t="n">
        <f aca="false">SUMIFS(N$7:N$22,$C$7:$C$22,$C35)</f>
        <v>3835.44</v>
      </c>
      <c r="O35" s="11" t="n">
        <f aca="false">SUMIFS(O$7:O$22,$C$7:$C$22,$C35)</f>
        <v>251.84</v>
      </c>
      <c r="P35" s="11" t="n">
        <f aca="false">SUMIFS(P$7:P$22,$C$7:$C$22,$C35)</f>
        <v>6260.4</v>
      </c>
      <c r="Q35" s="11" t="n">
        <f aca="false">SUMIFS(Q$7:Q$22,$C$7:$C$22,$C35)</f>
        <v>3834.41</v>
      </c>
      <c r="R35" s="11" t="n">
        <f aca="false">SUMIFS(R$7:R$22,$C$7:$C$22,$C35)</f>
        <v>242.62</v>
      </c>
      <c r="S35" s="11" t="n">
        <f aca="false">SUMIFS(S$7:S$22,$C$7:$C$22,$C35)</f>
        <v>5435.27</v>
      </c>
      <c r="T35" s="11" t="n">
        <f aca="false">SUMIFS(T$7:T$22,$C$7:$C$22,$C35)</f>
        <v>3405.51</v>
      </c>
      <c r="U35" s="11" t="n">
        <f aca="false">SUMIFS(U$7:U$22,$C$7:$C$22,$C35)</f>
        <v>225.17</v>
      </c>
      <c r="V35" s="12" t="n">
        <f aca="false">K35/J35</f>
        <v>0.634818203947401</v>
      </c>
      <c r="W35" s="12" t="n">
        <f aca="false">L35/J35</f>
        <v>0.0413021555214434</v>
      </c>
      <c r="X35" s="12" t="n">
        <f aca="false">J35/M35-1</f>
        <v>-0.0118113135299922</v>
      </c>
      <c r="Y35" s="12" t="n">
        <f aca="false">J35/P35-1</f>
        <v>-0.0353795284646348</v>
      </c>
      <c r="Z35" s="12" t="n">
        <f aca="false">J35/S35-1</f>
        <v>0.111059800157122</v>
      </c>
      <c r="AA35" s="11" t="n">
        <f aca="false">D35-G35</f>
        <v>9</v>
      </c>
      <c r="AC35" s="12" t="n">
        <f aca="false">J35/$J$27</f>
        <v>0.0523081952286315</v>
      </c>
    </row>
    <row r="36" customFormat="false" ht="15" hidden="false" customHeight="false" outlineLevel="0" collapsed="false">
      <c r="A36" s="9" t="n">
        <v>6</v>
      </c>
      <c r="B36" s="9" t="s">
        <v>40</v>
      </c>
      <c r="C36" s="13" t="s">
        <v>54</v>
      </c>
      <c r="D36" s="11" t="n">
        <f aca="false">SUMIFS(D$7:D$22,$C$7:$C$22,$C36)</f>
        <v>19481</v>
      </c>
      <c r="E36" s="11" t="n">
        <f aca="false">SUMIFS(E$7:E$22,$C$7:$C$22,$C36)</f>
        <v>15391</v>
      </c>
      <c r="F36" s="11" t="n">
        <f aca="false">SUMIFS(F$7:F$22,$C$7:$C$22,$C36)</f>
        <v>14301</v>
      </c>
      <c r="G36" s="11" t="n">
        <f aca="false">SUMIFS(G$7:G$22,$C$7:$C$22,$C36)</f>
        <v>19452</v>
      </c>
      <c r="H36" s="11" t="n">
        <f aca="false">SUMIFS(H$7:H$22,$C$7:$C$22,$C36)</f>
        <v>15367</v>
      </c>
      <c r="I36" s="11" t="n">
        <f aca="false">SUMIFS(I$7:I$22,$C$7:$C$22,$C36)</f>
        <v>14279</v>
      </c>
      <c r="J36" s="11" t="n">
        <f aca="false">SUMIFS(J$7:J$22,$C$7:$C$22,$C36)</f>
        <v>19480.57</v>
      </c>
      <c r="K36" s="11" t="n">
        <f aca="false">SUMIFS(K$7:K$22,$C$7:$C$22,$C36)</f>
        <v>15391.35</v>
      </c>
      <c r="L36" s="11" t="n">
        <f aca="false">SUMIFS(L$7:L$22,$C$7:$C$22,$C36)</f>
        <v>14300.75</v>
      </c>
      <c r="M36" s="11" t="n">
        <f aca="false">SUMIFS(M$7:M$22,$C$7:$C$22,$C36)</f>
        <v>19023.68</v>
      </c>
      <c r="N36" s="11" t="n">
        <f aca="false">SUMIFS(N$7:N$22,$C$7:$C$22,$C36)</f>
        <v>15313.77</v>
      </c>
      <c r="O36" s="11" t="n">
        <f aca="false">SUMIFS(O$7:O$22,$C$7:$C$22,$C36)</f>
        <v>14225.65</v>
      </c>
      <c r="P36" s="11" t="n">
        <f aca="false">SUMIFS(P$7:P$22,$C$7:$C$22,$C36)</f>
        <v>18805.15</v>
      </c>
      <c r="Q36" s="11" t="n">
        <f aca="false">SUMIFS(Q$7:Q$22,$C$7:$C$22,$C36)</f>
        <v>15118.54</v>
      </c>
      <c r="R36" s="11" t="n">
        <f aca="false">SUMIFS(R$7:R$22,$C$7:$C$22,$C36)</f>
        <v>14031.1</v>
      </c>
      <c r="S36" s="11" t="n">
        <f aca="false">SUMIFS(S$7:S$22,$C$7:$C$22,$C36)</f>
        <v>17817.24</v>
      </c>
      <c r="T36" s="11" t="n">
        <f aca="false">SUMIFS(T$7:T$22,$C$7:$C$22,$C36)</f>
        <v>15332.91</v>
      </c>
      <c r="U36" s="11" t="n">
        <f aca="false">SUMIFS(U$7:U$22,$C$7:$C$22,$C36)</f>
        <v>14140</v>
      </c>
      <c r="V36" s="12" t="n">
        <f aca="false">K36/J36</f>
        <v>0.790087251040396</v>
      </c>
      <c r="W36" s="12" t="n">
        <f aca="false">L36/J36</f>
        <v>0.734103262892205</v>
      </c>
      <c r="X36" s="12" t="n">
        <f aca="false">J36/M36-1</f>
        <v>0.024016909451799</v>
      </c>
      <c r="Y36" s="12" t="n">
        <f aca="false">J36/P36-1</f>
        <v>0.035916756845864</v>
      </c>
      <c r="Z36" s="12" t="n">
        <f aca="false">J36/S36-1</f>
        <v>0.0933550875444231</v>
      </c>
      <c r="AA36" s="11" t="n">
        <f aca="false">D36-G36</f>
        <v>29</v>
      </c>
      <c r="AC36" s="12" t="n">
        <f aca="false">J36/$J$27</f>
        <v>0.168737977337801</v>
      </c>
    </row>
    <row r="37" customFormat="false" ht="15" hidden="false" customHeight="false" outlineLevel="0" collapsed="false">
      <c r="A37" s="9" t="n">
        <v>7</v>
      </c>
      <c r="B37" s="9" t="s">
        <v>40</v>
      </c>
      <c r="C37" s="13" t="s">
        <v>55</v>
      </c>
      <c r="D37" s="11" t="n">
        <f aca="false">SUMIFS(D$7:D$22,$C$7:$C$22,$C37)</f>
        <v>89901</v>
      </c>
      <c r="E37" s="11" t="n">
        <f aca="false">SUMIFS(E$7:E$22,$C$7:$C$22,$C37)</f>
        <v>44854</v>
      </c>
      <c r="F37" s="11" t="n">
        <f aca="false">SUMIFS(F$7:F$22,$C$7:$C$22,$C37)</f>
        <v>29868</v>
      </c>
      <c r="G37" s="11" t="n">
        <f aca="false">SUMIFS(G$7:G$22,$C$7:$C$22,$C37)</f>
        <v>89853</v>
      </c>
      <c r="H37" s="11" t="n">
        <f aca="false">SUMIFS(H$7:H$22,$C$7:$C$22,$C37)</f>
        <v>44761</v>
      </c>
      <c r="I37" s="11" t="n">
        <f aca="false">SUMIFS(I$7:I$22,$C$7:$C$22,$C37)</f>
        <v>29775</v>
      </c>
      <c r="J37" s="11" t="n">
        <f aca="false">SUMIFS(J$7:J$22,$C$7:$C$22,$C37)</f>
        <v>89901.28</v>
      </c>
      <c r="K37" s="11" t="n">
        <f aca="false">SUMIFS(K$7:K$22,$C$7:$C$22,$C37)</f>
        <v>44854.51</v>
      </c>
      <c r="L37" s="11" t="n">
        <f aca="false">SUMIFS(L$7:L$22,$C$7:$C$22,$C37)</f>
        <v>29867.57</v>
      </c>
      <c r="M37" s="11" t="n">
        <f aca="false">SUMIFS(M$7:M$22,$C$7:$C$22,$C37)</f>
        <v>69714.57</v>
      </c>
      <c r="N37" s="11" t="n">
        <f aca="false">SUMIFS(N$7:N$22,$C$7:$C$22,$C37)</f>
        <v>43952.63</v>
      </c>
      <c r="O37" s="11" t="n">
        <f aca="false">SUMIFS(O$7:O$22,$C$7:$C$22,$C37)</f>
        <v>29523.37</v>
      </c>
      <c r="P37" s="11" t="n">
        <f aca="false">SUMIFS(P$7:P$22,$C$7:$C$22,$C37)</f>
        <v>58003.56</v>
      </c>
      <c r="Q37" s="11" t="n">
        <f aca="false">SUMIFS(Q$7:Q$22,$C$7:$C$22,$C37)</f>
        <v>40082.96</v>
      </c>
      <c r="R37" s="11" t="n">
        <f aca="false">SUMIFS(R$7:R$22,$C$7:$C$22,$C37)</f>
        <v>27221.84</v>
      </c>
      <c r="S37" s="11" t="n">
        <f aca="false">SUMIFS(S$7:S$22,$C$7:$C$22,$C37)</f>
        <v>50129.01</v>
      </c>
      <c r="T37" s="11" t="n">
        <f aca="false">SUMIFS(T$7:T$22,$C$7:$C$22,$C37)</f>
        <v>35359.64</v>
      </c>
      <c r="U37" s="11" t="n">
        <f aca="false">SUMIFS(U$7:U$22,$C$7:$C$22,$C37)</f>
        <v>25329.78</v>
      </c>
      <c r="V37" s="12" t="n">
        <f aca="false">K37/J37</f>
        <v>0.498930716003154</v>
      </c>
      <c r="W37" s="12" t="n">
        <f aca="false">L37/J37</f>
        <v>0.332226304230596</v>
      </c>
      <c r="X37" s="12" t="n">
        <f aca="false">J37/M37-1</f>
        <v>0.289562282317742</v>
      </c>
      <c r="Y37" s="12" t="n">
        <f aca="false">J37/P37-1</f>
        <v>0.54992693551913</v>
      </c>
      <c r="Z37" s="12" t="n">
        <f aca="false">J37/S37-1</f>
        <v>0.793398273774008</v>
      </c>
      <c r="AA37" s="11" t="n">
        <f aca="false">D37-G37</f>
        <v>48</v>
      </c>
      <c r="AC37" s="12" t="n">
        <f aca="false">J37/$J$27</f>
        <v>0.778712334766352</v>
      </c>
    </row>
    <row r="38" customFormat="false" ht="15" hidden="false" customHeight="false" outlineLevel="0" collapsed="false">
      <c r="A38" s="9" t="n">
        <v>8</v>
      </c>
      <c r="B38" s="9" t="s">
        <v>40</v>
      </c>
      <c r="C38" s="13" t="s">
        <v>56</v>
      </c>
      <c r="D38" s="11" t="n">
        <f aca="false">SUMIFS(D$7:D$22,$C$7:$C$22,$C38)</f>
        <v>28</v>
      </c>
      <c r="E38" s="11" t="n">
        <f aca="false">SUMIFS(E$7:E$22,$C$7:$C$22,$C38)</f>
        <v>24</v>
      </c>
      <c r="F38" s="11" t="n">
        <f aca="false">SUMIFS(F$7:F$22,$C$7:$C$22,$C38)</f>
        <v>9</v>
      </c>
      <c r="G38" s="11" t="n">
        <f aca="false">SUMIFS(G$7:G$22,$C$7:$C$22,$C38)</f>
        <v>29</v>
      </c>
      <c r="H38" s="11" t="n">
        <f aca="false">SUMIFS(H$7:H$22,$C$7:$C$22,$C38)</f>
        <v>25</v>
      </c>
      <c r="I38" s="11" t="n">
        <f aca="false">SUMIFS(I$7:I$22,$C$7:$C$22,$C38)</f>
        <v>9</v>
      </c>
      <c r="J38" s="11" t="n">
        <f aca="false">SUMIFS(J$7:J$22,$C$7:$C$22,$C38)</f>
        <v>27.87</v>
      </c>
      <c r="K38" s="11" t="n">
        <f aca="false">SUMIFS(K$7:K$22,$C$7:$C$22,$C38)</f>
        <v>24.16</v>
      </c>
      <c r="L38" s="11" t="n">
        <f aca="false">SUMIFS(L$7:L$22,$C$7:$C$22,$C38)</f>
        <v>8.73</v>
      </c>
      <c r="M38" s="11" t="n">
        <f aca="false">SUMIFS(M$7:M$22,$C$7:$C$22,$C38)</f>
        <v>31.44</v>
      </c>
      <c r="N38" s="11" t="n">
        <f aca="false">SUMIFS(N$7:N$22,$C$7:$C$22,$C38)</f>
        <v>19.43</v>
      </c>
      <c r="O38" s="11" t="n">
        <f aca="false">SUMIFS(O$7:O$22,$C$7:$C$22,$C38)</f>
        <v>8.39</v>
      </c>
      <c r="P38" s="11" t="n">
        <f aca="false">SUMIFS(P$7:P$22,$C$7:$C$22,$C38)</f>
        <v>29.83</v>
      </c>
      <c r="Q38" s="11" t="n">
        <f aca="false">SUMIFS(Q$7:Q$22,$C$7:$C$22,$C38)</f>
        <v>29.83</v>
      </c>
      <c r="R38" s="11" t="n">
        <f aca="false">SUMIFS(R$7:R$22,$C$7:$C$22,$C38)</f>
        <v>9.08</v>
      </c>
      <c r="S38" s="11" t="n">
        <f aca="false">SUMIFS(S$7:S$22,$C$7:$C$22,$C38)</f>
        <v>14.86</v>
      </c>
      <c r="T38" s="11" t="n">
        <f aca="false">SUMIFS(T$7:T$22,$C$7:$C$22,$C38)</f>
        <v>14.86</v>
      </c>
      <c r="U38" s="11" t="n">
        <f aca="false">SUMIFS(U$7:U$22,$C$7:$C$22,$C38)</f>
        <v>8.82</v>
      </c>
      <c r="V38" s="12" t="n">
        <f aca="false">K38/J38</f>
        <v>0.866881951919627</v>
      </c>
      <c r="W38" s="12" t="n">
        <f aca="false">L38/J38</f>
        <v>0.313240043057051</v>
      </c>
      <c r="X38" s="12" t="n">
        <f aca="false">J38/M38-1</f>
        <v>-0.113549618320611</v>
      </c>
      <c r="Y38" s="12" t="n">
        <f aca="false">J38/P38-1</f>
        <v>-0.0657056654374789</v>
      </c>
      <c r="Z38" s="12" t="n">
        <f aca="false">J38/S38-1</f>
        <v>0.875504710632571</v>
      </c>
      <c r="AA38" s="11" t="n">
        <f aca="false">D38-G38</f>
        <v>-1</v>
      </c>
      <c r="AC38" s="12" t="n">
        <f aca="false">J38/$J$27</f>
        <v>0.000241406048611746</v>
      </c>
    </row>
    <row r="41" customFormat="false" ht="15" hidden="false" customHeight="false" outlineLevel="0" collapsed="false">
      <c r="A41" s="4" t="s">
        <v>87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customFormat="false" ht="23.85" hidden="false" customHeight="false" outlineLevel="0" collapsed="false">
      <c r="A42" s="8" t="s">
        <v>39</v>
      </c>
      <c r="B42" s="8" t="s">
        <v>88</v>
      </c>
      <c r="C42" s="8" t="s">
        <v>89</v>
      </c>
      <c r="D42" s="8" t="s">
        <v>90</v>
      </c>
      <c r="E42" s="8" t="s">
        <v>91</v>
      </c>
    </row>
    <row r="43" customFormat="false" ht="57.45" hidden="false" customHeight="false" outlineLevel="0" collapsed="false">
      <c r="A43" s="9" t="n">
        <v>1</v>
      </c>
      <c r="B43" s="19" t="s">
        <v>292</v>
      </c>
      <c r="C43" s="11" t="n">
        <f aca="false">MAX(ABS(MIN(D26:U26)),MAX(D26:U26))</f>
        <v>2</v>
      </c>
      <c r="D43" s="9" t="s">
        <v>102</v>
      </c>
      <c r="E43" s="20" t="s">
        <v>293</v>
      </c>
    </row>
    <row r="44" customFormat="false" ht="79.85" hidden="false" customHeight="false" outlineLevel="0" collapsed="false">
      <c r="A44" s="9" t="n">
        <v>2</v>
      </c>
      <c r="B44" s="19" t="s">
        <v>294</v>
      </c>
      <c r="C44" s="11" t="n">
        <f aca="false">J25-M25</f>
        <v>20567.85</v>
      </c>
      <c r="D44" s="9" t="s">
        <v>102</v>
      </c>
      <c r="E44" s="20" t="s">
        <v>295</v>
      </c>
    </row>
    <row r="45" customFormat="false" ht="46.25" hidden="false" customHeight="false" outlineLevel="0" collapsed="false">
      <c r="A45" s="9" t="n">
        <v>3</v>
      </c>
      <c r="B45" s="19" t="s">
        <v>296</v>
      </c>
      <c r="C45" s="12" t="n">
        <f aca="false">V25</f>
        <v>0.555256779118403</v>
      </c>
      <c r="D45" s="9" t="s">
        <v>99</v>
      </c>
      <c r="E45" s="20" t="s">
        <v>297</v>
      </c>
    </row>
    <row r="46" customFormat="false" ht="46.25" hidden="false" customHeight="false" outlineLevel="0" collapsed="false">
      <c r="A46" s="9" t="n">
        <v>4</v>
      </c>
      <c r="B46" s="19" t="s">
        <v>298</v>
      </c>
      <c r="C46" s="11" t="n">
        <f aca="false">D25-J25</f>
        <v>0.360000000000582</v>
      </c>
      <c r="D46" s="9" t="s">
        <v>102</v>
      </c>
      <c r="E46" s="20" t="s">
        <v>299</v>
      </c>
    </row>
    <row r="47" customFormat="false" ht="57.45" hidden="false" customHeight="false" outlineLevel="0" collapsed="false">
      <c r="A47" s="9" t="n">
        <v>5</v>
      </c>
      <c r="B47" s="19" t="s">
        <v>300</v>
      </c>
      <c r="C47" s="11" t="n">
        <f aca="false">D25-G25</f>
        <v>85</v>
      </c>
      <c r="D47" s="9" t="s">
        <v>102</v>
      </c>
      <c r="E47" s="20" t="s">
        <v>301</v>
      </c>
    </row>
    <row r="49" customFormat="false" ht="15" hidden="false" customHeight="false" outlineLevel="0" collapsed="false">
      <c r="A49" s="4" t="s">
        <v>302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2" customFormat="false" ht="15" hidden="false" customHeight="false" outlineLevel="0" collapsed="false">
      <c r="A52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145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3" t="s">
        <v>146</v>
      </c>
      <c r="C6" s="23" t="s">
        <v>147</v>
      </c>
      <c r="D6" s="23"/>
      <c r="E6" s="23"/>
      <c r="F6" s="23"/>
    </row>
    <row r="7" customFormat="false" ht="15" hidden="false" customHeight="true" outlineLevel="0" collapsed="false">
      <c r="B7" s="13" t="s">
        <v>304</v>
      </c>
      <c r="C7" s="20" t="s">
        <v>305</v>
      </c>
      <c r="D7" s="20"/>
      <c r="E7" s="20"/>
      <c r="F7" s="20"/>
    </row>
    <row r="8" customFormat="false" ht="15" hidden="false" customHeight="true" outlineLevel="0" collapsed="false">
      <c r="B8" s="13" t="s">
        <v>306</v>
      </c>
      <c r="C8" s="20" t="s">
        <v>307</v>
      </c>
      <c r="D8" s="20"/>
      <c r="E8" s="20"/>
      <c r="F8" s="20"/>
    </row>
    <row r="9" customFormat="false" ht="15" hidden="false" customHeight="true" outlineLevel="0" collapsed="false">
      <c r="B9" s="13" t="s">
        <v>308</v>
      </c>
      <c r="C9" s="20" t="s">
        <v>309</v>
      </c>
      <c r="D9" s="20"/>
      <c r="E9" s="20"/>
      <c r="F9" s="20"/>
    </row>
    <row r="10" customFormat="false" ht="15" hidden="false" customHeight="true" outlineLevel="0" collapsed="false">
      <c r="B10" s="13" t="s">
        <v>310</v>
      </c>
      <c r="C10" s="20" t="s">
        <v>311</v>
      </c>
      <c r="D10" s="20"/>
      <c r="E10" s="20"/>
      <c r="F10" s="20"/>
    </row>
    <row r="11" customFormat="false" ht="15" hidden="false" customHeight="true" outlineLevel="0" collapsed="false">
      <c r="B11" s="13" t="s">
        <v>312</v>
      </c>
      <c r="C11" s="20" t="s">
        <v>313</v>
      </c>
      <c r="D11" s="20"/>
      <c r="E11" s="20"/>
      <c r="F11" s="20"/>
    </row>
    <row r="12" customFormat="false" ht="15" hidden="false" customHeight="true" outlineLevel="0" collapsed="false">
      <c r="B12" s="13" t="s">
        <v>314</v>
      </c>
      <c r="C12" s="20" t="s">
        <v>315</v>
      </c>
      <c r="D12" s="20"/>
      <c r="E12" s="20"/>
      <c r="F12" s="20"/>
    </row>
    <row r="13" customFormat="false" ht="15" hidden="false" customHeight="true" outlineLevel="0" collapsed="false">
      <c r="B13" s="13" t="s">
        <v>316</v>
      </c>
      <c r="C13" s="20" t="s">
        <v>317</v>
      </c>
      <c r="D13" s="20"/>
      <c r="E13" s="20"/>
      <c r="F13" s="20"/>
    </row>
    <row r="14" customFormat="false" ht="15" hidden="false" customHeight="true" outlineLevel="0" collapsed="false">
      <c r="B14" s="13" t="s">
        <v>318</v>
      </c>
      <c r="C14" s="20" t="s">
        <v>319</v>
      </c>
      <c r="D14" s="20"/>
      <c r="E14" s="20"/>
      <c r="F14" s="20"/>
    </row>
    <row r="15" customFormat="false" ht="15" hidden="false" customHeight="false" outlineLevel="0" collapsed="false">
      <c r="B15" s="24" t="s">
        <v>320</v>
      </c>
    </row>
    <row r="17" customFormat="false" ht="15" hidden="false" customHeight="false" outlineLevel="0" collapsed="false">
      <c r="A17" s="4" t="s">
        <v>169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8" t="s">
        <v>39</v>
      </c>
      <c r="B18" s="8" t="s">
        <v>170</v>
      </c>
      <c r="C18" s="8" t="s">
        <v>171</v>
      </c>
      <c r="D18" s="8" t="s">
        <v>172</v>
      </c>
      <c r="E18" s="8" t="s">
        <v>173</v>
      </c>
      <c r="F18" s="8" t="s">
        <v>174</v>
      </c>
    </row>
    <row r="19" customFormat="false" ht="23.85" hidden="false" customHeight="false" outlineLevel="0" collapsed="false">
      <c r="A19" s="9" t="n">
        <v>1</v>
      </c>
      <c r="B19" s="20" t="s">
        <v>175</v>
      </c>
      <c r="C19" s="20" t="s">
        <v>321</v>
      </c>
      <c r="D19" s="20" t="s">
        <v>306</v>
      </c>
      <c r="E19" s="20" t="s">
        <v>322</v>
      </c>
      <c r="F19" s="25" t="str">
        <f aca="false">"INSIGNIA Deposits CM / LM / LY / LYCM "&amp;TEXT(B2_Balance_Movement!J9,"#,##0.00;-#,##0.00;0.00")&amp;" / "&amp;TEXT(B2_Balance_Movement!M9,"#,##0.00;-#,##0.00;0.00")&amp;" / "&amp;TEXT(B2_Balance_Movement!P9,"#,##0.00;-#,##0.00;0.00")&amp;" / "&amp;TEXT(B2_Balance_Movement!S9,"#,##0.00;-#,##0.00;0.00")</f>
        <v>INSIGNIA Deposits CM / LM / LY / LYCM 53,834.13 / 34,820.85 / 24,851.69 / 21,769.31</v>
      </c>
    </row>
    <row r="20" customFormat="false" ht="15" hidden="false" customHeight="false" outlineLevel="0" collapsed="false">
      <c r="A20" s="9" t="n">
        <v>2</v>
      </c>
      <c r="B20" s="20" t="s">
        <v>175</v>
      </c>
      <c r="C20" s="20" t="s">
        <v>323</v>
      </c>
      <c r="D20" s="20" t="s">
        <v>312</v>
      </c>
      <c r="E20" s="20" t="s">
        <v>324</v>
      </c>
      <c r="F20" s="25" t="str">
        <f aca="false">"CD / CM / LM / LY / LYCM "&amp;TEXT(B2_Balance_Movement!D25,"#,##0.00;-#,##0.00;0.00")&amp;" / "&amp;TEXT(B2_Balance_Movement!J25,"#,##0.00;-#,##0.00;0.00")&amp;" / "&amp;TEXT(B2_Balance_Movement!M25,"#,##0.00;-#,##0.00;0.00")&amp;" / "&amp;TEXT(B2_Balance_Movement!P25,"#,##0.00;-#,##0.00;0.00")&amp;" / "&amp;TEXT(B2_Balance_Movement!S25,"#,##0.00;-#,##0.00;0.00")</f>
        <v>CD / CM / LM / LY / LYCM 115,449.00 / 115,448.64 / 94,880.79 / 83,098.91 / 73,396.38</v>
      </c>
    </row>
    <row r="21" customFormat="false" ht="15" hidden="false" customHeight="false" outlineLevel="0" collapsed="false">
      <c r="A21" s="9" t="n">
        <v>3</v>
      </c>
      <c r="B21" s="20" t="s">
        <v>185</v>
      </c>
      <c r="C21" s="20" t="s">
        <v>325</v>
      </c>
      <c r="D21" s="20" t="s">
        <v>326</v>
      </c>
      <c r="E21" s="20" t="s">
        <v>324</v>
      </c>
      <c r="F21" s="25" t="str">
        <f aca="false">"max |gap| "&amp;TEXT(MAX(ABS(MIN(B2_Balance_Movement!D26:U26)),MAX(B2_Balance_Movement!D26:U26)),"#,##0.00;-#,##0.00;0.00")</f>
        <v>max |gap| 2.00</v>
      </c>
    </row>
    <row r="22" customFormat="false" ht="15" hidden="false" customHeight="false" outlineLevel="0" collapsed="false">
      <c r="A22" s="9" t="n">
        <v>4</v>
      </c>
      <c r="B22" s="20" t="s">
        <v>327</v>
      </c>
      <c r="C22" s="20" t="s">
        <v>328</v>
      </c>
      <c r="D22" s="20" t="s">
        <v>329</v>
      </c>
      <c r="E22" s="20" t="s">
        <v>330</v>
      </c>
      <c r="F22" s="25" t="str">
        <f aca="false">"CM "&amp;TEXT(B2_Balance_Movement!J31,"#,##0.00;-#,##0.00;0.00")&amp;" / "&amp;TEXT(B2_Balance_Movement!J32,"#,##0.00;-#,##0.00;0.00")&amp;" / "&amp;TEXT(B2_Balance_Movement!J33,"#,##0.00;-#,##0.00;0.00")&amp;" / "&amp;TEXT(B2_Balance_Movement!J34,"#,##0.00;-#,##0.00;0.00")</f>
        <v>CM 68,769.49 / 11,321.91 / 8,764.28 / 26,592.95</v>
      </c>
    </row>
    <row r="23" customFormat="false" ht="15" hidden="false" customHeight="false" outlineLevel="0" collapsed="false">
      <c r="A23" s="9" t="n">
        <v>5</v>
      </c>
      <c r="B23" s="20" t="s">
        <v>327</v>
      </c>
      <c r="C23" s="20" t="s">
        <v>331</v>
      </c>
      <c r="D23" s="20" t="s">
        <v>332</v>
      </c>
      <c r="E23" s="20" t="s">
        <v>333</v>
      </c>
      <c r="F23" s="25" t="str">
        <f aca="false">"CM "&amp;TEXT(B2_Balance_Movement!J35,"#,##0.00;-#,##0.00;0.00")&amp;" / "&amp;TEXT(B2_Balance_Movement!J36,"#,##0.00;-#,##0.00;0.00")&amp;" / "&amp;TEXT(B2_Balance_Movement!J37,"#,##0.00;-#,##0.00;0.00")&amp;" / "&amp;TEXT(B2_Balance_Movement!J38,"#,##0.00;-#,##0.00;0.00")</f>
        <v>CM 6,038.91 / 19,480.57 / 89,901.28 / 27.87</v>
      </c>
    </row>
    <row r="24" customFormat="false" ht="15" hidden="false" customHeight="false" outlineLevel="0" collapsed="false">
      <c r="A24" s="9" t="n">
        <v>6</v>
      </c>
      <c r="B24" s="20" t="s">
        <v>327</v>
      </c>
      <c r="C24" s="20" t="s">
        <v>334</v>
      </c>
      <c r="D24" s="20" t="s">
        <v>335</v>
      </c>
      <c r="E24" s="20" t="s">
        <v>324</v>
      </c>
      <c r="F24" s="25" t="str">
        <f aca="false">"CM "&amp;TEXT(B2_Balance_Movement!J35+B2_Balance_Movement!J36,"#,##0.00;-#,##0.00;0.00")&amp;"; LY "&amp;TEXT(B2_Balance_Movement!P35+B2_Balance_Movement!P36,"#,##0.00;-#,##0.00;0.00")</f>
        <v>CM 25,519.48; LY 25,065.55</v>
      </c>
    </row>
    <row r="25" customFormat="false" ht="15" hidden="false" customHeight="false" outlineLevel="0" collapsed="false">
      <c r="A25" s="9" t="n">
        <v>7</v>
      </c>
      <c r="B25" s="20" t="s">
        <v>192</v>
      </c>
      <c r="C25" s="20" t="s">
        <v>336</v>
      </c>
      <c r="D25" s="20" t="s">
        <v>337</v>
      </c>
      <c r="E25" s="20" t="s">
        <v>338</v>
      </c>
      <c r="F25" s="25" t="str">
        <f aca="false">TEXT(B2_Balance_Movement!AC31,"0.0%")&amp;" / "&amp;TEXT(B2_Balance_Movement!AC32,"0.0%")&amp;" / "&amp;TEXT(B2_Balance_Movement!AC33,"0.0%")&amp;" / "&amp;TEXT(B2_Balance_Movement!AC34,"0.0%")</f>
        <v>59.6% / 9.8% / 7.6% / 23.0%</v>
      </c>
    </row>
    <row r="26" customFormat="false" ht="15" hidden="false" customHeight="false" outlineLevel="0" collapsed="false">
      <c r="A26" s="9" t="n">
        <v>8</v>
      </c>
      <c r="B26" s="20" t="s">
        <v>192</v>
      </c>
      <c r="C26" s="20" t="s">
        <v>52</v>
      </c>
      <c r="D26" s="20" t="s">
        <v>339</v>
      </c>
      <c r="E26" s="20" t="s">
        <v>340</v>
      </c>
      <c r="F26" s="25" t="str">
        <f aca="false">TEXT(B2_Balance_Movement!AC35,"0.0%")&amp;" / "&amp;TEXT(B2_Balance_Movement!AC36,"0.0%")&amp;" / "&amp;TEXT(B2_Balance_Movement!AC37,"0.0%")&amp;" / "&amp;TEXT(B2_Balance_Movement!AC38,"0.0%")</f>
        <v>5.2% / 16.9% / 77.9% / 0.0%</v>
      </c>
    </row>
    <row r="27" customFormat="false" ht="15" hidden="false" customHeight="false" outlineLevel="0" collapsed="false">
      <c r="A27" s="9" t="n">
        <v>9</v>
      </c>
      <c r="B27" s="20" t="s">
        <v>192</v>
      </c>
      <c r="C27" s="20" t="s">
        <v>341</v>
      </c>
      <c r="D27" s="20" t="s">
        <v>342</v>
      </c>
      <c r="E27" s="20" t="s">
        <v>343</v>
      </c>
      <c r="F27" s="25" t="str">
        <f aca="false">"CM "&amp;TEXT((B2_Balance_Movement!J35+B2_Balance_Movement!J36)/B2_Balance_Movement!J25,"0.0%")&amp;"; LM "&amp;TEXT((B2_Balance_Movement!M35+B2_Balance_Movement!M36)/B2_Balance_Movement!M25,"0.0%")&amp;"; LY "&amp;TEXT((B2_Balance_Movement!P35+B2_Balance_Movement!P36)/B2_Balance_Movement!P25,"0.0%")</f>
        <v>CM 22.1%; LM 26.5%; LY 30.2%</v>
      </c>
    </row>
    <row r="28" customFormat="false" ht="15" hidden="false" customHeight="false" outlineLevel="0" collapsed="false">
      <c r="A28" s="9" t="n">
        <v>10</v>
      </c>
      <c r="B28" s="20" t="s">
        <v>192</v>
      </c>
      <c r="C28" s="20" t="s">
        <v>344</v>
      </c>
      <c r="D28" s="20" t="s">
        <v>345</v>
      </c>
      <c r="E28" s="20" t="s">
        <v>346</v>
      </c>
      <c r="F28" s="25" t="str">
        <f aca="false">"GT "&amp;TEXT(B2_Balance_Movement!V25,"0.0%")&amp;"; INSIGNIA "&amp;TEXT(B2_Balance_Movement!V31,"0.0%")&amp;"; MASS "&amp;TEXT(B2_Balance_Movement!V34,"0.0%")</f>
        <v>GT 55.5%; INSIGNIA 51.4%; MASS 44.5%</v>
      </c>
    </row>
    <row r="29" customFormat="false" ht="15" hidden="false" customHeight="false" outlineLevel="0" collapsed="false">
      <c r="A29" s="9" t="n">
        <v>11</v>
      </c>
      <c r="B29" s="20" t="s">
        <v>192</v>
      </c>
      <c r="C29" s="20" t="s">
        <v>347</v>
      </c>
      <c r="D29" s="20" t="s">
        <v>348</v>
      </c>
      <c r="E29" s="20" t="s">
        <v>346</v>
      </c>
      <c r="F29" s="25" t="str">
        <f aca="false">"GT "&amp;TEXT(B2_Balance_Movement!W25,"0.0%")&amp;"; SA "&amp;TEXT(B2_Balance_Movement!W36,"0.0%")&amp;"; Deposits "&amp;TEXT(B2_Balance_Movement!W37,"0.0%")</f>
        <v>GT 38.5%; SA 73.4%; Deposits 33.2%</v>
      </c>
    </row>
    <row r="30" customFormat="false" ht="15" hidden="false" customHeight="false" outlineLevel="0" collapsed="false">
      <c r="A30" s="9" t="n">
        <v>12</v>
      </c>
      <c r="B30" s="20" t="s">
        <v>207</v>
      </c>
      <c r="C30" s="20" t="s">
        <v>214</v>
      </c>
      <c r="D30" s="20" t="s">
        <v>349</v>
      </c>
      <c r="E30" s="20" t="s">
        <v>346</v>
      </c>
      <c r="F30" s="25" t="str">
        <f aca="false">"GT "&amp;TEXT(B2_Balance_Movement!X25,"+0.0%;-0.0%;0.0%")&amp;"; segments "&amp;TEXT(B2_Balance_Movement!X31,"+0.0%;-0.0%;0.0%")&amp;" / "&amp;TEXT(B2_Balance_Movement!X32,"+0.0%;-0.0%;0.0%")&amp;" / "&amp;TEXT(B2_Balance_Movement!X33,"+0.0%;-0.0%;0.0%")&amp;" / "&amp;TEXT(B2_Balance_Movement!X34,"+0.0%;-0.0%;0.0%")</f>
        <v>GT +21.7%; segments +38.9% / +7.3% / +7.6% / -0.3%</v>
      </c>
    </row>
    <row r="31" customFormat="false" ht="15" hidden="false" customHeight="false" outlineLevel="0" collapsed="false">
      <c r="A31" s="9" t="n">
        <v>13</v>
      </c>
      <c r="B31" s="20" t="s">
        <v>207</v>
      </c>
      <c r="C31" s="20" t="s">
        <v>350</v>
      </c>
      <c r="D31" s="20" t="s">
        <v>351</v>
      </c>
      <c r="E31" s="20" t="s">
        <v>346</v>
      </c>
      <c r="F31" s="25" t="str">
        <f aca="false">"GT "&amp;TEXT(B2_Balance_Movement!Y25,"+0.0%;-0.0%;0.0%")&amp;"; segments "&amp;TEXT(B2_Balance_Movement!Y31,"+0.0%;-0.0%;0.0%")&amp;" / "&amp;TEXT(B2_Balance_Movement!Y32,"+0.0%;-0.0%;0.0%")&amp;" / "&amp;TEXT(B2_Balance_Movement!Y33,"+0.0%;-0.0%;0.0%")&amp;" / "&amp;TEXT(B2_Balance_Movement!Y34,"+0.0%;-0.0%;0.0%")</f>
        <v>GT +38.9%; segments +74.6% / +20.2% / +17.2% / -0.8%</v>
      </c>
    </row>
    <row r="32" customFormat="false" ht="15" hidden="false" customHeight="false" outlineLevel="0" collapsed="false">
      <c r="A32" s="9" t="n">
        <v>14</v>
      </c>
      <c r="B32" s="20" t="s">
        <v>207</v>
      </c>
      <c r="C32" s="20" t="s">
        <v>352</v>
      </c>
      <c r="D32" s="20" t="s">
        <v>353</v>
      </c>
      <c r="E32" s="20" t="s">
        <v>346</v>
      </c>
      <c r="F32" s="25" t="str">
        <f aca="false">"GT "&amp;TEXT(B2_Balance_Movement!Z25,"+0.0%;-0.0%;0.0%")&amp;"; products "&amp;TEXT(B2_Balance_Movement!Z35,"+0.0%;-0.0%;0.0%")&amp;" / "&amp;TEXT(B2_Balance_Movement!Z36,"+0.0%;-0.0%;0.0%")&amp;" / "&amp;TEXT(B2_Balance_Movement!Z37,"+0.0%;-0.0%;0.0%")&amp;" / "&amp;TEXT(B2_Balance_Movement!Z38,"+0.0%;-0.0%;0.0%")</f>
        <v>GT +57.3%; products +11.1% / +9.3% / +79.3% / +87.6%</v>
      </c>
    </row>
    <row r="33" customFormat="false" ht="15" hidden="false" customHeight="false" outlineLevel="0" collapsed="false">
      <c r="A33" s="9" t="n">
        <v>15</v>
      </c>
      <c r="B33" s="20" t="s">
        <v>207</v>
      </c>
      <c r="C33" s="20" t="s">
        <v>354</v>
      </c>
      <c r="D33" s="20" t="s">
        <v>355</v>
      </c>
      <c r="E33" s="20" t="s">
        <v>340</v>
      </c>
      <c r="F33" s="25" t="str">
        <f aca="false">TEXT(B2_Balance_Movement!Y35,"+0.0%;-0.0%;0.0%")&amp;" / "&amp;TEXT(B2_Balance_Movement!Y36,"+0.0%;-0.0%;0.0%")&amp;" / "&amp;TEXT(B2_Balance_Movement!Y37,"+0.0%;-0.0%;0.0%")&amp;" / "&amp;TEXT(B2_Balance_Movement!Y38,"+0.0%;-0.0%;0.0%")&amp;" (CA / SA / Dep / ODFD)"</f>
        <v>-3.5% / +3.6% / +55.0% / -6.6% (CA / SA / Dep / ODFD)</v>
      </c>
    </row>
    <row r="34" customFormat="false" ht="15" hidden="false" customHeight="false" outlineLevel="0" collapsed="false">
      <c r="A34" s="9" t="n">
        <v>16</v>
      </c>
      <c r="B34" s="20" t="s">
        <v>207</v>
      </c>
      <c r="C34" s="20" t="s">
        <v>356</v>
      </c>
      <c r="D34" s="20" t="s">
        <v>357</v>
      </c>
      <c r="E34" s="20" t="s">
        <v>358</v>
      </c>
      <c r="F34" s="25" t="str">
        <f aca="false">"&lt; 3 Cr "&amp;TEXT(B2_Balance_Movement!K25/B2_Balance_Movement!Q25-1,"+0.0%;-0.0%;0.0%")&amp;"; &lt; 3 Ind Cr "&amp;TEXT(B2_Balance_Movement!L25/B2_Balance_Movement!R25-1,"+0.0%;-0.0%;0.0%")&amp;"; ≥ 3 Cr book "&amp;TEXT((B2_Balance_Movement!J25-B2_Balance_Movement!K25)/(B2_Balance_Movement!P25-B2_Balance_Movement!Q25)-1,"+0.0%;-0.0%;0.0%")</f>
        <v>&lt; 3 Cr +8.5%; &lt; 3 Ind Cr +7.0%; ≥ 3 Cr book +113.6%</v>
      </c>
    </row>
    <row r="35" customFormat="false" ht="15" hidden="false" customHeight="false" outlineLevel="0" collapsed="false">
      <c r="A35" s="9" t="n">
        <v>17</v>
      </c>
      <c r="B35" s="20" t="s">
        <v>227</v>
      </c>
      <c r="C35" s="20" t="s">
        <v>359</v>
      </c>
      <c r="D35" s="20" t="s">
        <v>360</v>
      </c>
      <c r="E35" s="20" t="s">
        <v>361</v>
      </c>
      <c r="F35" s="25" t="str">
        <f aca="false">"INSIGNIA Dep "&amp;TEXT((B2_Balance_Movement!J9-B2_Balance_Movement!P9)/(B2_Balance_Movement!J25-B2_Balance_Movement!P25),"0.0%")&amp;"; MASS Dep "&amp;TEXT((B2_Balance_Movement!J21-B2_Balance_Movement!P21)/(B2_Balance_Movement!J25-B2_Balance_Movement!P25),"0.0%")</f>
        <v>INSIGNIA Dep 89.6%; MASS Dep 0.1%</v>
      </c>
    </row>
    <row r="36" customFormat="false" ht="15" hidden="false" customHeight="false" outlineLevel="0" collapsed="false">
      <c r="A36" s="9" t="n">
        <v>18</v>
      </c>
      <c r="B36" s="20" t="s">
        <v>227</v>
      </c>
      <c r="C36" s="20" t="s">
        <v>362</v>
      </c>
      <c r="D36" s="20" t="s">
        <v>363</v>
      </c>
      <c r="E36" s="20" t="s">
        <v>361</v>
      </c>
      <c r="F36" s="25" t="str">
        <f aca="false">"INSIGNIA Dep "&amp;TEXT((B2_Balance_Movement!J9-B2_Balance_Movement!M9)/(B2_Balance_Movement!J25-B2_Balance_Movement!M25),"0.0%")</f>
        <v>INSIGNIA Dep 92.4%</v>
      </c>
    </row>
    <row r="37" customFormat="false" ht="15" hidden="false" customHeight="false" outlineLevel="0" collapsed="false">
      <c r="A37" s="9" t="n">
        <v>19</v>
      </c>
      <c r="B37" s="20" t="s">
        <v>364</v>
      </c>
      <c r="C37" s="20" t="s">
        <v>291</v>
      </c>
      <c r="D37" s="20" t="s">
        <v>365</v>
      </c>
      <c r="E37" s="20" t="s">
        <v>366</v>
      </c>
      <c r="F37" s="25" t="str">
        <f aca="false">"GT "&amp;TEXT(B2_Balance_Movement!AA25,"#,##0.00;-#,##0.00;0.00")&amp;"; INSIGNIA Dep "&amp;TEXT(B2_Balance_Movement!AA9,"#,##0.00;-#,##0.00;0.00")&amp;"; MASS Dep "&amp;TEXT(B2_Balance_Movement!AA21,"#,##0.00;-#,##0.00;0.00")</f>
        <v>GT 85.00; INSIGNIA Dep 55.00; MASS Dep -19.00</v>
      </c>
    </row>
    <row r="38" customFormat="false" ht="15" hidden="false" customHeight="false" outlineLevel="0" collapsed="false">
      <c r="A38" s="9" t="n">
        <v>20</v>
      </c>
      <c r="B38" s="20" t="s">
        <v>364</v>
      </c>
      <c r="C38" s="20" t="s">
        <v>367</v>
      </c>
      <c r="D38" s="20" t="s">
        <v>368</v>
      </c>
      <c r="E38" s="20" t="s">
        <v>369</v>
      </c>
      <c r="F38" s="25" t="str">
        <f aca="false">TEXT(B2_Balance_Movement!D25-B2_Balance_Movement!J25,"#,##0.00;-#,##0.00;0.00")&amp;" (rounding; CD = CM to date)"</f>
        <v>0.36 (rounding; CD = CM to date)</v>
      </c>
    </row>
    <row r="39" customFormat="false" ht="15" hidden="false" customHeight="false" outlineLevel="0" collapsed="false">
      <c r="A39" s="9" t="n">
        <v>21</v>
      </c>
      <c r="B39" s="20" t="s">
        <v>370</v>
      </c>
      <c r="C39" s="20" t="s">
        <v>371</v>
      </c>
      <c r="D39" s="20" t="s">
        <v>372</v>
      </c>
      <c r="E39" s="20" t="s">
        <v>361</v>
      </c>
      <c r="F39" s="25" t="str">
        <f aca="false">"INSIGNIA Dep "&amp;TEXT(B2_Balance_Movement!AB9,"0.00""x""")&amp;"; MASS Dep "&amp;TEXT(B2_Balance_Movement!AB21,"0.00""x""")&amp;"; INSIGNIA CA "&amp;TEXT(B2_Balance_Movement!AB7,"0.00""x""")</f>
        <v>INSIGNIA Dep 1.02x; MASS Dep 1.06x; INSIGNIA CA 0.94x</v>
      </c>
    </row>
    <row r="40" customFormat="false" ht="15" hidden="false" customHeight="false" outlineLevel="0" collapsed="false">
      <c r="A40" s="9" t="n">
        <v>22</v>
      </c>
      <c r="B40" s="20" t="s">
        <v>370</v>
      </c>
      <c r="C40" s="20" t="s">
        <v>373</v>
      </c>
      <c r="D40" s="20" t="s">
        <v>374</v>
      </c>
      <c r="E40" s="20" t="s">
        <v>255</v>
      </c>
      <c r="F40" s="25" t="str">
        <f aca="false">TEXT(B2_Balance_Movement!J25-B1_MEB_Periods!G11,"#,##0.00;-#,##0.00;0.00")</f>
        <v>2,338.83</v>
      </c>
    </row>
    <row r="41" customFormat="false" ht="23.85" hidden="false" customHeight="false" outlineLevel="0" collapsed="false">
      <c r="A41" s="9" t="n">
        <v>23</v>
      </c>
      <c r="B41" s="20" t="s">
        <v>375</v>
      </c>
      <c r="C41" s="20" t="s">
        <v>376</v>
      </c>
      <c r="D41" s="20" t="s">
        <v>377</v>
      </c>
      <c r="E41" s="20" t="s">
        <v>369</v>
      </c>
      <c r="F41" s="25" t="str">
        <f aca="false">"CM − LM "&amp;TEXT(B2_Balance_Movement!J25-B2_Balance_Movement!M25,"#,##0.00;-#,##0.00;0.00")&amp;"; CM − LY "&amp;TEXT(B2_Balance_Movement!J25-B2_Balance_Movement!P25,"#,##0.00;-#,##0.00;0.00")</f>
        <v>CM − LM 20,567.85; CM − LY 32,349.73</v>
      </c>
    </row>
    <row r="42" customFormat="false" ht="15" hidden="false" customHeight="false" outlineLevel="0" collapsed="false">
      <c r="A42" s="9" t="n">
        <v>24</v>
      </c>
      <c r="B42" s="20" t="s">
        <v>246</v>
      </c>
      <c r="C42" s="20" t="s">
        <v>378</v>
      </c>
      <c r="D42" s="20" t="s">
        <v>379</v>
      </c>
      <c r="E42" s="20" t="s">
        <v>255</v>
      </c>
      <c r="F42" s="20" t="s">
        <v>380</v>
      </c>
    </row>
    <row r="43" customFormat="false" ht="15" hidden="false" customHeight="false" outlineLevel="0" collapsed="false">
      <c r="A43" s="9" t="n">
        <v>25</v>
      </c>
      <c r="B43" s="20" t="s">
        <v>246</v>
      </c>
      <c r="C43" s="20" t="s">
        <v>381</v>
      </c>
      <c r="D43" s="20" t="s">
        <v>382</v>
      </c>
      <c r="E43" s="20" t="s">
        <v>255</v>
      </c>
      <c r="F43" s="25" t="str">
        <f aca="false">"LY "&amp;TEXT(B2_Balance_Movement!P25,"#,##0.00;-#,##0.00;0.00")&amp;" vs LYCM "&amp;TEXT(B2_Balance_Movement!S25,"#,##0.00;-#,##0.00;0.00")&amp;" — definition to confirm"</f>
        <v>LY 83,098.91 vs LYCM 73,396.38 — definition to confirm</v>
      </c>
    </row>
    <row r="45" customFormat="false" ht="15" hidden="false" customHeight="false" outlineLevel="0" collapsed="false">
      <c r="A45" s="3" t="s">
        <v>2</v>
      </c>
    </row>
  </sheetData>
  <mergeCells count="9">
    <mergeCell ref="C6:F6"/>
    <mergeCell ref="C7:F7"/>
    <mergeCell ref="C8:F8"/>
    <mergeCell ref="C9:F9"/>
    <mergeCell ref="C10:F10"/>
    <mergeCell ref="C11:F11"/>
    <mergeCell ref="C12:F12"/>
    <mergeCell ref="C13:F13"/>
    <mergeCell ref="C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2026-10-09T21:17:21Z</dcterms:created>
  <dc:creator>openpyxl</dc:creator>
  <dc:description/>
  <dc:language>en-US</dc:language>
  <cp:lastModifiedBy/>
  <dcterms:modified xsi:type="dcterms:W3CDTF">2026-10-09T21:17:21Z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