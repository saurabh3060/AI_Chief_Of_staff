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B1_Originations" sheetId="2" state="visible" r:id="rId4"/>
    <sheet name="B1_Metric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<sst xmlns="http://schemas.openxmlformats.org/spreadsheetml/2006/main" count="647" uniqueCount="306">
  <si>
    <t xml:space="preserve">RBL Bank — New Originations, Month-wise (SA customers): page-wise metric extraction</t>
  </si>
  <si>
    <t xml:space="preserve">Source: 04_New_Originations_Month_Wise.pdf (1 page, 2 tables: # customers × ATS and # customers × Sanction) | Mar-25 to Mar-26</t>
  </si>
  <si>
    <t xml:space="preserve">⚠ DRAFT ONLY — Requires review and approval by a qualified Alvarez and Marsal professional before use.</t>
  </si>
  <si>
    <t xml:space="preserve">Sheet map</t>
  </si>
  <si>
    <t xml:space="preserve">B1_Originations</t>
  </si>
  <si>
    <t xml:space="preserve">Product × footprint × month: # customers, ATS (₹ lakh), Sanction (₹ Cr), with implied-sanction check, roll-ups by product / footprint / month and growth</t>
  </si>
  <si>
    <t xml:space="preserve">B1_Metrics</t>
  </si>
  <si>
    <t xml:space="preserve">Notation + exhaustive metrics</t>
  </si>
  <si>
    <t xml:space="preserve">Colour legend</t>
  </si>
  <si>
    <t xml:space="preserve">Blue text</t>
  </si>
  <si>
    <t xml:space="preserve">Hard-coded input transcribed from the PDF</t>
  </si>
  <si>
    <t xml:space="preserve">Blue italic on grey</t>
  </si>
  <si>
    <t xml:space="preserve">Budget / projected value (ᴾ) transcribed from the PDF</t>
  </si>
  <si>
    <t xml:space="preserve">Black text</t>
  </si>
  <si>
    <t xml:space="preserve">Formula on the same sheet</t>
  </si>
  <si>
    <t xml:space="preserve">Green text</t>
  </si>
  <si>
    <t xml:space="preserve">Link to another sheet</t>
  </si>
  <si>
    <t xml:space="preserve">Yellow fill</t>
  </si>
  <si>
    <t xml:space="preserve">Data flag to review</t>
  </si>
  <si>
    <t xml:space="preserve">Key assumptions (confirm with client)</t>
  </si>
  <si>
    <t xml:space="preserve">1</t>
  </si>
  <si>
    <t xml:space="preserve">Months are re-ordered chronologically (Mar-25 → Mar-26). Mar-26 is a partial month (customer counts ~5% of a normal month) and is excluded from run-rates unless stated.</t>
  </si>
  <si>
    <t xml:space="preserve">2</t>
  </si>
  <si>
    <t xml:space="preserve">The second table's month headers are mis-labelled on the page (Mar-25, Feb-25, Jan-25, Dec-24 …); customer counts are identical to the first table, so the Sanction columns are mapped to the first table's months.</t>
  </si>
  <si>
    <t xml:space="preserve">3</t>
  </si>
  <si>
    <t xml:space="preserve">Sanction ≈ # × ATS ÷ 100 (ATS in ₹ lakh → ₹ Cr); implied sanction is checked against printed sanction (rounding to whole ₹ Cr).</t>
  </si>
  <si>
    <t xml:space="preserve">4</t>
  </si>
  <si>
    <t xml:space="preserve">'Customer Footprint # Customers' is taken as the 13-month distinct customer count for the row.</t>
  </si>
  <si>
    <t xml:space="preserve">5</t>
  </si>
  <si>
    <t xml:space="preserve">'SA' customer type filter — origination counts are SA (savings-account) customers taking the product; OFFUS / ONUS denote the credit-footprint flag.</t>
  </si>
  <si>
    <t xml:space="preserve">Confidentiality</t>
  </si>
  <si>
    <t xml:space="preserve">Client-confidential RBL Bank data.</t>
  </si>
  <si>
    <t xml:space="preserve">Block 1 — New originations by product × footprint × month</t>
  </si>
  <si>
    <t xml:space="preserve">Source: New Originations – Month Wise.pdf | # distinct customers, ATS ₹ lakh, Sanction ₹ Cr | Mar-25 … Mar-26 (Mar-26 partial)</t>
  </si>
  <si>
    <t xml:space="preserve">A. # Distinct customers originated per month (blue) — row totals and growth computed</t>
  </si>
  <si>
    <t xml:space="preserve">#</t>
  </si>
  <si>
    <t xml:space="preserve">Product</t>
  </si>
  <si>
    <t xml:space="preserve">Footprint</t>
  </si>
  <si>
    <t xml:space="preserve">13M distinct customers</t>
  </si>
  <si>
    <t xml:space="preserve">Mar-25</t>
  </si>
  <si>
    <t xml:space="preserve">Apr-25</t>
  </si>
  <si>
    <t xml:space="preserve">May-25</t>
  </si>
  <si>
    <t xml:space="preserve">Jun-25</t>
  </si>
  <si>
    <t xml:space="preserve">Jul-25</t>
  </si>
  <si>
    <t xml:space="preserve">Aug-25</t>
  </si>
  <si>
    <t xml:space="preserve">Sep-25</t>
  </si>
  <si>
    <t xml:space="preserve">Oct-25</t>
  </si>
  <si>
    <t xml:space="preserve">Nov-25</t>
  </si>
  <si>
    <t xml:space="preserve">Dec-25</t>
  </si>
  <si>
    <t xml:space="preserve">Jan-26</t>
  </si>
  <si>
    <t xml:space="preserve">Feb-26</t>
  </si>
  <si>
    <t xml:space="preserve">Mar-26</t>
  </si>
  <si>
    <t xml:space="preserve">Σ Apr-25…Feb-26 (11 full months)</t>
  </si>
  <si>
    <t xml:space="preserve">Avg / month (11M)</t>
  </si>
  <si>
    <t xml:space="preserve">Feb-26 vs Apr-25</t>
  </si>
  <si>
    <t xml:space="preserve">Feb-26 vs Mar-25</t>
  </si>
  <si>
    <t xml:space="preserve">Housing Loan</t>
  </si>
  <si>
    <t xml:space="preserve">OFFUS</t>
  </si>
  <si>
    <t xml:space="preserve">ONUS</t>
  </si>
  <si>
    <t xml:space="preserve">Property Loan</t>
  </si>
  <si>
    <t xml:space="preserve">Gold Loan</t>
  </si>
  <si>
    <t xml:space="preserve">Two Wheeler Loan</t>
  </si>
  <si>
    <t xml:space="preserve">Auto Loan</t>
  </si>
  <si>
    <t xml:space="preserve">Rural Vehicle Finance</t>
  </si>
  <si>
    <t xml:space="preserve">Education Loan</t>
  </si>
  <si>
    <t xml:space="preserve">Business Loan</t>
  </si>
  <si>
    <t xml:space="preserve">Personal Loan</t>
  </si>
  <si>
    <t xml:space="preserve">Credit Card</t>
  </si>
  <si>
    <t xml:space="preserve">Agri</t>
  </si>
  <si>
    <t xml:space="preserve">Consumer Loan</t>
  </si>
  <si>
    <t xml:space="preserve">LAS</t>
  </si>
  <si>
    <t xml:space="preserve">Overdraft</t>
  </si>
  <si>
    <t xml:space="preserve">Used Car Loan</t>
  </si>
  <si>
    <t xml:space="preserve">B. ATS (₹ lakh) per month (blue) — 11M weighted average and growth computed</t>
  </si>
  <si>
    <t xml:space="preserve">11M Σ or wtd avg</t>
  </si>
  <si>
    <t xml:space="preserve">Implied check</t>
  </si>
  <si>
    <t xml:space="preserve">C. Sanction (₹ Cr) per month (blue) — totals, growth and implied-sanction check (|Σ #×ATS÷100 − Σ printed|)</t>
  </si>
  <si>
    <t xml:space="preserve">D. Roll-ups by month (SUMIFS) — counts, sanction, implied ATS, footprint mix</t>
  </si>
  <si>
    <t xml:space="preserve">Level</t>
  </si>
  <si>
    <t xml:space="preserve">Item</t>
  </si>
  <si>
    <t xml:space="preserve">Σ 11 full months</t>
  </si>
  <si>
    <t xml:space="preserve">Avg / month</t>
  </si>
  <si>
    <t xml:space="preserve">Bank</t>
  </si>
  <si>
    <t xml:space="preserve">All products — # customers</t>
  </si>
  <si>
    <t xml:space="preserve">All products — Sanction ₹ Cr</t>
  </si>
  <si>
    <t xml:space="preserve">Implied ATS ₹ lakh = Sanction × 100 ÷ #</t>
  </si>
  <si>
    <t xml:space="preserve">OFFUS — # customers</t>
  </si>
  <si>
    <t xml:space="preserve">OFFUS — Sanction ₹ Cr</t>
  </si>
  <si>
    <t xml:space="preserve">ONUS — # customers</t>
  </si>
  <si>
    <t xml:space="preserve">ONUS — Sanction ₹ Cr</t>
  </si>
  <si>
    <t xml:space="preserve">ONUS share of # customers</t>
  </si>
  <si>
    <t xml:space="preserve">ONUS share of Sanction</t>
  </si>
  <si>
    <t xml:space="preserve">Housing Loan — # customers</t>
  </si>
  <si>
    <t xml:space="preserve">Housing Loan — Sanction ₹ Cr</t>
  </si>
  <si>
    <t xml:space="preserve">Property Loan — # customers</t>
  </si>
  <si>
    <t xml:space="preserve">Property Loan — Sanction ₹ Cr</t>
  </si>
  <si>
    <t xml:space="preserve">Gold Loan — # customers</t>
  </si>
  <si>
    <t xml:space="preserve">Gold Loan — Sanction ₹ Cr</t>
  </si>
  <si>
    <t xml:space="preserve">Two Wheeler Loan — # customers</t>
  </si>
  <si>
    <t xml:space="preserve">Two Wheeler Loan — Sanction ₹ Cr</t>
  </si>
  <si>
    <t xml:space="preserve">Auto Loan — # customers</t>
  </si>
  <si>
    <t xml:space="preserve">Auto Loan — Sanction ₹ Cr</t>
  </si>
  <si>
    <t xml:space="preserve">Rural Vehicle Finance — # customers</t>
  </si>
  <si>
    <t xml:space="preserve">Rural Vehicle Finance — Sanction ₹ Cr</t>
  </si>
  <si>
    <t xml:space="preserve">Education Loan — # customers</t>
  </si>
  <si>
    <t xml:space="preserve">Education Loan — Sanction ₹ Cr</t>
  </si>
  <si>
    <t xml:space="preserve">Business Loan — # customers</t>
  </si>
  <si>
    <t xml:space="preserve">Business Loan — Sanction ₹ Cr</t>
  </si>
  <si>
    <t xml:space="preserve">Personal Loan — # customers</t>
  </si>
  <si>
    <t xml:space="preserve">Personal Loan — Sanction ₹ Cr</t>
  </si>
  <si>
    <t xml:space="preserve">Credit Card — # customers</t>
  </si>
  <si>
    <t xml:space="preserve">Credit Card — Sanction ₹ Cr</t>
  </si>
  <si>
    <t xml:space="preserve">Agri — # customers</t>
  </si>
  <si>
    <t xml:space="preserve">Agri — Sanction ₹ Cr</t>
  </si>
  <si>
    <t xml:space="preserve">Consumer Loan — # customers</t>
  </si>
  <si>
    <t xml:space="preserve">Consumer Loan — Sanction ₹ Cr</t>
  </si>
  <si>
    <t xml:space="preserve">LAS — # customers</t>
  </si>
  <si>
    <t xml:space="preserve">LAS — Sanction ₹ Cr</t>
  </si>
  <si>
    <t xml:space="preserve">Overdraft — # customers</t>
  </si>
  <si>
    <t xml:space="preserve">Overdraft — Sanction ₹ Cr</t>
  </si>
  <si>
    <t xml:space="preserve">Used Car Loan — # customers</t>
  </si>
  <si>
    <t xml:space="preserve">Used Car Loan — Sanction ₹ Cr</t>
  </si>
  <si>
    <t xml:space="preserve">E. Product mix over 11 full months (Apr-25 … Feb-26)</t>
  </si>
  <si>
    <t xml:space="preserve"># customers (11M)</t>
  </si>
  <si>
    <t xml:space="preserve">Share of #</t>
  </si>
  <si>
    <t xml:space="preserve">Sanction ₹ Cr (11M)</t>
  </si>
  <si>
    <t xml:space="preserve">Share of ₹</t>
  </si>
  <si>
    <t xml:space="preserve">Implied ATS ₹ lakh</t>
  </si>
  <si>
    <t xml:space="preserve">Count growth Feb-26 vs Apr-25</t>
  </si>
  <si>
    <t xml:space="preserve">Sanction growth Feb-26 vs Apr-25</t>
  </si>
  <si>
    <t xml:space="preserve">Contribution to Δ# (Feb-26 vs Apr-25)</t>
  </si>
  <si>
    <t xml:space="preserve">Total</t>
  </si>
  <si>
    <t xml:space="preserve">Data points to flag before metrics (live checks)</t>
  </si>
  <si>
    <t xml:space="preserve">Flag</t>
  </si>
  <si>
    <t xml:space="preserve">Check value (live)</t>
  </si>
  <si>
    <t xml:space="preserve">Unit</t>
  </si>
  <si>
    <t xml:space="preserve">Implication / action</t>
  </si>
  <si>
    <t xml:space="preserve">Mar-26 is a partial month: bank-level customer count is a small fraction of Feb-26.</t>
  </si>
  <si>
    <t xml:space="preserve">%</t>
  </si>
  <si>
    <t xml:space="preserve">Exclude Mar-26 from run-rates; 11 full months Apr-25…Feb-26 used.</t>
  </si>
  <si>
    <t xml:space="preserve">Second table's month headers are mislabelled (Mar-25 / Feb-25 / Jan-25 / Dec-24 …) while counts match table 1 exactly; sanction mapped to table-1 months.</t>
  </si>
  <si>
    <t xml:space="preserve">text</t>
  </si>
  <si>
    <t xml:space="preserve">Cosmetic; confirm with MIS owner.</t>
  </si>
  <si>
    <t xml:space="preserve">Implied sanction (Σ # × ATS ÷ 100) vs printed sanction — max row gap over 13 months:</t>
  </si>
  <si>
    <t xml:space="preserve">₹ Cr</t>
  </si>
  <si>
    <t xml:space="preserve">Within whole-₹ Cr rounding → Sanction = # × ATS.</t>
  </si>
  <si>
    <t xml:space="preserve">Gold Loan customers grew ~6.2x (Apr-25 → Feb-26, OFFUS + ONUS) and Personal Loan ~2.6x; these two drive most of the count growth. Gold growth:</t>
  </si>
  <si>
    <t xml:space="preserve">Volume growth is concentrated in small-ticket secured (gold) and unsecured (PL) lending.</t>
  </si>
  <si>
    <t xml:space="preserve">Credit Card ATS collapsed from ₹0.73 lakh to ₹0.28 lakh while counts stayed flat — sanctioned limits per new card fell ~60%.</t>
  </si>
  <si>
    <t xml:space="preserve">Check whether product mix shifted to low-limit cards.</t>
  </si>
  <si>
    <t xml:space="preserve">ONUS business-loan ATS is ~9x OFFUS ATS on an 11-month weighted basis (₹120 lakh vs ₹13 lakh) — ONUS rows are few, large-ticket customers.</t>
  </si>
  <si>
    <t xml:space="preserve">x</t>
  </si>
  <si>
    <t xml:space="preserve">Treat ONUS as a different product economically.</t>
  </si>
  <si>
    <t xml:space="preserve">Notation and exhaustive metrics table for this block: see sheet B1_Metrics</t>
  </si>
  <si>
    <t xml:space="preserve">10-question test set (3 Low / 4 Medium / 3 High) — expected answers are live formulas</t>
  </si>
  <si>
    <t xml:space="preserve">Question</t>
  </si>
  <si>
    <t xml:space="preserve">Calculation</t>
  </si>
  <si>
    <t xml:space="preserve">Expected answer (live)</t>
  </si>
  <si>
    <t xml:space="preserve">So what</t>
  </si>
  <si>
    <t xml:space="preserve">Low</t>
  </si>
  <si>
    <t xml:space="preserve">How many Gold Loan OFFUS customers were originated in Feb-26?</t>
  </si>
  <si>
    <t xml:space="preserve">Lookup</t>
  </si>
  <si>
    <t xml:space="preserve">count</t>
  </si>
  <si>
    <t xml:space="preserve">What was Housing Loan OFFUS sanction in Dec-25?</t>
  </si>
  <si>
    <t xml:space="preserve">What was total sanction across products in Feb-26?</t>
  </si>
  <si>
    <t xml:space="preserve">Σ products</t>
  </si>
  <si>
    <t xml:space="preserve">Medium</t>
  </si>
  <si>
    <t xml:space="preserve">What is the growth in total customers originated, Feb-26 vs Apr-25?</t>
  </si>
  <si>
    <t xml:space="preserve">Feb ÷ Apr − 1</t>
  </si>
  <si>
    <t xml:space="preserve">What is the implied bank-level ATS in Feb-26 (₹ lakh)?</t>
  </si>
  <si>
    <t xml:space="preserve">Sanction × 100 ÷ #</t>
  </si>
  <si>
    <t xml:space="preserve">₹ lakh</t>
  </si>
  <si>
    <t xml:space="preserve">What share of 11M sanction value is Housing + Property loans?</t>
  </si>
  <si>
    <t xml:space="preserve">(HL + PL) ÷ total</t>
  </si>
  <si>
    <t xml:space="preserve">What is the ONUS share of customers in Feb-26?</t>
  </si>
  <si>
    <t xml:space="preserve">ONUS # ÷ total #</t>
  </si>
  <si>
    <t xml:space="preserve">High</t>
  </si>
  <si>
    <t xml:space="preserve">Decompose Feb-26 vs Apr-25 customer growth: what share came from Gold Loan + Personal Loan?</t>
  </si>
  <si>
    <t xml:space="preserve">Σ contribution</t>
  </si>
  <si>
    <t xml:space="preserve">Growth is a two-product story; the rest of the book is roughly flat.</t>
  </si>
  <si>
    <t xml:space="preserve">Why did bank ATS fall despite sanction value rising? Compare Feb-26 vs Apr-25 ATS and count growth.</t>
  </si>
  <si>
    <t xml:space="preserve">ATS Feb ÷ ATS Apr − 1</t>
  </si>
  <si>
    <t xml:space="preserve">Mix shift to small-ticket gold / PL / consumer loans pulls the blended ATS down.</t>
  </si>
  <si>
    <t xml:space="preserve">Does Sanction = # × ATS hold across the page?</t>
  </si>
  <si>
    <t xml:space="preserve">Max |implied − printed| over rows</t>
  </si>
  <si>
    <t xml:space="preserve">Yes within rounding; the two tables are internally consistent.</t>
  </si>
  <si>
    <t xml:space="preserve">What this page cannot support (feeds the data request)</t>
  </si>
  <si>
    <t xml:space="preserve">Not derivable: disbursement vs sanction conversion and TAT, approval / rejection rates, applications funnel, non-SA customers, repeat vs new-to-bank split, pricing / yield at origination, geography and channel, delinquency of these vintages, and any month before Mar-25 for a full YoY on all months.</t>
  </si>
  <si>
    <t xml:space="preserve">New originations: notation and metrics</t>
  </si>
  <si>
    <t xml:space="preserve">Format: Notation → Exhaustive metrics table | Example column = live Excel formula on the block sheet (green = cross-sheet)</t>
  </si>
  <si>
    <t xml:space="preserve">Notation</t>
  </si>
  <si>
    <t xml:space="preserve">Symbol</t>
  </si>
  <si>
    <t xml:space="preserve">Meaning</t>
  </si>
  <si>
    <t xml:space="preserve">N(p,f,m)</t>
  </si>
  <si>
    <t xml:space="preserve">Distinct SA customers originated in product p, footprint f (OFFUS / ONUS), month m</t>
  </si>
  <si>
    <t xml:space="preserve">ATS(p,f,m)</t>
  </si>
  <si>
    <t xml:space="preserve">Average ticket size, ₹ lakh</t>
  </si>
  <si>
    <t xml:space="preserve">S(p,f,m)</t>
  </si>
  <si>
    <t xml:space="preserve">Sanction amount, ₹ Cr; S ≈ N × ATS ÷ 100</t>
  </si>
  <si>
    <t xml:space="preserve">m</t>
  </si>
  <si>
    <t xml:space="preserve">Mar-25 … Mar-26; Mar-26 partial</t>
  </si>
  <si>
    <t xml:space="preserve">11M</t>
  </si>
  <si>
    <t xml:space="preserve">Apr-25 … Feb-26 (full months)</t>
  </si>
  <si>
    <t xml:space="preserve">N(m), S(m)</t>
  </si>
  <si>
    <t xml:space="preserve">Bank totals across products and footprints</t>
  </si>
  <si>
    <t xml:space="preserve">ATS_b(m)</t>
  </si>
  <si>
    <t xml:space="preserve">Implied bank ATS = S(m) × 100 ÷ N(m)</t>
  </si>
  <si>
    <t xml:space="preserve">g</t>
  </si>
  <si>
    <t xml:space="preserve">Feb-26 ÷ Apr-25 − 1 unless stated</t>
  </si>
  <si>
    <t xml:space="preserve">sh</t>
  </si>
  <si>
    <t xml:space="preserve">Share of 11M total</t>
  </si>
  <si>
    <t xml:space="preserve">ONUS%</t>
  </si>
  <si>
    <t xml:space="preserve">ONUS ÷ (OFFUS + ONUS)</t>
  </si>
  <si>
    <t xml:space="preserve">Counts are distinct SA customers; ATS in ₹ lakh; Sanction in ₹ Cr; growth in %; shares in %.</t>
  </si>
  <si>
    <t xml:space="preserve">Exhaustive metrics table</t>
  </si>
  <si>
    <t xml:space="preserve">Metric family</t>
  </si>
  <si>
    <t xml:space="preserve">Pipeline-ready metric</t>
  </si>
  <si>
    <t xml:space="preserve">Definition / formula</t>
  </si>
  <si>
    <t xml:space="preserve">Applies to</t>
  </si>
  <si>
    <t xml:space="preserve">Example</t>
  </si>
  <si>
    <t xml:space="preserve">Fact lookup</t>
  </si>
  <si>
    <t xml:space="preserve">Customers originated</t>
  </si>
  <si>
    <t xml:space="preserve">29 rows × 13 months</t>
  </si>
  <si>
    <t xml:space="preserve">ATS</t>
  </si>
  <si>
    <t xml:space="preserve">29 × 13</t>
  </si>
  <si>
    <t xml:space="preserve">Sanction</t>
  </si>
  <si>
    <t xml:space="preserve">Printed footprint count</t>
  </si>
  <si>
    <t xml:space="preserve">29 rows</t>
  </si>
  <si>
    <t xml:space="preserve">Roll-up check</t>
  </si>
  <si>
    <t xml:space="preserve">Sanction identity</t>
  </si>
  <si>
    <t xml:space="preserve">|Σm N × ATS ÷ 100 − Σm S|</t>
  </si>
  <si>
    <t xml:space="preserve">13M distinct vs Σ monthly</t>
  </si>
  <si>
    <t xml:space="preserve">Σm N(p,f,m) ÷ printed 13M distinct</t>
  </si>
  <si>
    <t xml:space="preserve">Volume aggregates</t>
  </si>
  <si>
    <t xml:space="preserve">Bank customers by month</t>
  </si>
  <si>
    <t xml:space="preserve">N(m)</t>
  </si>
  <si>
    <t xml:space="preserve">13 months</t>
  </si>
  <si>
    <t xml:space="preserve">Bank sanction by month</t>
  </si>
  <si>
    <t xml:space="preserve">S(m)</t>
  </si>
  <si>
    <t xml:space="preserve">11M totals</t>
  </si>
  <si>
    <t xml:space="preserve">Σ N, Σ S</t>
  </si>
  <si>
    <t xml:space="preserve">Average month</t>
  </si>
  <si>
    <t xml:space="preserve">Σ ÷ 11</t>
  </si>
  <si>
    <t xml:space="preserve">Product 11M totals</t>
  </si>
  <si>
    <t xml:space="preserve">Σm N(p), Σm S(p)</t>
  </si>
  <si>
    <t xml:space="preserve">15 products</t>
  </si>
  <si>
    <t xml:space="preserve">Ticket size</t>
  </si>
  <si>
    <t xml:space="preserve">Bank implied ATS</t>
  </si>
  <si>
    <t xml:space="preserve">Product 11M ATS</t>
  </si>
  <si>
    <t xml:space="preserve">Σ S(p) × 100 ÷ Σ N(p)</t>
  </si>
  <si>
    <t xml:space="preserve">Weighted ATS by row</t>
  </si>
  <si>
    <t xml:space="preserve">Σ N × ATS ÷ Σ N (11M)</t>
  </si>
  <si>
    <t xml:space="preserve">ATS change</t>
  </si>
  <si>
    <t xml:space="preserve">ATS(Feb-26) ÷ ATS(Apr-25) − 1</t>
  </si>
  <si>
    <t xml:space="preserve">ONUS ÷ OFFUS ATS ratio</t>
  </si>
  <si>
    <t xml:space="preserve">ATS_ONUS ÷ ATS_OFFUS (11M wtd)</t>
  </si>
  <si>
    <t xml:space="preserve">12 products with both</t>
  </si>
  <si>
    <t xml:space="preserve">Growth &amp; momentum</t>
  </si>
  <si>
    <t xml:space="preserve">Bank growth</t>
  </si>
  <si>
    <t xml:space="preserve">g(N), g(S)</t>
  </si>
  <si>
    <t xml:space="preserve">Feb-26 vs Apr-25 and vs Mar-25</t>
  </si>
  <si>
    <t xml:space="preserve">Product count growth</t>
  </si>
  <si>
    <t xml:space="preserve">g(N(p))</t>
  </si>
  <si>
    <t xml:space="preserve">Product sanction growth</t>
  </si>
  <si>
    <t xml:space="preserve">g(S(p))</t>
  </si>
  <si>
    <t xml:space="preserve">MoM growth in bank customers</t>
  </si>
  <si>
    <t xml:space="preserve">N(m) ÷ N(m−1) − 1</t>
  </si>
  <si>
    <t xml:space="preserve">12 pairs</t>
  </si>
  <si>
    <t xml:space="preserve">Compounded monthly growth (customers)</t>
  </si>
  <si>
    <t xml:space="preserve">(N(Feb-26) ÷ N(Apr-25))^(1/10) − 1</t>
  </si>
  <si>
    <t xml:space="preserve">Peak month</t>
  </si>
  <si>
    <t xml:space="preserve">MAX N(m) and month</t>
  </si>
  <si>
    <t xml:space="preserve">11 months</t>
  </si>
  <si>
    <t xml:space="preserve">Mix &amp; share</t>
  </si>
  <si>
    <t xml:space="preserve">Product share of customers (11M)</t>
  </si>
  <si>
    <t xml:space="preserve">sh_N(p)</t>
  </si>
  <si>
    <t xml:space="preserve">Product share of sanction (11M)</t>
  </si>
  <si>
    <t xml:space="preserve">sh_S(p)</t>
  </si>
  <si>
    <t xml:space="preserve">Count vs value share gap</t>
  </si>
  <si>
    <t xml:space="preserve">sh_N − sh_S</t>
  </si>
  <si>
    <t xml:space="preserve">ONUS share</t>
  </si>
  <si>
    <t xml:space="preserve">ONUS% of N and of S</t>
  </si>
  <si>
    <t xml:space="preserve">Attribution</t>
  </si>
  <si>
    <t xml:space="preserve">Contribution to customer growth</t>
  </si>
  <si>
    <t xml:space="preserve">ΔN(p) ÷ ΔN (Feb-26 vs Apr-25)</t>
  </si>
  <si>
    <t xml:space="preserve">Concentration</t>
  </si>
  <si>
    <t xml:space="preserve">Top-3 products by customers</t>
  </si>
  <si>
    <t xml:space="preserve">Σ top-3 sh_N</t>
  </si>
  <si>
    <t xml:space="preserve">Top-3 products by sanction</t>
  </si>
  <si>
    <t xml:space="preserve">Σ top-3 sh_S</t>
  </si>
  <si>
    <t xml:space="preserve">Volatility</t>
  </si>
  <si>
    <t xml:space="preserve">Two-Wheeler Oct-25 spike</t>
  </si>
  <si>
    <t xml:space="preserve">N(Oct) ÷ avg(other months)</t>
  </si>
  <si>
    <t xml:space="preserve">Event</t>
  </si>
  <si>
    <t xml:space="preserve">Consumer Loan Oct-25 spike</t>
  </si>
  <si>
    <t xml:space="preserve">N(Oct) ÷ N(Sep)</t>
  </si>
  <si>
    <t xml:space="preserve">Data integrity</t>
  </si>
  <si>
    <t xml:space="preserve">Partial month</t>
  </si>
  <si>
    <t xml:space="preserve">N(Mar-26) ÷ N(Feb-26)</t>
  </si>
  <si>
    <t xml:space="preserve">Header mismatch</t>
  </si>
  <si>
    <t xml:space="preserve">Table-2 month labels</t>
  </si>
  <si>
    <t xml:space="preserve">Page</t>
  </si>
  <si>
    <t xml:space="preserve">Second table headers mislabelled (Mar-25, Feb-25, Jan-25, Dec-24 …); counts identical → mapped to table-1 months</t>
  </si>
  <si>
    <t xml:space="preserve">Zero-ATS cells</t>
  </si>
  <si>
    <t xml:space="preserve">ATS = 0 where N = 0</t>
  </si>
  <si>
    <t xml:space="preserve">ONUS rows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</si>
</sst>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%;\-0.0%;0.0%"/>
    <numFmt numFmtId="167" formatCode="#,##0.00"/>
    <numFmt numFmtId="168" formatCode="#,##0;\(#,##0\);\-"/>
    <numFmt numFmtId="169" formatCode="@"/>
    <numFmt numFmtId="170" formatCode="0.00\x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5"/>
    </row>
    <row r="6" customFormat="false" ht="23.85" hidden="false" customHeight="false" outlineLevel="0" collapsed="false">
      <c r="A6" s="6" t="s">
        <v>4</v>
      </c>
      <c r="B6" s="7" t="s">
        <v>5</v>
      </c>
    </row>
    <row r="7" customFormat="false" ht="15" hidden="false" customHeight="false" outlineLevel="0" collapsed="false">
      <c r="A7" s="6" t="s">
        <v>6</v>
      </c>
      <c r="B7" s="7" t="s">
        <v>7</v>
      </c>
    </row>
    <row r="8" customFormat="false" ht="15" hidden="false" customHeight="false" outlineLevel="0" collapsed="false">
      <c r="A8" s="6"/>
      <c r="B8" s="7"/>
    </row>
    <row r="9" customFormat="false" ht="15" hidden="false" customHeight="false" outlineLevel="0" collapsed="false">
      <c r="A9" s="4" t="s">
        <v>8</v>
      </c>
      <c r="B9" s="5"/>
    </row>
    <row r="10" customFormat="false" ht="15" hidden="false" customHeight="false" outlineLevel="0" collapsed="false">
      <c r="A10" s="6" t="s">
        <v>9</v>
      </c>
      <c r="B10" s="7" t="s">
        <v>10</v>
      </c>
    </row>
    <row r="11" customFormat="false" ht="15" hidden="false" customHeight="false" outlineLevel="0" collapsed="false">
      <c r="A11" s="6" t="s">
        <v>11</v>
      </c>
      <c r="B11" s="7" t="s">
        <v>12</v>
      </c>
    </row>
    <row r="12" customFormat="false" ht="15" hidden="false" customHeight="false" outlineLevel="0" collapsed="false">
      <c r="A12" s="6" t="s">
        <v>13</v>
      </c>
      <c r="B12" s="7" t="s">
        <v>14</v>
      </c>
    </row>
    <row r="13" customFormat="false" ht="15" hidden="false" customHeight="false" outlineLevel="0" collapsed="false">
      <c r="A13" s="6" t="s">
        <v>15</v>
      </c>
      <c r="B13" s="7" t="s">
        <v>16</v>
      </c>
    </row>
    <row r="14" customFormat="false" ht="15" hidden="false" customHeight="false" outlineLevel="0" collapsed="false">
      <c r="A14" s="6" t="s">
        <v>17</v>
      </c>
      <c r="B14" s="7" t="s">
        <v>18</v>
      </c>
    </row>
    <row r="15" customFormat="false" ht="15" hidden="false" customHeight="false" outlineLevel="0" collapsed="false">
      <c r="A15" s="6"/>
      <c r="B15" s="7"/>
    </row>
    <row r="16" customFormat="false" ht="15" hidden="false" customHeight="false" outlineLevel="0" collapsed="false">
      <c r="A16" s="4" t="s">
        <v>19</v>
      </c>
      <c r="B16" s="5"/>
    </row>
    <row r="17" customFormat="false" ht="23.85" hidden="false" customHeight="false" outlineLevel="0" collapsed="false">
      <c r="A17" s="6" t="s">
        <v>20</v>
      </c>
      <c r="B17" s="7" t="s">
        <v>21</v>
      </c>
    </row>
    <row r="18" customFormat="false" ht="23.85" hidden="false" customHeight="false" outlineLevel="0" collapsed="false">
      <c r="A18" s="6" t="s">
        <v>22</v>
      </c>
      <c r="B18" s="7" t="s">
        <v>23</v>
      </c>
    </row>
    <row r="19" customFormat="false" ht="15" hidden="false" customHeight="false" outlineLevel="0" collapsed="false">
      <c r="A19" s="6" t="s">
        <v>24</v>
      </c>
      <c r="B19" s="7" t="s">
        <v>25</v>
      </c>
    </row>
    <row r="20" customFormat="false" ht="15" hidden="false" customHeight="false" outlineLevel="0" collapsed="false">
      <c r="A20" s="6" t="s">
        <v>26</v>
      </c>
      <c r="B20" s="7" t="s">
        <v>27</v>
      </c>
    </row>
    <row r="21" customFormat="false" ht="23.85" hidden="false" customHeight="false" outlineLevel="0" collapsed="false">
      <c r="A21" s="6" t="s">
        <v>28</v>
      </c>
      <c r="B21" s="7" t="s">
        <v>29</v>
      </c>
    </row>
    <row r="22" customFormat="false" ht="15" hidden="false" customHeight="false" outlineLevel="0" collapsed="false">
      <c r="A22" s="6" t="s">
        <v>30</v>
      </c>
      <c r="B22" s="7" t="s">
        <v>31</v>
      </c>
    </row>
    <row r="24" customFormat="false" ht="15" hidden="false" customHeight="false" outlineLevel="0" collapsed="false">
      <c r="A24" s="3" t="s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9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6" topLeftCell="E7" activePane="bottomRight" state="frozen"/>
      <selection pane="topLeft" activeCell="A1" activeCellId="0" sqref="A1"/>
      <selection pane="topRight" activeCell="E1" activeCellId="0" sqref="E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21" min="5" style="0" width="11"/>
  </cols>
  <sheetData>
    <row r="1" customFormat="false" ht="17.35" hidden="false" customHeight="false" outlineLevel="0" collapsed="false">
      <c r="A1" s="1" t="s">
        <v>32</v>
      </c>
    </row>
    <row r="2" customFormat="false" ht="15" hidden="false" customHeight="false" outlineLevel="0" collapsed="false">
      <c r="A2" s="2" t="s">
        <v>33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34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</row>
    <row r="6" customFormat="false" ht="35.05" hidden="false" customHeight="false" outlineLevel="0" collapsed="false">
      <c r="A6" s="8" t="s">
        <v>35</v>
      </c>
      <c r="B6" s="8" t="s">
        <v>36</v>
      </c>
      <c r="C6" s="8" t="s">
        <v>37</v>
      </c>
      <c r="D6" s="8" t="s">
        <v>38</v>
      </c>
      <c r="E6" s="8" t="s">
        <v>39</v>
      </c>
      <c r="F6" s="8" t="s">
        <v>40</v>
      </c>
      <c r="G6" s="8" t="s">
        <v>41</v>
      </c>
      <c r="H6" s="8" t="s">
        <v>42</v>
      </c>
      <c r="I6" s="8" t="s">
        <v>43</v>
      </c>
      <c r="J6" s="8" t="s">
        <v>44</v>
      </c>
      <c r="K6" s="8" t="s">
        <v>45</v>
      </c>
      <c r="L6" s="8" t="s">
        <v>46</v>
      </c>
      <c r="M6" s="8" t="s">
        <v>47</v>
      </c>
      <c r="N6" s="8" t="s">
        <v>48</v>
      </c>
      <c r="O6" s="8" t="s">
        <v>49</v>
      </c>
      <c r="P6" s="8" t="s">
        <v>50</v>
      </c>
      <c r="Q6" s="8" t="s">
        <v>51</v>
      </c>
      <c r="R6" s="8" t="s">
        <v>52</v>
      </c>
      <c r="S6" s="8" t="s">
        <v>53</v>
      </c>
      <c r="T6" s="8" t="s">
        <v>54</v>
      </c>
      <c r="U6" s="8" t="s">
        <v>55</v>
      </c>
    </row>
    <row r="7" customFormat="false" ht="15" hidden="false" customHeight="false" outlineLevel="0" collapsed="false">
      <c r="A7" s="9" t="n">
        <v>1</v>
      </c>
      <c r="B7" s="9" t="s">
        <v>56</v>
      </c>
      <c r="C7" s="9" t="s">
        <v>57</v>
      </c>
      <c r="D7" s="10" t="n">
        <v>35881</v>
      </c>
      <c r="E7" s="10" t="n">
        <v>3528</v>
      </c>
      <c r="F7" s="10" t="n">
        <v>1893</v>
      </c>
      <c r="G7" s="10" t="n">
        <v>2561</v>
      </c>
      <c r="H7" s="10" t="n">
        <v>2665</v>
      </c>
      <c r="I7" s="10" t="n">
        <v>2843</v>
      </c>
      <c r="J7" s="10" t="n">
        <v>2796</v>
      </c>
      <c r="K7" s="10" t="n">
        <v>3071</v>
      </c>
      <c r="L7" s="10" t="n">
        <v>2580</v>
      </c>
      <c r="M7" s="10" t="n">
        <v>2924</v>
      </c>
      <c r="N7" s="10" t="n">
        <v>3203</v>
      </c>
      <c r="O7" s="10" t="n">
        <v>2830</v>
      </c>
      <c r="P7" s="10" t="n">
        <v>3002</v>
      </c>
      <c r="Q7" s="10" t="n">
        <v>133</v>
      </c>
      <c r="R7" s="11" t="n">
        <f aca="false">SUM(F7:P7)</f>
        <v>30368</v>
      </c>
      <c r="S7" s="11" t="n">
        <f aca="false">R7/11</f>
        <v>2760.72727272727</v>
      </c>
      <c r="T7" s="12" t="n">
        <f aca="false">IF(F7=0,"n/a",P7/F7-1)</f>
        <v>0.585842577918648</v>
      </c>
      <c r="U7" s="12" t="n">
        <f aca="false">IF(E7=0,"n/a",P7/E7-1)</f>
        <v>-0.149092970521542</v>
      </c>
    </row>
    <row r="8" customFormat="false" ht="15" hidden="false" customHeight="false" outlineLevel="0" collapsed="false">
      <c r="A8" s="9" t="n">
        <v>2</v>
      </c>
      <c r="B8" s="9" t="s">
        <v>56</v>
      </c>
      <c r="C8" s="9" t="s">
        <v>58</v>
      </c>
      <c r="D8" s="10" t="n">
        <v>4974</v>
      </c>
      <c r="E8" s="10" t="n">
        <v>481</v>
      </c>
      <c r="F8" s="10" t="n">
        <v>309</v>
      </c>
      <c r="G8" s="10" t="n">
        <v>411</v>
      </c>
      <c r="H8" s="10" t="n">
        <v>362</v>
      </c>
      <c r="I8" s="10" t="n">
        <v>398</v>
      </c>
      <c r="J8" s="10" t="n">
        <v>357</v>
      </c>
      <c r="K8" s="10" t="n">
        <v>433</v>
      </c>
      <c r="L8" s="10" t="n">
        <v>398</v>
      </c>
      <c r="M8" s="10" t="n">
        <v>413</v>
      </c>
      <c r="N8" s="10" t="n">
        <v>397</v>
      </c>
      <c r="O8" s="10" t="n">
        <v>428</v>
      </c>
      <c r="P8" s="10" t="n">
        <v>442</v>
      </c>
      <c r="Q8" s="10" t="n">
        <v>0</v>
      </c>
      <c r="R8" s="11" t="n">
        <f aca="false">SUM(F8:P8)</f>
        <v>4348</v>
      </c>
      <c r="S8" s="11" t="n">
        <f aca="false">R8/11</f>
        <v>395.272727272727</v>
      </c>
      <c r="T8" s="12" t="n">
        <f aca="false">IF(F8=0,"n/a",P8/F8-1)</f>
        <v>0.43042071197411</v>
      </c>
      <c r="U8" s="12" t="n">
        <f aca="false">IF(E8=0,"n/a",P8/E8-1)</f>
        <v>-0.081081081081081</v>
      </c>
    </row>
    <row r="9" customFormat="false" ht="15" hidden="false" customHeight="false" outlineLevel="0" collapsed="false">
      <c r="A9" s="9" t="n">
        <v>3</v>
      </c>
      <c r="B9" s="9" t="s">
        <v>59</v>
      </c>
      <c r="C9" s="9" t="s">
        <v>57</v>
      </c>
      <c r="D9" s="10" t="n">
        <v>24378</v>
      </c>
      <c r="E9" s="10" t="n">
        <v>2395</v>
      </c>
      <c r="F9" s="10" t="n">
        <v>1391</v>
      </c>
      <c r="G9" s="10" t="n">
        <v>1694</v>
      </c>
      <c r="H9" s="10" t="n">
        <v>1755</v>
      </c>
      <c r="I9" s="10" t="n">
        <v>1959</v>
      </c>
      <c r="J9" s="10" t="n">
        <v>1819</v>
      </c>
      <c r="K9" s="10" t="n">
        <v>2061</v>
      </c>
      <c r="L9" s="10" t="n">
        <v>1853</v>
      </c>
      <c r="M9" s="10" t="n">
        <v>1934</v>
      </c>
      <c r="N9" s="10" t="n">
        <v>2147</v>
      </c>
      <c r="O9" s="10" t="n">
        <v>1985</v>
      </c>
      <c r="P9" s="10" t="n">
        <v>1995</v>
      </c>
      <c r="Q9" s="10" t="n">
        <v>31</v>
      </c>
      <c r="R9" s="11" t="n">
        <f aca="false">SUM(F9:P9)</f>
        <v>20593</v>
      </c>
      <c r="S9" s="11" t="n">
        <f aca="false">R9/11</f>
        <v>1872.09090909091</v>
      </c>
      <c r="T9" s="12" t="n">
        <f aca="false">IF(F9=0,"n/a",P9/F9-1)</f>
        <v>0.434219985621855</v>
      </c>
      <c r="U9" s="12" t="n">
        <f aca="false">IF(E9=0,"n/a",P9/E9-1)</f>
        <v>-0.167014613778706</v>
      </c>
    </row>
    <row r="10" customFormat="false" ht="15" hidden="false" customHeight="false" outlineLevel="0" collapsed="false">
      <c r="A10" s="9" t="n">
        <v>4</v>
      </c>
      <c r="B10" s="9" t="s">
        <v>59</v>
      </c>
      <c r="C10" s="9" t="s">
        <v>58</v>
      </c>
      <c r="D10" s="10" t="n">
        <v>1945</v>
      </c>
      <c r="E10" s="10" t="n">
        <v>144</v>
      </c>
      <c r="F10" s="10" t="n">
        <v>72</v>
      </c>
      <c r="G10" s="10" t="n">
        <v>109</v>
      </c>
      <c r="H10" s="10" t="n">
        <v>158</v>
      </c>
      <c r="I10" s="10" t="n">
        <v>182</v>
      </c>
      <c r="J10" s="10" t="n">
        <v>192</v>
      </c>
      <c r="K10" s="10" t="n">
        <v>216</v>
      </c>
      <c r="L10" s="10" t="n">
        <v>202</v>
      </c>
      <c r="M10" s="10" t="n">
        <v>207</v>
      </c>
      <c r="N10" s="10" t="n">
        <v>203</v>
      </c>
      <c r="O10" s="10" t="n">
        <v>224</v>
      </c>
      <c r="P10" s="10" t="n">
        <v>200</v>
      </c>
      <c r="Q10" s="10" t="n">
        <v>0</v>
      </c>
      <c r="R10" s="11" t="n">
        <f aca="false">SUM(F10:P10)</f>
        <v>1965</v>
      </c>
      <c r="S10" s="11" t="n">
        <f aca="false">R10/11</f>
        <v>178.636363636364</v>
      </c>
      <c r="T10" s="12" t="n">
        <f aca="false">IF(F10=0,"n/a",P10/F10-1)</f>
        <v>1.77777777777778</v>
      </c>
      <c r="U10" s="12" t="n">
        <f aca="false">IF(E10=0,"n/a",P10/E10-1)</f>
        <v>0.388888888888889</v>
      </c>
    </row>
    <row r="11" customFormat="false" ht="15" hidden="false" customHeight="false" outlineLevel="0" collapsed="false">
      <c r="A11" s="9" t="n">
        <v>5</v>
      </c>
      <c r="B11" s="9" t="s">
        <v>60</v>
      </c>
      <c r="C11" s="9" t="s">
        <v>57</v>
      </c>
      <c r="D11" s="10" t="n">
        <v>132558</v>
      </c>
      <c r="E11" s="10" t="n">
        <v>5718</v>
      </c>
      <c r="F11" s="10" t="n">
        <v>6331</v>
      </c>
      <c r="G11" s="10" t="n">
        <v>9260</v>
      </c>
      <c r="H11" s="10" t="n">
        <v>9374</v>
      </c>
      <c r="I11" s="10" t="n">
        <v>10635</v>
      </c>
      <c r="J11" s="10" t="n">
        <v>10120</v>
      </c>
      <c r="K11" s="10" t="n">
        <v>13881</v>
      </c>
      <c r="L11" s="10" t="n">
        <v>17869</v>
      </c>
      <c r="M11" s="10" t="n">
        <v>20113</v>
      </c>
      <c r="N11" s="10" t="n">
        <v>23679</v>
      </c>
      <c r="O11" s="10" t="n">
        <v>28506</v>
      </c>
      <c r="P11" s="10" t="n">
        <v>38463</v>
      </c>
      <c r="Q11" s="10" t="n">
        <v>4608</v>
      </c>
      <c r="R11" s="11" t="n">
        <f aca="false">SUM(F11:P11)</f>
        <v>188231</v>
      </c>
      <c r="S11" s="11" t="n">
        <f aca="false">R11/11</f>
        <v>17111.9090909091</v>
      </c>
      <c r="T11" s="12" t="n">
        <f aca="false">IF(F11=0,"n/a",P11/F11-1)</f>
        <v>5.07534354762281</v>
      </c>
      <c r="U11" s="12" t="n">
        <f aca="false">IF(E11=0,"n/a",P11/E11-1)</f>
        <v>5.72665267576076</v>
      </c>
    </row>
    <row r="12" customFormat="false" ht="15" hidden="false" customHeight="false" outlineLevel="0" collapsed="false">
      <c r="A12" s="9" t="n">
        <v>6</v>
      </c>
      <c r="B12" s="9" t="s">
        <v>60</v>
      </c>
      <c r="C12" s="9" t="s">
        <v>58</v>
      </c>
      <c r="D12" s="10" t="n">
        <v>13102</v>
      </c>
      <c r="E12" s="10" t="n">
        <v>303</v>
      </c>
      <c r="F12" s="10" t="n">
        <v>404</v>
      </c>
      <c r="G12" s="10" t="n">
        <v>579</v>
      </c>
      <c r="H12" s="10" t="n">
        <v>627</v>
      </c>
      <c r="I12" s="10" t="n">
        <v>854</v>
      </c>
      <c r="J12" s="10" t="n">
        <v>911</v>
      </c>
      <c r="K12" s="10" t="n">
        <v>1459</v>
      </c>
      <c r="L12" s="10" t="n">
        <v>1782</v>
      </c>
      <c r="M12" s="10" t="n">
        <v>2745</v>
      </c>
      <c r="N12" s="10" t="n">
        <v>3345</v>
      </c>
      <c r="O12" s="10" t="n">
        <v>3801</v>
      </c>
      <c r="P12" s="10" t="n">
        <v>3524</v>
      </c>
      <c r="Q12" s="10" t="n">
        <v>0</v>
      </c>
      <c r="R12" s="11" t="n">
        <f aca="false">SUM(F12:P12)</f>
        <v>20031</v>
      </c>
      <c r="S12" s="11" t="n">
        <f aca="false">R12/11</f>
        <v>1821</v>
      </c>
      <c r="T12" s="12" t="n">
        <f aca="false">IF(F12=0,"n/a",P12/F12-1)</f>
        <v>7.72277227722772</v>
      </c>
      <c r="U12" s="12" t="n">
        <f aca="false">IF(E12=0,"n/a",P12/E12-1)</f>
        <v>10.6303630363036</v>
      </c>
    </row>
    <row r="13" customFormat="false" ht="15" hidden="false" customHeight="false" outlineLevel="0" collapsed="false">
      <c r="A13" s="9" t="n">
        <v>7</v>
      </c>
      <c r="B13" s="9" t="s">
        <v>61</v>
      </c>
      <c r="C13" s="9" t="s">
        <v>57</v>
      </c>
      <c r="D13" s="10" t="n">
        <v>49237</v>
      </c>
      <c r="E13" s="10" t="n">
        <v>3650</v>
      </c>
      <c r="F13" s="10" t="n">
        <v>3688</v>
      </c>
      <c r="G13" s="10" t="n">
        <v>3628</v>
      </c>
      <c r="H13" s="10" t="n">
        <v>3680</v>
      </c>
      <c r="I13" s="10" t="n">
        <v>3594</v>
      </c>
      <c r="J13" s="10" t="n">
        <v>3712</v>
      </c>
      <c r="K13" s="10" t="n">
        <v>3616</v>
      </c>
      <c r="L13" s="10" t="n">
        <v>7101</v>
      </c>
      <c r="M13" s="10" t="n">
        <v>4185</v>
      </c>
      <c r="N13" s="10" t="n">
        <v>3315</v>
      </c>
      <c r="O13" s="10" t="n">
        <v>3965</v>
      </c>
      <c r="P13" s="10" t="n">
        <v>3425</v>
      </c>
      <c r="Q13" s="10" t="n">
        <v>470</v>
      </c>
      <c r="R13" s="11" t="n">
        <f aca="false">SUM(F13:P13)</f>
        <v>43909</v>
      </c>
      <c r="S13" s="11" t="n">
        <f aca="false">R13/11</f>
        <v>3991.72727272727</v>
      </c>
      <c r="T13" s="12" t="n">
        <f aca="false">IF(F13=0,"n/a",P13/F13-1)</f>
        <v>-0.0713123644251626</v>
      </c>
      <c r="U13" s="12" t="n">
        <f aca="false">IF(E13=0,"n/a",P13/E13-1)</f>
        <v>-0.0616438356164384</v>
      </c>
    </row>
    <row r="14" customFormat="false" ht="15" hidden="false" customHeight="false" outlineLevel="0" collapsed="false">
      <c r="A14" s="9" t="n">
        <v>8</v>
      </c>
      <c r="B14" s="9" t="s">
        <v>61</v>
      </c>
      <c r="C14" s="9" t="s">
        <v>58</v>
      </c>
      <c r="D14" s="10" t="n">
        <v>434</v>
      </c>
      <c r="E14" s="10" t="n">
        <v>38</v>
      </c>
      <c r="F14" s="10" t="n">
        <v>43</v>
      </c>
      <c r="G14" s="10" t="n">
        <v>54</v>
      </c>
      <c r="H14" s="10" t="n">
        <v>33</v>
      </c>
      <c r="I14" s="10" t="n">
        <v>41</v>
      </c>
      <c r="J14" s="10" t="n">
        <v>25</v>
      </c>
      <c r="K14" s="10" t="n">
        <v>20</v>
      </c>
      <c r="L14" s="10" t="n">
        <v>58</v>
      </c>
      <c r="M14" s="10" t="n">
        <v>29</v>
      </c>
      <c r="N14" s="10" t="n">
        <v>26</v>
      </c>
      <c r="O14" s="10" t="n">
        <v>25</v>
      </c>
      <c r="P14" s="10" t="n">
        <v>13</v>
      </c>
      <c r="Q14" s="10" t="n">
        <v>0</v>
      </c>
      <c r="R14" s="11" t="n">
        <f aca="false">SUM(F14:P14)</f>
        <v>367</v>
      </c>
      <c r="S14" s="11" t="n">
        <f aca="false">R14/11</f>
        <v>33.3636363636364</v>
      </c>
      <c r="T14" s="12" t="n">
        <f aca="false">IF(F14=0,"n/a",P14/F14-1)</f>
        <v>-0.697674418604651</v>
      </c>
      <c r="U14" s="12" t="n">
        <f aca="false">IF(E14=0,"n/a",P14/E14-1)</f>
        <v>-0.657894736842105</v>
      </c>
    </row>
    <row r="15" customFormat="false" ht="15" hidden="false" customHeight="false" outlineLevel="0" collapsed="false">
      <c r="A15" s="9" t="n">
        <v>9</v>
      </c>
      <c r="B15" s="9" t="s">
        <v>62</v>
      </c>
      <c r="C15" s="9" t="s">
        <v>57</v>
      </c>
      <c r="D15" s="10" t="n">
        <v>32479</v>
      </c>
      <c r="E15" s="10" t="n">
        <v>2596</v>
      </c>
      <c r="F15" s="10" t="n">
        <v>2052</v>
      </c>
      <c r="G15" s="10" t="n">
        <v>2125</v>
      </c>
      <c r="H15" s="10" t="n">
        <v>2210</v>
      </c>
      <c r="I15" s="10" t="n">
        <v>2473</v>
      </c>
      <c r="J15" s="10" t="n">
        <v>2413</v>
      </c>
      <c r="K15" s="10" t="n">
        <v>2784</v>
      </c>
      <c r="L15" s="10" t="n">
        <v>3387</v>
      </c>
      <c r="M15" s="10" t="n">
        <v>2342</v>
      </c>
      <c r="N15" s="10" t="n">
        <v>3275</v>
      </c>
      <c r="O15" s="10" t="n">
        <v>2356</v>
      </c>
      <c r="P15" s="10" t="n">
        <v>2318</v>
      </c>
      <c r="Q15" s="10" t="n">
        <v>147</v>
      </c>
      <c r="R15" s="11" t="n">
        <f aca="false">SUM(F15:P15)</f>
        <v>27735</v>
      </c>
      <c r="S15" s="11" t="n">
        <f aca="false">R15/11</f>
        <v>2521.36363636364</v>
      </c>
      <c r="T15" s="12" t="n">
        <f aca="false">IF(F15=0,"n/a",P15/F15-1)</f>
        <v>0.12962962962963</v>
      </c>
      <c r="U15" s="12" t="n">
        <f aca="false">IF(E15=0,"n/a",P15/E15-1)</f>
        <v>-0.10708782742681</v>
      </c>
    </row>
    <row r="16" customFormat="false" ht="15" hidden="false" customHeight="false" outlineLevel="0" collapsed="false">
      <c r="A16" s="9" t="n">
        <v>10</v>
      </c>
      <c r="B16" s="9" t="s">
        <v>62</v>
      </c>
      <c r="C16" s="9" t="s">
        <v>58</v>
      </c>
      <c r="D16" s="10" t="n">
        <v>86</v>
      </c>
      <c r="E16" s="10" t="n">
        <v>9</v>
      </c>
      <c r="F16" s="10" t="n">
        <v>11</v>
      </c>
      <c r="G16" s="10" t="n">
        <v>6</v>
      </c>
      <c r="H16" s="10" t="n">
        <v>3</v>
      </c>
      <c r="I16" s="10" t="n">
        <v>5</v>
      </c>
      <c r="J16" s="10" t="n">
        <v>6</v>
      </c>
      <c r="K16" s="10" t="n">
        <v>11</v>
      </c>
      <c r="L16" s="10" t="n">
        <v>12</v>
      </c>
      <c r="M16" s="10" t="n">
        <v>4</v>
      </c>
      <c r="N16" s="10" t="n">
        <v>0</v>
      </c>
      <c r="O16" s="10" t="n">
        <v>9</v>
      </c>
      <c r="P16" s="10" t="n">
        <v>11</v>
      </c>
      <c r="Q16" s="10" t="n">
        <v>0</v>
      </c>
      <c r="R16" s="11" t="n">
        <f aca="false">SUM(F16:P16)</f>
        <v>78</v>
      </c>
      <c r="S16" s="11" t="n">
        <f aca="false">R16/11</f>
        <v>7.09090909090909</v>
      </c>
      <c r="T16" s="12" t="n">
        <f aca="false">IF(F16=0,"n/a",P16/F16-1)</f>
        <v>0</v>
      </c>
      <c r="U16" s="12" t="n">
        <f aca="false">IF(E16=0,"n/a",P16/E16-1)</f>
        <v>0.222222222222222</v>
      </c>
    </row>
    <row r="17" customFormat="false" ht="15" hidden="false" customHeight="false" outlineLevel="0" collapsed="false">
      <c r="A17" s="9" t="n">
        <v>11</v>
      </c>
      <c r="B17" s="9" t="s">
        <v>63</v>
      </c>
      <c r="C17" s="9" t="s">
        <v>57</v>
      </c>
      <c r="D17" s="10" t="n">
        <v>4311</v>
      </c>
      <c r="E17" s="10" t="n">
        <v>332</v>
      </c>
      <c r="F17" s="10" t="n">
        <v>276</v>
      </c>
      <c r="G17" s="10" t="n">
        <v>333</v>
      </c>
      <c r="H17" s="10" t="n">
        <v>365</v>
      </c>
      <c r="I17" s="10" t="n">
        <v>336</v>
      </c>
      <c r="J17" s="10" t="n">
        <v>255</v>
      </c>
      <c r="K17" s="10" t="n">
        <v>289</v>
      </c>
      <c r="L17" s="10" t="n">
        <v>484</v>
      </c>
      <c r="M17" s="10" t="n">
        <v>417</v>
      </c>
      <c r="N17" s="10" t="n">
        <v>318</v>
      </c>
      <c r="O17" s="10" t="n">
        <v>335</v>
      </c>
      <c r="P17" s="10" t="n">
        <v>276</v>
      </c>
      <c r="Q17" s="10" t="n">
        <v>13</v>
      </c>
      <c r="R17" s="11" t="n">
        <f aca="false">SUM(F17:P17)</f>
        <v>3684</v>
      </c>
      <c r="S17" s="11" t="n">
        <f aca="false">R17/11</f>
        <v>334.909090909091</v>
      </c>
      <c r="T17" s="12" t="n">
        <f aca="false">IF(F17=0,"n/a",P17/F17-1)</f>
        <v>0</v>
      </c>
      <c r="U17" s="12" t="n">
        <f aca="false">IF(E17=0,"n/a",P17/E17-1)</f>
        <v>-0.168674698795181</v>
      </c>
    </row>
    <row r="18" customFormat="false" ht="15" hidden="false" customHeight="false" outlineLevel="0" collapsed="false">
      <c r="A18" s="9" t="n">
        <v>12</v>
      </c>
      <c r="B18" s="9" t="s">
        <v>63</v>
      </c>
      <c r="C18" s="9" t="s">
        <v>58</v>
      </c>
      <c r="D18" s="10" t="n">
        <v>240</v>
      </c>
      <c r="E18" s="10" t="n">
        <v>21</v>
      </c>
      <c r="F18" s="10" t="n">
        <v>10</v>
      </c>
      <c r="G18" s="10" t="n">
        <v>17</v>
      </c>
      <c r="H18" s="10" t="n">
        <v>14</v>
      </c>
      <c r="I18" s="10" t="n">
        <v>14</v>
      </c>
      <c r="J18" s="10" t="n">
        <v>13</v>
      </c>
      <c r="K18" s="10" t="n">
        <v>17</v>
      </c>
      <c r="L18" s="10" t="n">
        <v>23</v>
      </c>
      <c r="M18" s="10" t="n">
        <v>31</v>
      </c>
      <c r="N18" s="10" t="n">
        <v>24</v>
      </c>
      <c r="O18" s="10" t="n">
        <v>86</v>
      </c>
      <c r="P18" s="10" t="n">
        <v>249</v>
      </c>
      <c r="Q18" s="10" t="n">
        <v>0</v>
      </c>
      <c r="R18" s="11" t="n">
        <f aca="false">SUM(F18:P18)</f>
        <v>498</v>
      </c>
      <c r="S18" s="11" t="n">
        <f aca="false">R18/11</f>
        <v>45.2727272727273</v>
      </c>
      <c r="T18" s="12" t="n">
        <f aca="false">IF(F18=0,"n/a",P18/F18-1)</f>
        <v>23.9</v>
      </c>
      <c r="U18" s="12" t="n">
        <f aca="false">IF(E18=0,"n/a",P18/E18-1)</f>
        <v>10.8571428571429</v>
      </c>
    </row>
    <row r="19" customFormat="false" ht="15" hidden="false" customHeight="false" outlineLevel="0" collapsed="false">
      <c r="A19" s="9" t="n">
        <v>13</v>
      </c>
      <c r="B19" s="9" t="s">
        <v>64</v>
      </c>
      <c r="C19" s="9" t="s">
        <v>57</v>
      </c>
      <c r="D19" s="10" t="n">
        <v>4470</v>
      </c>
      <c r="E19" s="10" t="n">
        <v>223</v>
      </c>
      <c r="F19" s="10" t="n">
        <v>248</v>
      </c>
      <c r="G19" s="10" t="n">
        <v>274</v>
      </c>
      <c r="H19" s="10" t="n">
        <v>423</v>
      </c>
      <c r="I19" s="10" t="n">
        <v>538</v>
      </c>
      <c r="J19" s="10" t="n">
        <v>491</v>
      </c>
      <c r="K19" s="10" t="n">
        <v>460</v>
      </c>
      <c r="L19" s="10" t="n">
        <v>309</v>
      </c>
      <c r="M19" s="10" t="n">
        <v>366</v>
      </c>
      <c r="N19" s="10" t="n">
        <v>426</v>
      </c>
      <c r="O19" s="10" t="n">
        <v>356</v>
      </c>
      <c r="P19" s="10" t="n">
        <v>303</v>
      </c>
      <c r="Q19" s="10" t="n">
        <v>14</v>
      </c>
      <c r="R19" s="11" t="n">
        <f aca="false">SUM(F19:P19)</f>
        <v>4194</v>
      </c>
      <c r="S19" s="11" t="n">
        <f aca="false">R19/11</f>
        <v>381.272727272727</v>
      </c>
      <c r="T19" s="12" t="n">
        <f aca="false">IF(F19=0,"n/a",P19/F19-1)</f>
        <v>0.221774193548387</v>
      </c>
      <c r="U19" s="12" t="n">
        <f aca="false">IF(E19=0,"n/a",P19/E19-1)</f>
        <v>0.358744394618834</v>
      </c>
    </row>
    <row r="20" customFormat="false" ht="15" hidden="false" customHeight="false" outlineLevel="0" collapsed="false">
      <c r="A20" s="9" t="n">
        <v>14</v>
      </c>
      <c r="B20" s="9" t="s">
        <v>64</v>
      </c>
      <c r="C20" s="9" t="s">
        <v>58</v>
      </c>
      <c r="D20" s="10" t="n">
        <v>70</v>
      </c>
      <c r="E20" s="10" t="n">
        <v>5</v>
      </c>
      <c r="F20" s="10" t="n">
        <v>2</v>
      </c>
      <c r="G20" s="10" t="n">
        <v>9</v>
      </c>
      <c r="H20" s="10" t="n">
        <v>3</v>
      </c>
      <c r="I20" s="10" t="n">
        <v>8</v>
      </c>
      <c r="J20" s="10" t="n">
        <v>8</v>
      </c>
      <c r="K20" s="10" t="n">
        <v>12</v>
      </c>
      <c r="L20" s="10" t="n">
        <v>6</v>
      </c>
      <c r="M20" s="10" t="n">
        <v>3</v>
      </c>
      <c r="N20" s="10" t="n">
        <v>0</v>
      </c>
      <c r="O20" s="10" t="n">
        <v>3</v>
      </c>
      <c r="P20" s="10" t="n">
        <v>5</v>
      </c>
      <c r="Q20" s="10" t="n">
        <v>0</v>
      </c>
      <c r="R20" s="11" t="n">
        <f aca="false">SUM(F20:P20)</f>
        <v>59</v>
      </c>
      <c r="S20" s="11" t="n">
        <f aca="false">R20/11</f>
        <v>5.36363636363636</v>
      </c>
      <c r="T20" s="12" t="n">
        <f aca="false">IF(F20=0,"n/a",P20/F20-1)</f>
        <v>1.5</v>
      </c>
      <c r="U20" s="12" t="n">
        <f aca="false">IF(E20=0,"n/a",P20/E20-1)</f>
        <v>0</v>
      </c>
    </row>
    <row r="21" customFormat="false" ht="15" hidden="false" customHeight="false" outlineLevel="0" collapsed="false">
      <c r="A21" s="9" t="n">
        <v>15</v>
      </c>
      <c r="B21" s="9" t="s">
        <v>65</v>
      </c>
      <c r="C21" s="9" t="s">
        <v>57</v>
      </c>
      <c r="D21" s="10" t="n">
        <v>80581</v>
      </c>
      <c r="E21" s="10" t="n">
        <v>5955</v>
      </c>
      <c r="F21" s="10" t="n">
        <v>4360</v>
      </c>
      <c r="G21" s="10" t="n">
        <v>5564</v>
      </c>
      <c r="H21" s="10" t="n">
        <v>5943</v>
      </c>
      <c r="I21" s="10" t="n">
        <v>6635</v>
      </c>
      <c r="J21" s="10" t="n">
        <v>6284</v>
      </c>
      <c r="K21" s="10" t="n">
        <v>7230</v>
      </c>
      <c r="L21" s="10" t="n">
        <v>7146</v>
      </c>
      <c r="M21" s="10" t="n">
        <v>7789</v>
      </c>
      <c r="N21" s="10" t="n">
        <v>8953</v>
      </c>
      <c r="O21" s="10" t="n">
        <v>8761</v>
      </c>
      <c r="P21" s="10" t="n">
        <v>8467</v>
      </c>
      <c r="Q21" s="10" t="n">
        <v>562</v>
      </c>
      <c r="R21" s="11" t="n">
        <f aca="false">SUM(F21:P21)</f>
        <v>77132</v>
      </c>
      <c r="S21" s="11" t="n">
        <f aca="false">R21/11</f>
        <v>7012</v>
      </c>
      <c r="T21" s="12" t="n">
        <f aca="false">IF(F21=0,"n/a",P21/F21-1)</f>
        <v>0.94197247706422</v>
      </c>
      <c r="U21" s="12" t="n">
        <f aca="false">IF(E21=0,"n/a",P21/E21-1)</f>
        <v>0.421830394626364</v>
      </c>
    </row>
    <row r="22" customFormat="false" ht="15" hidden="false" customHeight="false" outlineLevel="0" collapsed="false">
      <c r="A22" s="9" t="n">
        <v>16</v>
      </c>
      <c r="B22" s="9" t="s">
        <v>65</v>
      </c>
      <c r="C22" s="9" t="s">
        <v>58</v>
      </c>
      <c r="D22" s="10" t="n">
        <v>969</v>
      </c>
      <c r="E22" s="10" t="n">
        <v>74</v>
      </c>
      <c r="F22" s="10" t="n">
        <v>37</v>
      </c>
      <c r="G22" s="10" t="n">
        <v>79</v>
      </c>
      <c r="H22" s="10" t="n">
        <v>75</v>
      </c>
      <c r="I22" s="10" t="n">
        <v>93</v>
      </c>
      <c r="J22" s="10" t="n">
        <v>84</v>
      </c>
      <c r="K22" s="10" t="n">
        <v>75</v>
      </c>
      <c r="L22" s="10" t="n">
        <v>76</v>
      </c>
      <c r="M22" s="10" t="n">
        <v>97</v>
      </c>
      <c r="N22" s="10" t="n">
        <v>87</v>
      </c>
      <c r="O22" s="10" t="n">
        <v>74</v>
      </c>
      <c r="P22" s="10" t="n">
        <v>62</v>
      </c>
      <c r="Q22" s="10" t="n">
        <v>0</v>
      </c>
      <c r="R22" s="11" t="n">
        <f aca="false">SUM(F22:P22)</f>
        <v>839</v>
      </c>
      <c r="S22" s="11" t="n">
        <f aca="false">R22/11</f>
        <v>76.2727272727273</v>
      </c>
      <c r="T22" s="12" t="n">
        <f aca="false">IF(F22=0,"n/a",P22/F22-1)</f>
        <v>0.675675675675676</v>
      </c>
      <c r="U22" s="12" t="n">
        <f aca="false">IF(E22=0,"n/a",P22/E22-1)</f>
        <v>-0.162162162162162</v>
      </c>
    </row>
    <row r="23" customFormat="false" ht="15" hidden="false" customHeight="false" outlineLevel="0" collapsed="false">
      <c r="A23" s="9" t="n">
        <v>17</v>
      </c>
      <c r="B23" s="9" t="s">
        <v>66</v>
      </c>
      <c r="C23" s="9" t="s">
        <v>57</v>
      </c>
      <c r="D23" s="10" t="n">
        <v>286830</v>
      </c>
      <c r="E23" s="10" t="n">
        <v>16570</v>
      </c>
      <c r="F23" s="10" t="n">
        <v>16072</v>
      </c>
      <c r="G23" s="10" t="n">
        <v>18230</v>
      </c>
      <c r="H23" s="10" t="n">
        <v>19443</v>
      </c>
      <c r="I23" s="10" t="n">
        <v>22424</v>
      </c>
      <c r="J23" s="10" t="n">
        <v>25102</v>
      </c>
      <c r="K23" s="10" t="n">
        <v>30133</v>
      </c>
      <c r="L23" s="10" t="n">
        <v>31410</v>
      </c>
      <c r="M23" s="10" t="n">
        <v>30580</v>
      </c>
      <c r="N23" s="10" t="n">
        <v>35221</v>
      </c>
      <c r="O23" s="10" t="n">
        <v>38843</v>
      </c>
      <c r="P23" s="10" t="n">
        <v>42373</v>
      </c>
      <c r="Q23" s="10" t="n">
        <v>7519</v>
      </c>
      <c r="R23" s="11" t="n">
        <f aca="false">SUM(F23:P23)</f>
        <v>309831</v>
      </c>
      <c r="S23" s="11" t="n">
        <f aca="false">R23/11</f>
        <v>28166.4545454545</v>
      </c>
      <c r="T23" s="12" t="n">
        <f aca="false">IF(F23=0,"n/a",P23/F23-1)</f>
        <v>1.63644848183176</v>
      </c>
      <c r="U23" s="12" t="n">
        <f aca="false">IF(E23=0,"n/a",P23/E23-1)</f>
        <v>1.55721182860591</v>
      </c>
    </row>
    <row r="24" customFormat="false" ht="15" hidden="false" customHeight="false" outlineLevel="0" collapsed="false">
      <c r="A24" s="9" t="n">
        <v>18</v>
      </c>
      <c r="B24" s="9" t="s">
        <v>66</v>
      </c>
      <c r="C24" s="9" t="s">
        <v>58</v>
      </c>
      <c r="D24" s="10" t="n">
        <v>1241</v>
      </c>
      <c r="E24" s="10" t="n">
        <v>87</v>
      </c>
      <c r="F24" s="10" t="n">
        <v>76</v>
      </c>
      <c r="G24" s="10" t="n">
        <v>92</v>
      </c>
      <c r="H24" s="10" t="n">
        <v>72</v>
      </c>
      <c r="I24" s="10" t="n">
        <v>64</v>
      </c>
      <c r="J24" s="10" t="n">
        <v>101</v>
      </c>
      <c r="K24" s="10" t="n">
        <v>128</v>
      </c>
      <c r="L24" s="10" t="n">
        <v>126</v>
      </c>
      <c r="M24" s="10" t="n">
        <v>136</v>
      </c>
      <c r="N24" s="10" t="n">
        <v>126</v>
      </c>
      <c r="O24" s="10" t="n">
        <v>264</v>
      </c>
      <c r="P24" s="10" t="n">
        <v>272</v>
      </c>
      <c r="Q24" s="10" t="n">
        <v>0</v>
      </c>
      <c r="R24" s="11" t="n">
        <f aca="false">SUM(F24:P24)</f>
        <v>1457</v>
      </c>
      <c r="S24" s="11" t="n">
        <f aca="false">R24/11</f>
        <v>132.454545454545</v>
      </c>
      <c r="T24" s="12" t="n">
        <f aca="false">IF(F24=0,"n/a",P24/F24-1)</f>
        <v>2.57894736842105</v>
      </c>
      <c r="U24" s="12" t="n">
        <f aca="false">IF(E24=0,"n/a",P24/E24-1)</f>
        <v>2.1264367816092</v>
      </c>
    </row>
    <row r="25" customFormat="false" ht="15" hidden="false" customHeight="false" outlineLevel="0" collapsed="false">
      <c r="A25" s="9" t="n">
        <v>19</v>
      </c>
      <c r="B25" s="9" t="s">
        <v>67</v>
      </c>
      <c r="C25" s="9" t="s">
        <v>57</v>
      </c>
      <c r="D25" s="10" t="n">
        <v>213489</v>
      </c>
      <c r="E25" s="10" t="n">
        <v>16832</v>
      </c>
      <c r="F25" s="10" t="n">
        <v>14971</v>
      </c>
      <c r="G25" s="10" t="n">
        <v>15142</v>
      </c>
      <c r="H25" s="10" t="n">
        <v>15299</v>
      </c>
      <c r="I25" s="10" t="n">
        <v>18002</v>
      </c>
      <c r="J25" s="10" t="n">
        <v>16625</v>
      </c>
      <c r="K25" s="10" t="n">
        <v>18235</v>
      </c>
      <c r="L25" s="10" t="n">
        <v>16833</v>
      </c>
      <c r="M25" s="10" t="n">
        <v>16402</v>
      </c>
      <c r="N25" s="10" t="n">
        <v>16330</v>
      </c>
      <c r="O25" s="10" t="n">
        <v>16933</v>
      </c>
      <c r="P25" s="10" t="n">
        <v>12576</v>
      </c>
      <c r="Q25" s="10" t="n">
        <v>177</v>
      </c>
      <c r="R25" s="11" t="n">
        <f aca="false">SUM(F25:P25)</f>
        <v>177348</v>
      </c>
      <c r="S25" s="11" t="n">
        <f aca="false">R25/11</f>
        <v>16122.5454545455</v>
      </c>
      <c r="T25" s="12" t="n">
        <f aca="false">IF(F25=0,"n/a",P25/F25-1)</f>
        <v>-0.15997595351012</v>
      </c>
      <c r="U25" s="12" t="n">
        <f aca="false">IF(E25=0,"n/a",P25/E25-1)</f>
        <v>-0.252851711026616</v>
      </c>
    </row>
    <row r="26" customFormat="false" ht="15" hidden="false" customHeight="false" outlineLevel="0" collapsed="false">
      <c r="A26" s="9" t="n">
        <v>20</v>
      </c>
      <c r="B26" s="9" t="s">
        <v>67</v>
      </c>
      <c r="C26" s="9" t="s">
        <v>58</v>
      </c>
      <c r="D26" s="10" t="n">
        <v>32007</v>
      </c>
      <c r="E26" s="10" t="n">
        <v>2428</v>
      </c>
      <c r="F26" s="10" t="n">
        <v>1843</v>
      </c>
      <c r="G26" s="10" t="n">
        <v>2298</v>
      </c>
      <c r="H26" s="10" t="n">
        <v>2186</v>
      </c>
      <c r="I26" s="10" t="n">
        <v>2338</v>
      </c>
      <c r="J26" s="10" t="n">
        <v>2209</v>
      </c>
      <c r="K26" s="10" t="n">
        <v>3016</v>
      </c>
      <c r="L26" s="10" t="n">
        <v>3269</v>
      </c>
      <c r="M26" s="10" t="n">
        <v>2961</v>
      </c>
      <c r="N26" s="10" t="n">
        <v>3301</v>
      </c>
      <c r="O26" s="10" t="n">
        <v>3301</v>
      </c>
      <c r="P26" s="10" t="n">
        <v>2721</v>
      </c>
      <c r="Q26" s="10" t="n">
        <v>0</v>
      </c>
      <c r="R26" s="11" t="n">
        <f aca="false">SUM(F26:P26)</f>
        <v>29443</v>
      </c>
      <c r="S26" s="11" t="n">
        <f aca="false">R26/11</f>
        <v>2676.63636363636</v>
      </c>
      <c r="T26" s="12" t="n">
        <f aca="false">IF(F26=0,"n/a",P26/F26-1)</f>
        <v>0.476397178513293</v>
      </c>
      <c r="U26" s="12" t="n">
        <f aca="false">IF(E26=0,"n/a",P26/E26-1)</f>
        <v>0.120675453047776</v>
      </c>
    </row>
    <row r="27" customFormat="false" ht="15" hidden="false" customHeight="false" outlineLevel="0" collapsed="false">
      <c r="A27" s="9" t="n">
        <v>21</v>
      </c>
      <c r="B27" s="9" t="s">
        <v>68</v>
      </c>
      <c r="C27" s="9" t="s">
        <v>57</v>
      </c>
      <c r="D27" s="10" t="n">
        <v>7196</v>
      </c>
      <c r="E27" s="10" t="n">
        <v>601</v>
      </c>
      <c r="F27" s="10" t="n">
        <v>451</v>
      </c>
      <c r="G27" s="10" t="n">
        <v>591</v>
      </c>
      <c r="H27" s="10" t="n">
        <v>659</v>
      </c>
      <c r="I27" s="10" t="n">
        <v>656</v>
      </c>
      <c r="J27" s="10" t="n">
        <v>598</v>
      </c>
      <c r="K27" s="10" t="n">
        <v>663</v>
      </c>
      <c r="L27" s="10" t="n">
        <v>507</v>
      </c>
      <c r="M27" s="10" t="n">
        <v>521</v>
      </c>
      <c r="N27" s="10" t="n">
        <v>517</v>
      </c>
      <c r="O27" s="10" t="n">
        <v>436</v>
      </c>
      <c r="P27" s="10" t="n">
        <v>432</v>
      </c>
      <c r="Q27" s="10" t="n">
        <v>49</v>
      </c>
      <c r="R27" s="11" t="n">
        <f aca="false">SUM(F27:P27)</f>
        <v>6031</v>
      </c>
      <c r="S27" s="11" t="n">
        <f aca="false">R27/11</f>
        <v>548.272727272727</v>
      </c>
      <c r="T27" s="12" t="n">
        <f aca="false">IF(F27=0,"n/a",P27/F27-1)</f>
        <v>-0.0421286031042129</v>
      </c>
      <c r="U27" s="12" t="n">
        <f aca="false">IF(E27=0,"n/a",P27/E27-1)</f>
        <v>-0.281198003327787</v>
      </c>
    </row>
    <row r="28" customFormat="false" ht="15" hidden="false" customHeight="false" outlineLevel="0" collapsed="false">
      <c r="A28" s="9" t="n">
        <v>22</v>
      </c>
      <c r="B28" s="9" t="s">
        <v>68</v>
      </c>
      <c r="C28" s="9" t="s">
        <v>58</v>
      </c>
      <c r="D28" s="10" t="n">
        <v>322</v>
      </c>
      <c r="E28" s="10" t="n">
        <v>26</v>
      </c>
      <c r="F28" s="10" t="n">
        <v>7</v>
      </c>
      <c r="G28" s="10" t="n">
        <v>23</v>
      </c>
      <c r="H28" s="10" t="n">
        <v>23</v>
      </c>
      <c r="I28" s="10" t="n">
        <v>40</v>
      </c>
      <c r="J28" s="10" t="n">
        <v>16</v>
      </c>
      <c r="K28" s="10" t="n">
        <v>18</v>
      </c>
      <c r="L28" s="10" t="n">
        <v>27</v>
      </c>
      <c r="M28" s="10" t="n">
        <v>38</v>
      </c>
      <c r="N28" s="10" t="n">
        <v>23</v>
      </c>
      <c r="O28" s="10" t="n">
        <v>26</v>
      </c>
      <c r="P28" s="10" t="n">
        <v>44</v>
      </c>
      <c r="Q28" s="10" t="n">
        <v>0</v>
      </c>
      <c r="R28" s="11" t="n">
        <f aca="false">SUM(F28:P28)</f>
        <v>285</v>
      </c>
      <c r="S28" s="11" t="n">
        <f aca="false">R28/11</f>
        <v>25.9090909090909</v>
      </c>
      <c r="T28" s="12" t="n">
        <f aca="false">IF(F28=0,"n/a",P28/F28-1)</f>
        <v>5.28571428571429</v>
      </c>
      <c r="U28" s="12" t="n">
        <f aca="false">IF(E28=0,"n/a",P28/E28-1)</f>
        <v>0.692307692307692</v>
      </c>
    </row>
    <row r="29" customFormat="false" ht="15" hidden="false" customHeight="false" outlineLevel="0" collapsed="false">
      <c r="A29" s="9" t="n">
        <v>23</v>
      </c>
      <c r="B29" s="9" t="s">
        <v>69</v>
      </c>
      <c r="C29" s="9" t="s">
        <v>57</v>
      </c>
      <c r="D29" s="10" t="n">
        <v>191661</v>
      </c>
      <c r="E29" s="10" t="n">
        <v>6595</v>
      </c>
      <c r="F29" s="10" t="n">
        <v>7896</v>
      </c>
      <c r="G29" s="10" t="n">
        <v>9320</v>
      </c>
      <c r="H29" s="10" t="n">
        <v>11406</v>
      </c>
      <c r="I29" s="10" t="n">
        <v>15571</v>
      </c>
      <c r="J29" s="10" t="n">
        <v>19340</v>
      </c>
      <c r="K29" s="10" t="n">
        <v>23717</v>
      </c>
      <c r="L29" s="10" t="n">
        <v>36897</v>
      </c>
      <c r="M29" s="10" t="n">
        <v>23160</v>
      </c>
      <c r="N29" s="10" t="n">
        <v>23671</v>
      </c>
      <c r="O29" s="10" t="n">
        <v>27780</v>
      </c>
      <c r="P29" s="10" t="n">
        <v>24855</v>
      </c>
      <c r="Q29" s="10" t="n">
        <v>1801</v>
      </c>
      <c r="R29" s="11" t="n">
        <f aca="false">SUM(F29:P29)</f>
        <v>223613</v>
      </c>
      <c r="S29" s="11" t="n">
        <f aca="false">R29/11</f>
        <v>20328.4545454545</v>
      </c>
      <c r="T29" s="12" t="n">
        <f aca="false">IF(F29=0,"n/a",P29/F29-1)</f>
        <v>2.14779635258359</v>
      </c>
      <c r="U29" s="12" t="n">
        <f aca="false">IF(E29=0,"n/a",P29/E29-1)</f>
        <v>2.76876421531463</v>
      </c>
    </row>
    <row r="30" customFormat="false" ht="15" hidden="false" customHeight="false" outlineLevel="0" collapsed="false">
      <c r="A30" s="9" t="n">
        <v>24</v>
      </c>
      <c r="B30" s="9" t="s">
        <v>70</v>
      </c>
      <c r="C30" s="9" t="s">
        <v>57</v>
      </c>
      <c r="D30" s="10" t="n">
        <v>4311</v>
      </c>
      <c r="E30" s="10" t="n">
        <v>309</v>
      </c>
      <c r="F30" s="10" t="n">
        <v>277</v>
      </c>
      <c r="G30" s="10" t="n">
        <v>297</v>
      </c>
      <c r="H30" s="10" t="n">
        <v>309</v>
      </c>
      <c r="I30" s="10" t="n">
        <v>357</v>
      </c>
      <c r="J30" s="10" t="n">
        <v>371</v>
      </c>
      <c r="K30" s="10" t="n">
        <v>423</v>
      </c>
      <c r="L30" s="10" t="n">
        <v>456</v>
      </c>
      <c r="M30" s="10" t="n">
        <v>429</v>
      </c>
      <c r="N30" s="10" t="n">
        <v>455</v>
      </c>
      <c r="O30" s="10" t="n">
        <v>430</v>
      </c>
      <c r="P30" s="10" t="n">
        <v>432</v>
      </c>
      <c r="Q30" s="10" t="n">
        <v>1</v>
      </c>
      <c r="R30" s="11" t="n">
        <f aca="false">SUM(F30:P30)</f>
        <v>4236</v>
      </c>
      <c r="S30" s="11" t="n">
        <f aca="false">R30/11</f>
        <v>385.090909090909</v>
      </c>
      <c r="T30" s="12" t="n">
        <f aca="false">IF(F30=0,"n/a",P30/F30-1)</f>
        <v>0.55956678700361</v>
      </c>
      <c r="U30" s="12" t="n">
        <f aca="false">IF(E30=0,"n/a",P30/E30-1)</f>
        <v>0.398058252427185</v>
      </c>
    </row>
    <row r="31" customFormat="false" ht="15" hidden="false" customHeight="false" outlineLevel="0" collapsed="false">
      <c r="A31" s="9" t="n">
        <v>25</v>
      </c>
      <c r="B31" s="9" t="s">
        <v>71</v>
      </c>
      <c r="C31" s="9" t="s">
        <v>57</v>
      </c>
      <c r="D31" s="10" t="n">
        <v>11600</v>
      </c>
      <c r="E31" s="10" t="n">
        <v>959</v>
      </c>
      <c r="F31" s="10" t="n">
        <v>714</v>
      </c>
      <c r="G31" s="10" t="n">
        <v>763</v>
      </c>
      <c r="H31" s="10" t="n">
        <v>847</v>
      </c>
      <c r="I31" s="10" t="n">
        <v>912</v>
      </c>
      <c r="J31" s="10" t="n">
        <v>897</v>
      </c>
      <c r="K31" s="10" t="n">
        <v>1044</v>
      </c>
      <c r="L31" s="10" t="n">
        <v>983</v>
      </c>
      <c r="M31" s="10" t="n">
        <v>1030</v>
      </c>
      <c r="N31" s="10" t="n">
        <v>1330</v>
      </c>
      <c r="O31" s="10" t="n">
        <v>1332</v>
      </c>
      <c r="P31" s="10" t="n">
        <v>1333</v>
      </c>
      <c r="Q31" s="10" t="n">
        <v>125</v>
      </c>
      <c r="R31" s="11" t="n">
        <f aca="false">SUM(F31:P31)</f>
        <v>11185</v>
      </c>
      <c r="S31" s="11" t="n">
        <f aca="false">R31/11</f>
        <v>1016.81818181818</v>
      </c>
      <c r="T31" s="12" t="n">
        <f aca="false">IF(F31=0,"n/a",P31/F31-1)</f>
        <v>0.866946778711485</v>
      </c>
      <c r="U31" s="12" t="n">
        <f aca="false">IF(E31=0,"n/a",P31/E31-1)</f>
        <v>0.389989572471324</v>
      </c>
    </row>
    <row r="32" customFormat="false" ht="15" hidden="false" customHeight="false" outlineLevel="0" collapsed="false">
      <c r="A32" s="9" t="n">
        <v>26</v>
      </c>
      <c r="B32" s="9" t="s">
        <v>71</v>
      </c>
      <c r="C32" s="9" t="s">
        <v>58</v>
      </c>
      <c r="D32" s="10" t="n">
        <v>654</v>
      </c>
      <c r="E32" s="10" t="n">
        <v>65</v>
      </c>
      <c r="F32" s="10" t="n">
        <v>36</v>
      </c>
      <c r="G32" s="10" t="n">
        <v>35</v>
      </c>
      <c r="H32" s="10" t="n">
        <v>44</v>
      </c>
      <c r="I32" s="10" t="n">
        <v>56</v>
      </c>
      <c r="J32" s="10" t="n">
        <v>45</v>
      </c>
      <c r="K32" s="10" t="n">
        <v>55</v>
      </c>
      <c r="L32" s="10" t="n">
        <v>53</v>
      </c>
      <c r="M32" s="10" t="n">
        <v>52</v>
      </c>
      <c r="N32" s="10" t="n">
        <v>87</v>
      </c>
      <c r="O32" s="10" t="n">
        <v>81</v>
      </c>
      <c r="P32" s="10" t="n">
        <v>64</v>
      </c>
      <c r="Q32" s="10" t="n">
        <v>0</v>
      </c>
      <c r="R32" s="11" t="n">
        <f aca="false">SUM(F32:P32)</f>
        <v>608</v>
      </c>
      <c r="S32" s="11" t="n">
        <f aca="false">R32/11</f>
        <v>55.2727272727273</v>
      </c>
      <c r="T32" s="12" t="n">
        <f aca="false">IF(F32=0,"n/a",P32/F32-1)</f>
        <v>0.777777777777778</v>
      </c>
      <c r="U32" s="12" t="n">
        <f aca="false">IF(E32=0,"n/a",P32/E32-1)</f>
        <v>-0.0153846153846153</v>
      </c>
    </row>
    <row r="33" customFormat="false" ht="15" hidden="false" customHeight="false" outlineLevel="0" collapsed="false">
      <c r="A33" s="9" t="n">
        <v>27</v>
      </c>
      <c r="B33" s="9" t="s">
        <v>72</v>
      </c>
      <c r="C33" s="9" t="s">
        <v>57</v>
      </c>
      <c r="D33" s="10" t="n">
        <v>10298</v>
      </c>
      <c r="E33" s="10" t="n">
        <v>887</v>
      </c>
      <c r="F33" s="10" t="n">
        <v>688</v>
      </c>
      <c r="G33" s="10" t="n">
        <v>798</v>
      </c>
      <c r="H33" s="10" t="n">
        <v>796</v>
      </c>
      <c r="I33" s="10" t="n">
        <v>836</v>
      </c>
      <c r="J33" s="10" t="n">
        <v>782</v>
      </c>
      <c r="K33" s="10" t="n">
        <v>755</v>
      </c>
      <c r="L33" s="10" t="n">
        <v>791</v>
      </c>
      <c r="M33" s="10" t="n">
        <v>775</v>
      </c>
      <c r="N33" s="10" t="n">
        <v>792</v>
      </c>
      <c r="O33" s="10" t="n">
        <v>812</v>
      </c>
      <c r="P33" s="10" t="n">
        <v>778</v>
      </c>
      <c r="Q33" s="10" t="n">
        <v>45</v>
      </c>
      <c r="R33" s="11" t="n">
        <f aca="false">SUM(F33:P33)</f>
        <v>8603</v>
      </c>
      <c r="S33" s="11" t="n">
        <f aca="false">R33/11</f>
        <v>782.090909090909</v>
      </c>
      <c r="T33" s="12" t="n">
        <f aca="false">IF(F33=0,"n/a",P33/F33-1)</f>
        <v>0.130813953488372</v>
      </c>
      <c r="U33" s="12" t="n">
        <f aca="false">IF(E33=0,"n/a",P33/E33-1)</f>
        <v>-0.122886133032694</v>
      </c>
    </row>
    <row r="34" customFormat="false" ht="15" hidden="false" customHeight="false" outlineLevel="0" collapsed="false">
      <c r="A34" s="9" t="n">
        <v>28</v>
      </c>
      <c r="B34" s="9" t="s">
        <v>72</v>
      </c>
      <c r="C34" s="9" t="s">
        <v>58</v>
      </c>
      <c r="D34" s="10" t="n">
        <v>67</v>
      </c>
      <c r="E34" s="10" t="n">
        <v>6</v>
      </c>
      <c r="F34" s="10" t="n">
        <v>4</v>
      </c>
      <c r="G34" s="10" t="n">
        <v>3</v>
      </c>
      <c r="H34" s="10" t="n">
        <v>5</v>
      </c>
      <c r="I34" s="10" t="n">
        <v>3</v>
      </c>
      <c r="J34" s="10" t="n">
        <v>12</v>
      </c>
      <c r="K34" s="10" t="n">
        <v>1</v>
      </c>
      <c r="L34" s="10" t="n">
        <v>4</v>
      </c>
      <c r="M34" s="10" t="n">
        <v>6</v>
      </c>
      <c r="N34" s="10" t="n">
        <v>2</v>
      </c>
      <c r="O34" s="10" t="n">
        <v>2</v>
      </c>
      <c r="P34" s="10" t="n">
        <v>4</v>
      </c>
      <c r="Q34" s="10" t="n">
        <v>0</v>
      </c>
      <c r="R34" s="11" t="n">
        <f aca="false">SUM(F34:P34)</f>
        <v>46</v>
      </c>
      <c r="S34" s="11" t="n">
        <f aca="false">R34/11</f>
        <v>4.18181818181818</v>
      </c>
      <c r="T34" s="12" t="n">
        <f aca="false">IF(F34=0,"n/a",P34/F34-1)</f>
        <v>0</v>
      </c>
      <c r="U34" s="12" t="n">
        <f aca="false">IF(E34=0,"n/a",P34/E34-1)</f>
        <v>-0.333333333333333</v>
      </c>
    </row>
    <row r="38" customFormat="false" ht="15" hidden="false" customHeight="false" outlineLevel="0" collapsed="false">
      <c r="A38" s="4" t="s">
        <v>73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 customFormat="false" ht="23.85" hidden="false" customHeight="false" outlineLevel="0" collapsed="false">
      <c r="A39" s="8" t="s">
        <v>35</v>
      </c>
      <c r="B39" s="8" t="s">
        <v>36</v>
      </c>
      <c r="C39" s="8" t="s">
        <v>37</v>
      </c>
      <c r="D39" s="8" t="s">
        <v>38</v>
      </c>
      <c r="E39" s="8" t="s">
        <v>39</v>
      </c>
      <c r="F39" s="8" t="s">
        <v>40</v>
      </c>
      <c r="G39" s="8" t="s">
        <v>41</v>
      </c>
      <c r="H39" s="8" t="s">
        <v>42</v>
      </c>
      <c r="I39" s="8" t="s">
        <v>43</v>
      </c>
      <c r="J39" s="8" t="s">
        <v>44</v>
      </c>
      <c r="K39" s="8" t="s">
        <v>45</v>
      </c>
      <c r="L39" s="8" t="s">
        <v>46</v>
      </c>
      <c r="M39" s="8" t="s">
        <v>47</v>
      </c>
      <c r="N39" s="8" t="s">
        <v>48</v>
      </c>
      <c r="O39" s="8" t="s">
        <v>49</v>
      </c>
      <c r="P39" s="8" t="s">
        <v>50</v>
      </c>
      <c r="Q39" s="8" t="s">
        <v>51</v>
      </c>
      <c r="R39" s="8" t="s">
        <v>74</v>
      </c>
      <c r="S39" s="8" t="s">
        <v>54</v>
      </c>
      <c r="T39" s="8" t="s">
        <v>55</v>
      </c>
      <c r="U39" s="8" t="s">
        <v>75</v>
      </c>
    </row>
    <row r="40" customFormat="false" ht="15" hidden="false" customHeight="false" outlineLevel="0" collapsed="false">
      <c r="A40" s="9" t="n">
        <v>1</v>
      </c>
      <c r="B40" s="9" t="s">
        <v>56</v>
      </c>
      <c r="C40" s="9" t="s">
        <v>57</v>
      </c>
      <c r="D40" s="10" t="n">
        <v>35881</v>
      </c>
      <c r="E40" s="13" t="n">
        <v>61.17</v>
      </c>
      <c r="F40" s="13" t="n">
        <v>55.3</v>
      </c>
      <c r="G40" s="13" t="n">
        <v>55.16</v>
      </c>
      <c r="H40" s="13" t="n">
        <v>54.57</v>
      </c>
      <c r="I40" s="13" t="n">
        <v>57.33</v>
      </c>
      <c r="J40" s="13" t="n">
        <v>61.59</v>
      </c>
      <c r="K40" s="13" t="n">
        <v>65.23</v>
      </c>
      <c r="L40" s="13" t="n">
        <v>66.53</v>
      </c>
      <c r="M40" s="13" t="n">
        <v>61</v>
      </c>
      <c r="N40" s="13" t="n">
        <v>67.53</v>
      </c>
      <c r="O40" s="13" t="n">
        <v>60.46</v>
      </c>
      <c r="P40" s="13" t="n">
        <v>58.26</v>
      </c>
      <c r="Q40" s="13" t="n">
        <v>62.9</v>
      </c>
      <c r="R40" s="14" t="n">
        <f aca="false">IFERROR(SUMPRODUCT(F40:P40,F7:P7)/SUM(F7:P7),"n/a")</f>
        <v>60.5637901738672</v>
      </c>
      <c r="S40" s="12" t="n">
        <f aca="false">IF(F40=0,"n/a",P40/F40-1)</f>
        <v>0.0535262206148281</v>
      </c>
      <c r="T40" s="12" t="n">
        <f aca="false">IF(E40=0,"n/a",P40/E40-1)</f>
        <v>-0.0475723393820501</v>
      </c>
    </row>
    <row r="41" customFormat="false" ht="15" hidden="false" customHeight="false" outlineLevel="0" collapsed="false">
      <c r="A41" s="9" t="n">
        <v>2</v>
      </c>
      <c r="B41" s="9" t="s">
        <v>56</v>
      </c>
      <c r="C41" s="9" t="s">
        <v>58</v>
      </c>
      <c r="D41" s="10" t="n">
        <v>4974</v>
      </c>
      <c r="E41" s="13" t="n">
        <v>28.96</v>
      </c>
      <c r="F41" s="13" t="n">
        <v>30.02</v>
      </c>
      <c r="G41" s="13" t="n">
        <v>28.03</v>
      </c>
      <c r="H41" s="13" t="n">
        <v>34.41</v>
      </c>
      <c r="I41" s="13" t="n">
        <v>26.93</v>
      </c>
      <c r="J41" s="13" t="n">
        <v>29.09</v>
      </c>
      <c r="K41" s="13" t="n">
        <v>60.02</v>
      </c>
      <c r="L41" s="13" t="n">
        <v>39.94</v>
      </c>
      <c r="M41" s="13" t="n">
        <v>36.66</v>
      </c>
      <c r="N41" s="13" t="n">
        <v>32.41</v>
      </c>
      <c r="O41" s="13" t="n">
        <v>33.07</v>
      </c>
      <c r="P41" s="13" t="n">
        <v>31.48</v>
      </c>
      <c r="Q41" s="13" t="n">
        <v>0</v>
      </c>
      <c r="R41" s="14" t="n">
        <f aca="false">IFERROR(SUMPRODUCT(F41:P41,F8:P8)/SUM(F8:P8),"n/a")</f>
        <v>35.0313822447102</v>
      </c>
      <c r="S41" s="12" t="n">
        <f aca="false">IF(F41=0,"n/a",P41/F41-1)</f>
        <v>0.0486342438374416</v>
      </c>
      <c r="T41" s="12" t="n">
        <f aca="false">IF(E41=0,"n/a",P41/E41-1)</f>
        <v>0.0870165745856353</v>
      </c>
    </row>
    <row r="42" customFormat="false" ht="15" hidden="false" customHeight="false" outlineLevel="0" collapsed="false">
      <c r="A42" s="9" t="n">
        <v>3</v>
      </c>
      <c r="B42" s="9" t="s">
        <v>59</v>
      </c>
      <c r="C42" s="9" t="s">
        <v>57</v>
      </c>
      <c r="D42" s="10" t="n">
        <v>24378</v>
      </c>
      <c r="E42" s="13" t="n">
        <v>83.65</v>
      </c>
      <c r="F42" s="13" t="n">
        <v>85.37</v>
      </c>
      <c r="G42" s="13" t="n">
        <v>84.36</v>
      </c>
      <c r="H42" s="13" t="n">
        <v>79.05</v>
      </c>
      <c r="I42" s="13" t="n">
        <v>78.3</v>
      </c>
      <c r="J42" s="13" t="n">
        <v>97.73</v>
      </c>
      <c r="K42" s="13" t="n">
        <v>105.08</v>
      </c>
      <c r="L42" s="13" t="n">
        <v>86.23</v>
      </c>
      <c r="M42" s="13" t="n">
        <v>90.35</v>
      </c>
      <c r="N42" s="13" t="n">
        <v>109.91</v>
      </c>
      <c r="O42" s="13" t="n">
        <v>108.89</v>
      </c>
      <c r="P42" s="13" t="n">
        <v>89</v>
      </c>
      <c r="Q42" s="13" t="n">
        <v>99.06</v>
      </c>
      <c r="R42" s="14" t="n">
        <f aca="false">IFERROR(SUMPRODUCT(F42:P42,F9:P9)/SUM(F9:P9),"n/a")</f>
        <v>92.8625367843442</v>
      </c>
      <c r="S42" s="12" t="n">
        <f aca="false">IF(F42=0,"n/a",P42/F42-1)</f>
        <v>0.042520791847253</v>
      </c>
      <c r="T42" s="12" t="n">
        <f aca="false">IF(E42=0,"n/a",P42/E42-1)</f>
        <v>0.0639569635385535</v>
      </c>
    </row>
    <row r="43" customFormat="false" ht="15" hidden="false" customHeight="false" outlineLevel="0" collapsed="false">
      <c r="A43" s="9" t="n">
        <v>4</v>
      </c>
      <c r="B43" s="9" t="s">
        <v>59</v>
      </c>
      <c r="C43" s="9" t="s">
        <v>58</v>
      </c>
      <c r="D43" s="10" t="n">
        <v>1945</v>
      </c>
      <c r="E43" s="13" t="n">
        <v>160.57</v>
      </c>
      <c r="F43" s="13" t="n">
        <v>248.07</v>
      </c>
      <c r="G43" s="13" t="n">
        <v>62.66</v>
      </c>
      <c r="H43" s="13" t="n">
        <v>89.14</v>
      </c>
      <c r="I43" s="13" t="n">
        <v>74.67</v>
      </c>
      <c r="J43" s="13" t="n">
        <v>83.27</v>
      </c>
      <c r="K43" s="13" t="n">
        <v>79.28</v>
      </c>
      <c r="L43" s="13" t="n">
        <v>88.62</v>
      </c>
      <c r="M43" s="13" t="n">
        <v>88.38</v>
      </c>
      <c r="N43" s="13" t="n">
        <v>114.14</v>
      </c>
      <c r="O43" s="13" t="n">
        <v>93.09</v>
      </c>
      <c r="P43" s="13" t="n">
        <v>74.77</v>
      </c>
      <c r="Q43" s="13" t="n">
        <v>0</v>
      </c>
      <c r="R43" s="14" t="n">
        <f aca="false">IFERROR(SUMPRODUCT(F43:P43,F10:P10)/SUM(F10:P10),"n/a")</f>
        <v>91.9337608142494</v>
      </c>
      <c r="S43" s="12" t="n">
        <f aca="false">IF(F43=0,"n/a",P43/F43-1)</f>
        <v>-0.698593139033337</v>
      </c>
      <c r="T43" s="12" t="n">
        <f aca="false">IF(E43=0,"n/a",P43/E43-1)</f>
        <v>-0.534346390982126</v>
      </c>
    </row>
    <row r="44" customFormat="false" ht="15" hidden="false" customHeight="false" outlineLevel="0" collapsed="false">
      <c r="A44" s="9" t="n">
        <v>5</v>
      </c>
      <c r="B44" s="9" t="s">
        <v>60</v>
      </c>
      <c r="C44" s="9" t="s">
        <v>57</v>
      </c>
      <c r="D44" s="10" t="n">
        <v>132558</v>
      </c>
      <c r="E44" s="13" t="n">
        <v>2.56</v>
      </c>
      <c r="F44" s="13" t="n">
        <v>2.41</v>
      </c>
      <c r="G44" s="13" t="n">
        <v>2.58</v>
      </c>
      <c r="H44" s="13" t="n">
        <v>2.6</v>
      </c>
      <c r="I44" s="13" t="n">
        <v>2.77</v>
      </c>
      <c r="J44" s="13" t="n">
        <v>2.92</v>
      </c>
      <c r="K44" s="13" t="n">
        <v>3.23</v>
      </c>
      <c r="L44" s="13" t="n">
        <v>3.47</v>
      </c>
      <c r="M44" s="13" t="n">
        <v>3.46</v>
      </c>
      <c r="N44" s="13" t="n">
        <v>3.85</v>
      </c>
      <c r="O44" s="13" t="n">
        <v>4.16</v>
      </c>
      <c r="P44" s="13" t="n">
        <v>4.71</v>
      </c>
      <c r="Q44" s="13" t="n">
        <v>4.68</v>
      </c>
      <c r="R44" s="14" t="n">
        <f aca="false">IFERROR(SUMPRODUCT(F44:P44,F11:P11)/SUM(F11:P11),"n/a")</f>
        <v>3.6650293522321</v>
      </c>
      <c r="S44" s="12" t="n">
        <f aca="false">IF(F44=0,"n/a",P44/F44-1)</f>
        <v>0.954356846473029</v>
      </c>
      <c r="T44" s="12" t="n">
        <f aca="false">IF(E44=0,"n/a",P44/E44-1)</f>
        <v>0.83984375</v>
      </c>
    </row>
    <row r="45" customFormat="false" ht="15" hidden="false" customHeight="false" outlineLevel="0" collapsed="false">
      <c r="A45" s="9" t="n">
        <v>6</v>
      </c>
      <c r="B45" s="9" t="s">
        <v>60</v>
      </c>
      <c r="C45" s="9" t="s">
        <v>58</v>
      </c>
      <c r="D45" s="10" t="n">
        <v>13102</v>
      </c>
      <c r="E45" s="13" t="n">
        <v>4.06</v>
      </c>
      <c r="F45" s="13" t="n">
        <v>4</v>
      </c>
      <c r="G45" s="13" t="n">
        <v>3.93</v>
      </c>
      <c r="H45" s="13" t="n">
        <v>4.1</v>
      </c>
      <c r="I45" s="13" t="n">
        <v>3.94</v>
      </c>
      <c r="J45" s="13" t="n">
        <v>4.19</v>
      </c>
      <c r="K45" s="13" t="n">
        <v>4.64</v>
      </c>
      <c r="L45" s="13" t="n">
        <v>4.74</v>
      </c>
      <c r="M45" s="13" t="n">
        <v>5.62</v>
      </c>
      <c r="N45" s="13" t="n">
        <v>6.18</v>
      </c>
      <c r="O45" s="13" t="n">
        <v>6.55</v>
      </c>
      <c r="P45" s="13" t="n">
        <v>7.58</v>
      </c>
      <c r="Q45" s="13" t="n">
        <v>0</v>
      </c>
      <c r="R45" s="14" t="n">
        <f aca="false">IFERROR(SUMPRODUCT(F45:P45,F12:P12)/SUM(F12:P12),"n/a")</f>
        <v>5.81937646647696</v>
      </c>
      <c r="S45" s="12" t="n">
        <f aca="false">IF(F45=0,"n/a",P45/F45-1)</f>
        <v>0.895</v>
      </c>
      <c r="T45" s="12" t="n">
        <f aca="false">IF(E45=0,"n/a",P45/E45-1)</f>
        <v>0.866995073891626</v>
      </c>
    </row>
    <row r="46" customFormat="false" ht="15" hidden="false" customHeight="false" outlineLevel="0" collapsed="false">
      <c r="A46" s="9" t="n">
        <v>7</v>
      </c>
      <c r="B46" s="9" t="s">
        <v>61</v>
      </c>
      <c r="C46" s="9" t="s">
        <v>57</v>
      </c>
      <c r="D46" s="10" t="n">
        <v>49237</v>
      </c>
      <c r="E46" s="13" t="n">
        <v>1.18</v>
      </c>
      <c r="F46" s="13" t="n">
        <v>1.06</v>
      </c>
      <c r="G46" s="13" t="n">
        <v>1.08</v>
      </c>
      <c r="H46" s="13" t="n">
        <v>1.1</v>
      </c>
      <c r="I46" s="13" t="n">
        <v>1.12</v>
      </c>
      <c r="J46" s="13" t="n">
        <v>1.11</v>
      </c>
      <c r="K46" s="13" t="n">
        <v>1.12</v>
      </c>
      <c r="L46" s="13" t="n">
        <v>1.01</v>
      </c>
      <c r="M46" s="13" t="n">
        <v>1.06</v>
      </c>
      <c r="N46" s="13" t="n">
        <v>1.16</v>
      </c>
      <c r="O46" s="13" t="n">
        <v>1.06</v>
      </c>
      <c r="P46" s="13" t="n">
        <v>1.11</v>
      </c>
      <c r="Q46" s="13" t="n">
        <v>1.08</v>
      </c>
      <c r="R46" s="14" t="n">
        <f aca="false">IFERROR(SUMPRODUCT(F46:P46,F13:P13)/SUM(F13:P13),"n/a")</f>
        <v>1.08244778974698</v>
      </c>
      <c r="S46" s="12" t="n">
        <f aca="false">IF(F46=0,"n/a",P46/F46-1)</f>
        <v>0.0471698113207548</v>
      </c>
      <c r="T46" s="12" t="n">
        <f aca="false">IF(E46=0,"n/a",P46/E46-1)</f>
        <v>-0.0593220338983049</v>
      </c>
    </row>
    <row r="47" customFormat="false" ht="15" hidden="false" customHeight="false" outlineLevel="0" collapsed="false">
      <c r="A47" s="9" t="n">
        <v>8</v>
      </c>
      <c r="B47" s="9" t="s">
        <v>61</v>
      </c>
      <c r="C47" s="9" t="s">
        <v>58</v>
      </c>
      <c r="D47" s="10" t="n">
        <v>434</v>
      </c>
      <c r="E47" s="13" t="n">
        <v>0.94</v>
      </c>
      <c r="F47" s="13" t="n">
        <v>0.92</v>
      </c>
      <c r="G47" s="13" t="n">
        <v>0.95</v>
      </c>
      <c r="H47" s="13" t="n">
        <v>0.97</v>
      </c>
      <c r="I47" s="13" t="n">
        <v>0.95</v>
      </c>
      <c r="J47" s="13" t="n">
        <v>0.93</v>
      </c>
      <c r="K47" s="13" t="n">
        <v>0.94</v>
      </c>
      <c r="L47" s="13" t="n">
        <v>0.86</v>
      </c>
      <c r="M47" s="13" t="n">
        <v>0.84</v>
      </c>
      <c r="N47" s="13" t="n">
        <v>0.94</v>
      </c>
      <c r="O47" s="13" t="n">
        <v>0.85</v>
      </c>
      <c r="P47" s="13" t="n">
        <v>0.93</v>
      </c>
      <c r="Q47" s="13" t="n">
        <v>0</v>
      </c>
      <c r="R47" s="14" t="n">
        <f aca="false">IFERROR(SUMPRODUCT(F47:P47,F14:P14)/SUM(F14:P14),"n/a")</f>
        <v>0.915231607629428</v>
      </c>
      <c r="S47" s="12" t="n">
        <f aca="false">IF(F47=0,"n/a",P47/F47-1)</f>
        <v>0.0108695652173914</v>
      </c>
      <c r="T47" s="12" t="n">
        <f aca="false">IF(E47=0,"n/a",P47/E47-1)</f>
        <v>-0.0106382978723403</v>
      </c>
    </row>
    <row r="48" customFormat="false" ht="15" hidden="false" customHeight="false" outlineLevel="0" collapsed="false">
      <c r="A48" s="9" t="n">
        <v>9</v>
      </c>
      <c r="B48" s="9" t="s">
        <v>62</v>
      </c>
      <c r="C48" s="9" t="s">
        <v>57</v>
      </c>
      <c r="D48" s="10" t="n">
        <v>32479</v>
      </c>
      <c r="E48" s="13" t="n">
        <v>13.12</v>
      </c>
      <c r="F48" s="13" t="n">
        <v>13.64</v>
      </c>
      <c r="G48" s="13" t="n">
        <v>13.78</v>
      </c>
      <c r="H48" s="13" t="n">
        <v>12.75</v>
      </c>
      <c r="I48" s="13" t="n">
        <v>12.63</v>
      </c>
      <c r="J48" s="13" t="n">
        <v>13.58</v>
      </c>
      <c r="K48" s="13" t="n">
        <v>13.06</v>
      </c>
      <c r="L48" s="13" t="n">
        <v>11.91</v>
      </c>
      <c r="M48" s="13" t="n">
        <v>12.79</v>
      </c>
      <c r="N48" s="13" t="n">
        <v>12.44</v>
      </c>
      <c r="O48" s="13" t="n">
        <v>13.43</v>
      </c>
      <c r="P48" s="13" t="n">
        <v>12.93</v>
      </c>
      <c r="Q48" s="13" t="n">
        <v>11.05</v>
      </c>
      <c r="R48" s="14" t="n">
        <f aca="false">IFERROR(SUMPRODUCT(F48:P48,F15:P15)/SUM(F15:P15),"n/a")</f>
        <v>12.9243922841175</v>
      </c>
      <c r="S48" s="12" t="n">
        <f aca="false">IF(F48=0,"n/a",P48/F48-1)</f>
        <v>-0.0520527859237537</v>
      </c>
      <c r="T48" s="12" t="n">
        <f aca="false">IF(E48=0,"n/a",P48/E48-1)</f>
        <v>-0.0144817073170731</v>
      </c>
    </row>
    <row r="49" customFormat="false" ht="15" hidden="false" customHeight="false" outlineLevel="0" collapsed="false">
      <c r="A49" s="9" t="n">
        <v>10</v>
      </c>
      <c r="B49" s="9" t="s">
        <v>62</v>
      </c>
      <c r="C49" s="9" t="s">
        <v>58</v>
      </c>
      <c r="D49" s="10" t="n">
        <v>86</v>
      </c>
      <c r="E49" s="13" t="n">
        <v>9.94</v>
      </c>
      <c r="F49" s="13" t="n">
        <v>10.32</v>
      </c>
      <c r="G49" s="13" t="n">
        <v>17.62</v>
      </c>
      <c r="H49" s="13" t="n">
        <v>8.07</v>
      </c>
      <c r="I49" s="13" t="n">
        <v>7.03</v>
      </c>
      <c r="J49" s="13" t="n">
        <v>13.67</v>
      </c>
      <c r="K49" s="13" t="n">
        <v>20.88</v>
      </c>
      <c r="L49" s="13" t="n">
        <v>12.64</v>
      </c>
      <c r="M49" s="13" t="n">
        <v>6.65</v>
      </c>
      <c r="N49" s="13" t="n">
        <v>0</v>
      </c>
      <c r="O49" s="13" t="n">
        <v>9.11</v>
      </c>
      <c r="P49" s="13" t="n">
        <v>10.66</v>
      </c>
      <c r="Q49" s="13" t="n">
        <v>0</v>
      </c>
      <c r="R49" s="14" t="n">
        <f aca="false">IFERROR(SUMPRODUCT(F49:P49,F16:P16)/SUM(F16:P16),"n/a")</f>
        <v>12.4080769230769</v>
      </c>
      <c r="S49" s="12" t="n">
        <f aca="false">IF(F49=0,"n/a",P49/F49-1)</f>
        <v>0.0329457364341086</v>
      </c>
      <c r="T49" s="12" t="n">
        <f aca="false">IF(E49=0,"n/a",P49/E49-1)</f>
        <v>0.0724346076458753</v>
      </c>
    </row>
    <row r="50" customFormat="false" ht="15" hidden="false" customHeight="false" outlineLevel="0" collapsed="false">
      <c r="A50" s="9" t="n">
        <v>11</v>
      </c>
      <c r="B50" s="9" t="s">
        <v>63</v>
      </c>
      <c r="C50" s="9" t="s">
        <v>57</v>
      </c>
      <c r="D50" s="10" t="n">
        <v>4311</v>
      </c>
      <c r="E50" s="13" t="n">
        <v>5</v>
      </c>
      <c r="F50" s="13" t="n">
        <v>5.08</v>
      </c>
      <c r="G50" s="13" t="n">
        <v>4.93</v>
      </c>
      <c r="H50" s="13" t="n">
        <v>5.11</v>
      </c>
      <c r="I50" s="13" t="n">
        <v>5.01</v>
      </c>
      <c r="J50" s="13" t="n">
        <v>6.02</v>
      </c>
      <c r="K50" s="13" t="n">
        <v>5.23</v>
      </c>
      <c r="L50" s="13" t="n">
        <v>5.49</v>
      </c>
      <c r="M50" s="13" t="n">
        <v>5.04</v>
      </c>
      <c r="N50" s="13" t="n">
        <v>5.13</v>
      </c>
      <c r="O50" s="13" t="n">
        <v>4.98</v>
      </c>
      <c r="P50" s="13" t="n">
        <v>5.2</v>
      </c>
      <c r="Q50" s="13" t="n">
        <v>5.98</v>
      </c>
      <c r="R50" s="14" t="n">
        <f aca="false">IFERROR(SUMPRODUCT(F50:P50,F17:P17)/SUM(F17:P17),"n/a")</f>
        <v>5.19341205211726</v>
      </c>
      <c r="S50" s="12" t="n">
        <f aca="false">IF(F50=0,"n/a",P50/F50-1)</f>
        <v>0.0236220472440944</v>
      </c>
      <c r="T50" s="12" t="n">
        <f aca="false">IF(E50=0,"n/a",P50/E50-1)</f>
        <v>0.04</v>
      </c>
    </row>
    <row r="51" customFormat="false" ht="15" hidden="false" customHeight="false" outlineLevel="0" collapsed="false">
      <c r="A51" s="9" t="n">
        <v>12</v>
      </c>
      <c r="B51" s="9" t="s">
        <v>63</v>
      </c>
      <c r="C51" s="9" t="s">
        <v>58</v>
      </c>
      <c r="D51" s="10" t="n">
        <v>240</v>
      </c>
      <c r="E51" s="13" t="n">
        <v>5.35</v>
      </c>
      <c r="F51" s="13" t="n">
        <v>5.97</v>
      </c>
      <c r="G51" s="13" t="n">
        <v>5.04</v>
      </c>
      <c r="H51" s="13" t="n">
        <v>5.04</v>
      </c>
      <c r="I51" s="13" t="n">
        <v>4.62</v>
      </c>
      <c r="J51" s="13" t="n">
        <v>5.2</v>
      </c>
      <c r="K51" s="13" t="n">
        <v>5.51</v>
      </c>
      <c r="L51" s="13" t="n">
        <v>4.62</v>
      </c>
      <c r="M51" s="13" t="n">
        <v>5.59</v>
      </c>
      <c r="N51" s="13" t="n">
        <v>4.75</v>
      </c>
      <c r="O51" s="13" t="n">
        <v>4.8</v>
      </c>
      <c r="P51" s="13" t="n">
        <v>4.54</v>
      </c>
      <c r="Q51" s="13" t="n">
        <v>0</v>
      </c>
      <c r="R51" s="14" t="n">
        <f aca="false">IFERROR(SUMPRODUCT(F51:P51,F18:P18)/SUM(F18:P18),"n/a")</f>
        <v>4.77650602409639</v>
      </c>
      <c r="S51" s="12" t="n">
        <f aca="false">IF(F51=0,"n/a",P51/F51-1)</f>
        <v>-0.239530988274707</v>
      </c>
      <c r="T51" s="12" t="n">
        <f aca="false">IF(E51=0,"n/a",P51/E51-1)</f>
        <v>-0.151401869158878</v>
      </c>
    </row>
    <row r="52" customFormat="false" ht="15" hidden="false" customHeight="false" outlineLevel="0" collapsed="false">
      <c r="A52" s="9" t="n">
        <v>13</v>
      </c>
      <c r="B52" s="9" t="s">
        <v>64</v>
      </c>
      <c r="C52" s="9" t="s">
        <v>57</v>
      </c>
      <c r="D52" s="10" t="n">
        <v>4470</v>
      </c>
      <c r="E52" s="13" t="n">
        <v>20.63</v>
      </c>
      <c r="F52" s="13" t="n">
        <v>17.8</v>
      </c>
      <c r="G52" s="13" t="n">
        <v>20.83</v>
      </c>
      <c r="H52" s="13" t="n">
        <v>19.23</v>
      </c>
      <c r="I52" s="13" t="n">
        <v>21.85</v>
      </c>
      <c r="J52" s="13" t="n">
        <v>22.99</v>
      </c>
      <c r="K52" s="13" t="n">
        <v>20.84</v>
      </c>
      <c r="L52" s="13" t="n">
        <v>16.68</v>
      </c>
      <c r="M52" s="13" t="n">
        <v>13.83</v>
      </c>
      <c r="N52" s="13" t="n">
        <v>20.98</v>
      </c>
      <c r="O52" s="13" t="n">
        <v>14.76</v>
      </c>
      <c r="P52" s="13" t="n">
        <v>12.02</v>
      </c>
      <c r="Q52" s="13" t="n">
        <v>15.37</v>
      </c>
      <c r="R52" s="14" t="n">
        <f aca="false">IFERROR(SUMPRODUCT(F52:P52,F19:P19)/SUM(F19:P19),"n/a")</f>
        <v>18.8211492608488</v>
      </c>
      <c r="S52" s="12" t="n">
        <f aca="false">IF(F52=0,"n/a",P52/F52-1)</f>
        <v>-0.324719101123596</v>
      </c>
      <c r="T52" s="12" t="n">
        <f aca="false">IF(E52=0,"n/a",P52/E52-1)</f>
        <v>-0.417353368880271</v>
      </c>
    </row>
    <row r="53" customFormat="false" ht="15" hidden="false" customHeight="false" outlineLevel="0" collapsed="false">
      <c r="A53" s="9" t="n">
        <v>14</v>
      </c>
      <c r="B53" s="9" t="s">
        <v>64</v>
      </c>
      <c r="C53" s="9" t="s">
        <v>58</v>
      </c>
      <c r="D53" s="10" t="n">
        <v>70</v>
      </c>
      <c r="E53" s="13" t="n">
        <v>29.8</v>
      </c>
      <c r="F53" s="13" t="n">
        <v>150</v>
      </c>
      <c r="G53" s="13" t="n">
        <v>67.78</v>
      </c>
      <c r="H53" s="13" t="n">
        <v>44.56</v>
      </c>
      <c r="I53" s="13" t="n">
        <v>91.82</v>
      </c>
      <c r="J53" s="13" t="n">
        <v>69.88</v>
      </c>
      <c r="K53" s="13" t="n">
        <v>50.08</v>
      </c>
      <c r="L53" s="13" t="n">
        <v>31.2</v>
      </c>
      <c r="M53" s="13" t="n">
        <v>27</v>
      </c>
      <c r="N53" s="13" t="n">
        <v>0</v>
      </c>
      <c r="O53" s="13" t="n">
        <v>40.41</v>
      </c>
      <c r="P53" s="13" t="n">
        <v>33.42</v>
      </c>
      <c r="Q53" s="13" t="n">
        <v>0</v>
      </c>
      <c r="R53" s="14" t="n">
        <f aca="false">IFERROR(SUMPRODUCT(F53:P53,F20:P20)/SUM(F20:P20),"n/a")</f>
        <v>59.2337288135593</v>
      </c>
      <c r="S53" s="12" t="n">
        <f aca="false">IF(F53=0,"n/a",P53/F53-1)</f>
        <v>-0.7772</v>
      </c>
      <c r="T53" s="12" t="n">
        <f aca="false">IF(E53=0,"n/a",P53/E53-1)</f>
        <v>0.121476510067114</v>
      </c>
    </row>
    <row r="54" customFormat="false" ht="15" hidden="false" customHeight="false" outlineLevel="0" collapsed="false">
      <c r="A54" s="9" t="n">
        <v>15</v>
      </c>
      <c r="B54" s="9" t="s">
        <v>65</v>
      </c>
      <c r="C54" s="9" t="s">
        <v>57</v>
      </c>
      <c r="D54" s="10" t="n">
        <v>80581</v>
      </c>
      <c r="E54" s="13" t="n">
        <v>21.01</v>
      </c>
      <c r="F54" s="13" t="n">
        <v>12.33</v>
      </c>
      <c r="G54" s="13" t="n">
        <v>15.18</v>
      </c>
      <c r="H54" s="13" t="n">
        <v>19.6</v>
      </c>
      <c r="I54" s="13" t="n">
        <v>14.26</v>
      </c>
      <c r="J54" s="13" t="n">
        <v>13.42</v>
      </c>
      <c r="K54" s="13" t="n">
        <v>12.44</v>
      </c>
      <c r="L54" s="13" t="n">
        <v>15.89</v>
      </c>
      <c r="M54" s="13" t="n">
        <v>11.71</v>
      </c>
      <c r="N54" s="13" t="n">
        <v>14.81</v>
      </c>
      <c r="O54" s="13" t="n">
        <v>10.41</v>
      </c>
      <c r="P54" s="13" t="n">
        <v>9.33</v>
      </c>
      <c r="Q54" s="13" t="n">
        <v>13.85</v>
      </c>
      <c r="R54" s="14" t="n">
        <f aca="false">IFERROR(SUMPRODUCT(F54:P54,F21:P21)/SUM(F21:P21),"n/a")</f>
        <v>13.3685484623762</v>
      </c>
      <c r="S54" s="12" t="n">
        <f aca="false">IF(F54=0,"n/a",P54/F54-1)</f>
        <v>-0.24330900243309</v>
      </c>
      <c r="T54" s="12" t="n">
        <f aca="false">IF(E54=0,"n/a",P54/E54-1)</f>
        <v>-0.555925749643027</v>
      </c>
    </row>
    <row r="55" customFormat="false" ht="15" hidden="false" customHeight="false" outlineLevel="0" collapsed="false">
      <c r="A55" s="9" t="n">
        <v>16</v>
      </c>
      <c r="B55" s="9" t="s">
        <v>65</v>
      </c>
      <c r="C55" s="9" t="s">
        <v>58</v>
      </c>
      <c r="D55" s="10" t="n">
        <v>969</v>
      </c>
      <c r="E55" s="13" t="n">
        <v>149.53</v>
      </c>
      <c r="F55" s="13" t="n">
        <v>248.74</v>
      </c>
      <c r="G55" s="13" t="n">
        <v>122.98</v>
      </c>
      <c r="H55" s="13" t="n">
        <v>118.29</v>
      </c>
      <c r="I55" s="13" t="n">
        <v>115.33</v>
      </c>
      <c r="J55" s="13" t="n">
        <v>103.29</v>
      </c>
      <c r="K55" s="13" t="n">
        <v>89.26</v>
      </c>
      <c r="L55" s="13" t="n">
        <v>79.88</v>
      </c>
      <c r="M55" s="13" t="n">
        <v>221.06</v>
      </c>
      <c r="N55" s="13" t="n">
        <v>65.18</v>
      </c>
      <c r="O55" s="13" t="n">
        <v>73.72</v>
      </c>
      <c r="P55" s="13" t="n">
        <v>127.25</v>
      </c>
      <c r="Q55" s="13" t="n">
        <v>0</v>
      </c>
      <c r="R55" s="14" t="n">
        <f aca="false">IFERROR(SUMPRODUCT(F55:P55,F22:P22)/SUM(F22:P22),"n/a")</f>
        <v>119.685625744934</v>
      </c>
      <c r="S55" s="12" t="n">
        <f aca="false">IF(F55=0,"n/a",P55/F55-1)</f>
        <v>-0.48842164509126</v>
      </c>
      <c r="T55" s="12" t="n">
        <f aca="false">IF(E55=0,"n/a",P55/E55-1)</f>
        <v>-0.149000200628636</v>
      </c>
    </row>
    <row r="56" customFormat="false" ht="15" hidden="false" customHeight="false" outlineLevel="0" collapsed="false">
      <c r="A56" s="9" t="n">
        <v>17</v>
      </c>
      <c r="B56" s="9" t="s">
        <v>66</v>
      </c>
      <c r="C56" s="9" t="s">
        <v>57</v>
      </c>
      <c r="D56" s="10" t="n">
        <v>286830</v>
      </c>
      <c r="E56" s="13" t="n">
        <v>2.76</v>
      </c>
      <c r="F56" s="13" t="n">
        <v>2.38</v>
      </c>
      <c r="G56" s="13" t="n">
        <v>2.48</v>
      </c>
      <c r="H56" s="13" t="n">
        <v>2.36</v>
      </c>
      <c r="I56" s="13" t="n">
        <v>2.56</v>
      </c>
      <c r="J56" s="13" t="n">
        <v>2.51</v>
      </c>
      <c r="K56" s="13" t="n">
        <v>2.29</v>
      </c>
      <c r="L56" s="13" t="n">
        <v>2.17</v>
      </c>
      <c r="M56" s="13" t="n">
        <v>2.23</v>
      </c>
      <c r="N56" s="13" t="n">
        <v>2.07</v>
      </c>
      <c r="O56" s="13" t="n">
        <v>1.9</v>
      </c>
      <c r="P56" s="13" t="n">
        <v>1.73</v>
      </c>
      <c r="Q56" s="13" t="n">
        <v>0.97</v>
      </c>
      <c r="R56" s="14" t="n">
        <f aca="false">IFERROR(SUMPRODUCT(F56:P56,F23:P23)/SUM(F23:P23),"n/a")</f>
        <v>2.17902930952681</v>
      </c>
      <c r="S56" s="12" t="n">
        <f aca="false">IF(F56=0,"n/a",P56/F56-1)</f>
        <v>-0.273109243697479</v>
      </c>
      <c r="T56" s="12" t="n">
        <f aca="false">IF(E56=0,"n/a",P56/E56-1)</f>
        <v>-0.373188405797101</v>
      </c>
    </row>
    <row r="57" customFormat="false" ht="15" hidden="false" customHeight="false" outlineLevel="0" collapsed="false">
      <c r="A57" s="9" t="n">
        <v>18</v>
      </c>
      <c r="B57" s="9" t="s">
        <v>66</v>
      </c>
      <c r="C57" s="9" t="s">
        <v>58</v>
      </c>
      <c r="D57" s="10" t="n">
        <v>1241</v>
      </c>
      <c r="E57" s="13" t="n">
        <v>3.92</v>
      </c>
      <c r="F57" s="13" t="n">
        <v>4.06</v>
      </c>
      <c r="G57" s="13" t="n">
        <v>3.86</v>
      </c>
      <c r="H57" s="13" t="n">
        <v>4.39</v>
      </c>
      <c r="I57" s="13" t="n">
        <v>4.11</v>
      </c>
      <c r="J57" s="13" t="n">
        <v>4.29</v>
      </c>
      <c r="K57" s="13" t="n">
        <v>4.04</v>
      </c>
      <c r="L57" s="13" t="n">
        <v>3.87</v>
      </c>
      <c r="M57" s="13" t="n">
        <v>3.79</v>
      </c>
      <c r="N57" s="13" t="n">
        <v>3.89</v>
      </c>
      <c r="O57" s="13" t="n">
        <v>4.06</v>
      </c>
      <c r="P57" s="13" t="n">
        <v>3.77</v>
      </c>
      <c r="Q57" s="13" t="n">
        <v>0</v>
      </c>
      <c r="R57" s="14" t="n">
        <f aca="false">IFERROR(SUMPRODUCT(F57:P57,F24:P24)/SUM(F24:P24),"n/a")</f>
        <v>3.96958819492107</v>
      </c>
      <c r="S57" s="12" t="n">
        <f aca="false">IF(F57=0,"n/a",P57/F57-1)</f>
        <v>-0.0714285714285713</v>
      </c>
      <c r="T57" s="12" t="n">
        <f aca="false">IF(E57=0,"n/a",P57/E57-1)</f>
        <v>-0.0382653061224489</v>
      </c>
    </row>
    <row r="58" customFormat="false" ht="15" hidden="false" customHeight="false" outlineLevel="0" collapsed="false">
      <c r="A58" s="9" t="n">
        <v>19</v>
      </c>
      <c r="B58" s="9" t="s">
        <v>67</v>
      </c>
      <c r="C58" s="9" t="s">
        <v>57</v>
      </c>
      <c r="D58" s="10" t="n">
        <v>213489</v>
      </c>
      <c r="E58" s="13" t="n">
        <v>0.73</v>
      </c>
      <c r="F58" s="13" t="n">
        <v>0.73</v>
      </c>
      <c r="G58" s="13" t="n">
        <v>0.7</v>
      </c>
      <c r="H58" s="13" t="n">
        <v>0.66</v>
      </c>
      <c r="I58" s="13" t="n">
        <v>0.64</v>
      </c>
      <c r="J58" s="13" t="n">
        <v>0.65</v>
      </c>
      <c r="K58" s="13" t="n">
        <v>0.59</v>
      </c>
      <c r="L58" s="13" t="n">
        <v>0.59</v>
      </c>
      <c r="M58" s="13" t="n">
        <v>0.53</v>
      </c>
      <c r="N58" s="13" t="n">
        <v>0.48</v>
      </c>
      <c r="O58" s="13" t="n">
        <v>0.39</v>
      </c>
      <c r="P58" s="13" t="n">
        <v>0.28</v>
      </c>
      <c r="Q58" s="13" t="n">
        <v>0.22</v>
      </c>
      <c r="R58" s="14" t="n">
        <f aca="false">IFERROR(SUMPRODUCT(F58:P58,F25:P25)/SUM(F25:P25),"n/a")</f>
        <v>0.571192401380337</v>
      </c>
      <c r="S58" s="12" t="n">
        <f aca="false">IF(F58=0,"n/a",P58/F58-1)</f>
        <v>-0.616438356164384</v>
      </c>
      <c r="T58" s="12" t="n">
        <f aca="false">IF(E58=0,"n/a",P58/E58-1)</f>
        <v>-0.616438356164384</v>
      </c>
    </row>
    <row r="59" customFormat="false" ht="15" hidden="false" customHeight="false" outlineLevel="0" collapsed="false">
      <c r="A59" s="9" t="n">
        <v>20</v>
      </c>
      <c r="B59" s="9" t="s">
        <v>67</v>
      </c>
      <c r="C59" s="9" t="s">
        <v>58</v>
      </c>
      <c r="D59" s="10" t="n">
        <v>32007</v>
      </c>
      <c r="E59" s="13" t="n">
        <v>0.63</v>
      </c>
      <c r="F59" s="13" t="n">
        <v>0.6</v>
      </c>
      <c r="G59" s="13" t="n">
        <v>0.6</v>
      </c>
      <c r="H59" s="13" t="n">
        <v>0.62</v>
      </c>
      <c r="I59" s="13" t="n">
        <v>0.5</v>
      </c>
      <c r="J59" s="13" t="n">
        <v>0.51</v>
      </c>
      <c r="K59" s="13" t="n">
        <v>0.53</v>
      </c>
      <c r="L59" s="13" t="n">
        <v>0.46</v>
      </c>
      <c r="M59" s="13" t="n">
        <v>0.49</v>
      </c>
      <c r="N59" s="13" t="n">
        <v>0.41</v>
      </c>
      <c r="O59" s="13" t="n">
        <v>0.32</v>
      </c>
      <c r="P59" s="13" t="n">
        <v>0.31</v>
      </c>
      <c r="Q59" s="13" t="n">
        <v>0</v>
      </c>
      <c r="R59" s="14" t="n">
        <f aca="false">IFERROR(SUMPRODUCT(F59:P59,F26:P26)/SUM(F26:P26),"n/a")</f>
        <v>0.473520361376218</v>
      </c>
      <c r="S59" s="12" t="n">
        <f aca="false">IF(F59=0,"n/a",P59/F59-1)</f>
        <v>-0.483333333333333</v>
      </c>
      <c r="T59" s="12" t="n">
        <f aca="false">IF(E59=0,"n/a",P59/E59-1)</f>
        <v>-0.507936507936508</v>
      </c>
    </row>
    <row r="60" customFormat="false" ht="15" hidden="false" customHeight="false" outlineLevel="0" collapsed="false">
      <c r="A60" s="9" t="n">
        <v>21</v>
      </c>
      <c r="B60" s="9" t="s">
        <v>68</v>
      </c>
      <c r="C60" s="9" t="s">
        <v>57</v>
      </c>
      <c r="D60" s="10" t="n">
        <v>7196</v>
      </c>
      <c r="E60" s="13" t="n">
        <v>7.65</v>
      </c>
      <c r="F60" s="13" t="n">
        <v>7.99</v>
      </c>
      <c r="G60" s="13" t="n">
        <v>4.79</v>
      </c>
      <c r="H60" s="13" t="n">
        <v>7.91</v>
      </c>
      <c r="I60" s="13" t="n">
        <v>7.46</v>
      </c>
      <c r="J60" s="13" t="n">
        <v>5.79</v>
      </c>
      <c r="K60" s="13" t="n">
        <v>7.45</v>
      </c>
      <c r="L60" s="13" t="n">
        <v>8.86</v>
      </c>
      <c r="M60" s="13" t="n">
        <v>6.2</v>
      </c>
      <c r="N60" s="13" t="n">
        <v>7.93</v>
      </c>
      <c r="O60" s="13" t="n">
        <v>5.31</v>
      </c>
      <c r="P60" s="13" t="n">
        <v>4.92</v>
      </c>
      <c r="Q60" s="13" t="n">
        <v>2.76</v>
      </c>
      <c r="R60" s="14" t="n">
        <f aca="false">IFERROR(SUMPRODUCT(F60:P60,F27:P27)/SUM(F27:P27),"n/a")</f>
        <v>6.83223843475377</v>
      </c>
      <c r="S60" s="12" t="n">
        <f aca="false">IF(F60=0,"n/a",P60/F60-1)</f>
        <v>-0.384230287859825</v>
      </c>
      <c r="T60" s="12" t="n">
        <f aca="false">IF(E60=0,"n/a",P60/E60-1)</f>
        <v>-0.356862745098039</v>
      </c>
    </row>
    <row r="61" customFormat="false" ht="15" hidden="false" customHeight="false" outlineLevel="0" collapsed="false">
      <c r="A61" s="9" t="n">
        <v>22</v>
      </c>
      <c r="B61" s="9" t="s">
        <v>68</v>
      </c>
      <c r="C61" s="9" t="s">
        <v>58</v>
      </c>
      <c r="D61" s="10" t="n">
        <v>322</v>
      </c>
      <c r="E61" s="13" t="n">
        <v>3.02</v>
      </c>
      <c r="F61" s="13" t="n">
        <v>2.51</v>
      </c>
      <c r="G61" s="13" t="n">
        <v>3.69</v>
      </c>
      <c r="H61" s="13" t="n">
        <v>7.68</v>
      </c>
      <c r="I61" s="13" t="n">
        <v>5.48</v>
      </c>
      <c r="J61" s="13" t="n">
        <v>7.01</v>
      </c>
      <c r="K61" s="13" t="n">
        <v>3</v>
      </c>
      <c r="L61" s="13" t="n">
        <v>4.68</v>
      </c>
      <c r="M61" s="13" t="n">
        <v>7.83</v>
      </c>
      <c r="N61" s="13" t="n">
        <v>11.39</v>
      </c>
      <c r="O61" s="13" t="n">
        <v>4.55</v>
      </c>
      <c r="P61" s="13" t="n">
        <v>9.07</v>
      </c>
      <c r="Q61" s="13" t="n">
        <v>0</v>
      </c>
      <c r="R61" s="14" t="n">
        <f aca="false">IFERROR(SUMPRODUCT(F61:P61,F28:P28)/SUM(F28:P28),"n/a")</f>
        <v>6.55329824561404</v>
      </c>
      <c r="S61" s="12" t="n">
        <f aca="false">IF(F61=0,"n/a",P61/F61-1)</f>
        <v>2.61354581673307</v>
      </c>
      <c r="T61" s="12" t="n">
        <f aca="false">IF(E61=0,"n/a",P61/E61-1)</f>
        <v>2.00331125827815</v>
      </c>
    </row>
    <row r="62" customFormat="false" ht="15" hidden="false" customHeight="false" outlineLevel="0" collapsed="false">
      <c r="A62" s="9" t="n">
        <v>23</v>
      </c>
      <c r="B62" s="9" t="s">
        <v>69</v>
      </c>
      <c r="C62" s="9" t="s">
        <v>57</v>
      </c>
      <c r="D62" s="10" t="n">
        <v>191661</v>
      </c>
      <c r="E62" s="13" t="n">
        <v>0.43</v>
      </c>
      <c r="F62" s="13" t="n">
        <v>0.42</v>
      </c>
      <c r="G62" s="13" t="n">
        <v>0.43</v>
      </c>
      <c r="H62" s="13" t="n">
        <v>0.35</v>
      </c>
      <c r="I62" s="13" t="n">
        <v>0.34</v>
      </c>
      <c r="J62" s="13" t="n">
        <v>0.34</v>
      </c>
      <c r="K62" s="13" t="n">
        <v>0.29</v>
      </c>
      <c r="L62" s="13" t="n">
        <v>0.29</v>
      </c>
      <c r="M62" s="13" t="n">
        <v>0.28</v>
      </c>
      <c r="N62" s="13" t="n">
        <v>0.28</v>
      </c>
      <c r="O62" s="13" t="n">
        <v>0.31</v>
      </c>
      <c r="P62" s="13" t="n">
        <v>0.3</v>
      </c>
      <c r="Q62" s="13" t="n">
        <v>0.32</v>
      </c>
      <c r="R62" s="14" t="n">
        <f aca="false">IFERROR(SUMPRODUCT(F62:P62,F29:P29)/SUM(F29:P29),"n/a")</f>
        <v>0.31279397888316</v>
      </c>
      <c r="S62" s="12" t="n">
        <f aca="false">IF(F62=0,"n/a",P62/F62-1)</f>
        <v>-0.285714285714286</v>
      </c>
      <c r="T62" s="12" t="n">
        <f aca="false">IF(E62=0,"n/a",P62/E62-1)</f>
        <v>-0.302325581395349</v>
      </c>
    </row>
    <row r="63" customFormat="false" ht="15" hidden="false" customHeight="false" outlineLevel="0" collapsed="false">
      <c r="A63" s="9" t="n">
        <v>24</v>
      </c>
      <c r="B63" s="9" t="s">
        <v>70</v>
      </c>
      <c r="C63" s="9" t="s">
        <v>57</v>
      </c>
      <c r="D63" s="10" t="n">
        <v>4311</v>
      </c>
      <c r="E63" s="13" t="n">
        <v>22.14</v>
      </c>
      <c r="F63" s="13" t="n">
        <v>23.27</v>
      </c>
      <c r="G63" s="13" t="n">
        <v>21.72</v>
      </c>
      <c r="H63" s="13" t="n">
        <v>56.17</v>
      </c>
      <c r="I63" s="13" t="n">
        <v>57.82</v>
      </c>
      <c r="J63" s="13" t="n">
        <v>38.18</v>
      </c>
      <c r="K63" s="13" t="n">
        <v>46.64</v>
      </c>
      <c r="L63" s="13" t="n">
        <v>14.84</v>
      </c>
      <c r="M63" s="13" t="n">
        <v>45.2</v>
      </c>
      <c r="N63" s="13" t="n">
        <v>29.36</v>
      </c>
      <c r="O63" s="13" t="n">
        <v>17.63</v>
      </c>
      <c r="P63" s="13" t="n">
        <v>24.54</v>
      </c>
      <c r="Q63" s="13" t="n">
        <v>91</v>
      </c>
      <c r="R63" s="14" t="n">
        <f aca="false">IFERROR(SUMPRODUCT(F63:P63,F30:P30)/SUM(F30:P30),"n/a")</f>
        <v>33.6372096317281</v>
      </c>
      <c r="S63" s="12" t="n">
        <f aca="false">IF(F63=0,"n/a",P63/F63-1)</f>
        <v>0.0545767082079931</v>
      </c>
      <c r="T63" s="12" t="n">
        <f aca="false">IF(E63=0,"n/a",P63/E63-1)</f>
        <v>0.10840108401084</v>
      </c>
    </row>
    <row r="64" customFormat="false" ht="15" hidden="false" customHeight="false" outlineLevel="0" collapsed="false">
      <c r="A64" s="9" t="n">
        <v>25</v>
      </c>
      <c r="B64" s="9" t="s">
        <v>71</v>
      </c>
      <c r="C64" s="9" t="s">
        <v>57</v>
      </c>
      <c r="D64" s="10" t="n">
        <v>11600</v>
      </c>
      <c r="E64" s="13" t="n">
        <v>35.11</v>
      </c>
      <c r="F64" s="13" t="n">
        <v>25</v>
      </c>
      <c r="G64" s="13" t="n">
        <v>25.21</v>
      </c>
      <c r="H64" s="13" t="n">
        <v>33.78</v>
      </c>
      <c r="I64" s="13" t="n">
        <v>44.24</v>
      </c>
      <c r="J64" s="13" t="n">
        <v>25.73</v>
      </c>
      <c r="K64" s="13" t="n">
        <v>38.86</v>
      </c>
      <c r="L64" s="13" t="n">
        <v>21.31</v>
      </c>
      <c r="M64" s="13" t="n">
        <v>33.61</v>
      </c>
      <c r="N64" s="13" t="n">
        <v>36.32</v>
      </c>
      <c r="O64" s="13" t="n">
        <v>34.06</v>
      </c>
      <c r="P64" s="13" t="n">
        <v>28.76</v>
      </c>
      <c r="Q64" s="13" t="n">
        <v>10.31</v>
      </c>
      <c r="R64" s="14" t="n">
        <f aca="false">IFERROR(SUMPRODUCT(F64:P64,F31:P31)/SUM(F31:P31),"n/a")</f>
        <v>31.9418909253464</v>
      </c>
      <c r="S64" s="12" t="n">
        <f aca="false">IF(F64=0,"n/a",P64/F64-1)</f>
        <v>0.1504</v>
      </c>
      <c r="T64" s="12" t="n">
        <f aca="false">IF(E64=0,"n/a",P64/E64-1)</f>
        <v>-0.180860153802335</v>
      </c>
    </row>
    <row r="65" customFormat="false" ht="15" hidden="false" customHeight="false" outlineLevel="0" collapsed="false">
      <c r="A65" s="9" t="n">
        <v>26</v>
      </c>
      <c r="B65" s="9" t="s">
        <v>71</v>
      </c>
      <c r="C65" s="9" t="s">
        <v>58</v>
      </c>
      <c r="D65" s="10" t="n">
        <v>654</v>
      </c>
      <c r="E65" s="13" t="n">
        <v>84.07</v>
      </c>
      <c r="F65" s="13" t="n">
        <v>55.65</v>
      </c>
      <c r="G65" s="13" t="n">
        <v>88.95</v>
      </c>
      <c r="H65" s="13" t="n">
        <v>182.57</v>
      </c>
      <c r="I65" s="13" t="n">
        <v>74.38</v>
      </c>
      <c r="J65" s="13" t="n">
        <v>60.45</v>
      </c>
      <c r="K65" s="13" t="n">
        <v>351.23</v>
      </c>
      <c r="L65" s="13" t="n">
        <v>76.09</v>
      </c>
      <c r="M65" s="13" t="n">
        <v>204.51</v>
      </c>
      <c r="N65" s="13" t="n">
        <v>121.87</v>
      </c>
      <c r="O65" s="13" t="n">
        <v>196.99</v>
      </c>
      <c r="P65" s="13" t="n">
        <v>79.81</v>
      </c>
      <c r="Q65" s="13" t="n">
        <v>0</v>
      </c>
      <c r="R65" s="14" t="n">
        <f aca="false">IFERROR(SUMPRODUCT(F65:P65,F32:P32)/SUM(F32:P32),"n/a")</f>
        <v>140.932434210526</v>
      </c>
      <c r="S65" s="12" t="n">
        <f aca="false">IF(F65=0,"n/a",P65/F65-1)</f>
        <v>0.434141958670261</v>
      </c>
      <c r="T65" s="12" t="n">
        <f aca="false">IF(E65=0,"n/a",P65/E65-1)</f>
        <v>-0.0506720589984536</v>
      </c>
    </row>
    <row r="66" customFormat="false" ht="15" hidden="false" customHeight="false" outlineLevel="0" collapsed="false">
      <c r="A66" s="9" t="n">
        <v>27</v>
      </c>
      <c r="B66" s="9" t="s">
        <v>72</v>
      </c>
      <c r="C66" s="9" t="s">
        <v>57</v>
      </c>
      <c r="D66" s="10" t="n">
        <v>10298</v>
      </c>
      <c r="E66" s="13" t="n">
        <v>8.92</v>
      </c>
      <c r="F66" s="13" t="n">
        <v>8.32</v>
      </c>
      <c r="G66" s="13" t="n">
        <v>8.46</v>
      </c>
      <c r="H66" s="13" t="n">
        <v>8.01</v>
      </c>
      <c r="I66" s="13" t="n">
        <v>8.05</v>
      </c>
      <c r="J66" s="13" t="n">
        <v>8.22</v>
      </c>
      <c r="K66" s="13" t="n">
        <v>8.02</v>
      </c>
      <c r="L66" s="13" t="n">
        <v>7.67</v>
      </c>
      <c r="M66" s="13" t="n">
        <v>8.31</v>
      </c>
      <c r="N66" s="13" t="n">
        <v>8.82</v>
      </c>
      <c r="O66" s="13" t="n">
        <v>8.24</v>
      </c>
      <c r="P66" s="13" t="n">
        <v>8.98</v>
      </c>
      <c r="Q66" s="13" t="n">
        <v>6.55</v>
      </c>
      <c r="R66" s="14" t="n">
        <f aca="false">IFERROR(SUMPRODUCT(F66:P66,F33:P33)/SUM(F33:P33),"n/a")</f>
        <v>8.28014878530745</v>
      </c>
      <c r="S66" s="12" t="n">
        <f aca="false">IF(F66=0,"n/a",P66/F66-1)</f>
        <v>0.0793269230769231</v>
      </c>
      <c r="T66" s="12" t="n">
        <f aca="false">IF(E66=0,"n/a",P66/E66-1)</f>
        <v>0.00672645739910327</v>
      </c>
    </row>
    <row r="67" customFormat="false" ht="15" hidden="false" customHeight="false" outlineLevel="0" collapsed="false">
      <c r="A67" s="9" t="n">
        <v>28</v>
      </c>
      <c r="B67" s="9" t="s">
        <v>72</v>
      </c>
      <c r="C67" s="9" t="s">
        <v>58</v>
      </c>
      <c r="D67" s="10" t="n">
        <v>67</v>
      </c>
      <c r="E67" s="13" t="n">
        <v>6.08</v>
      </c>
      <c r="F67" s="13" t="n">
        <v>4.33</v>
      </c>
      <c r="G67" s="13" t="n">
        <v>4.04</v>
      </c>
      <c r="H67" s="13" t="n">
        <v>2.08</v>
      </c>
      <c r="I67" s="13" t="n">
        <v>8.98</v>
      </c>
      <c r="J67" s="13" t="n">
        <v>9.2</v>
      </c>
      <c r="K67" s="13" t="n">
        <v>5.06</v>
      </c>
      <c r="L67" s="13" t="n">
        <v>9.5</v>
      </c>
      <c r="M67" s="13" t="n">
        <v>6.87</v>
      </c>
      <c r="N67" s="13" t="n">
        <v>8.72</v>
      </c>
      <c r="O67" s="13" t="n">
        <v>6</v>
      </c>
      <c r="P67" s="13" t="n">
        <v>8.28</v>
      </c>
      <c r="Q67" s="13" t="n">
        <v>0</v>
      </c>
      <c r="R67" s="14" t="n">
        <f aca="false">IFERROR(SUMPRODUCT(F67:P67,F34:P34)/SUM(F34:P34),"n/a")</f>
        <v>7.04391304347826</v>
      </c>
      <c r="S67" s="12" t="n">
        <f aca="false">IF(F67=0,"n/a",P67/F67-1)</f>
        <v>0.912240184757506</v>
      </c>
      <c r="T67" s="12" t="n">
        <f aca="false">IF(E67=0,"n/a",P67/E67-1)</f>
        <v>0.361842105263158</v>
      </c>
    </row>
    <row r="71" customFormat="false" ht="15" hidden="false" customHeight="false" outlineLevel="0" collapsed="false">
      <c r="A71" s="4" t="s">
        <v>76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 customFormat="false" ht="23.85" hidden="false" customHeight="false" outlineLevel="0" collapsed="false">
      <c r="A72" s="8" t="s">
        <v>35</v>
      </c>
      <c r="B72" s="8" t="s">
        <v>36</v>
      </c>
      <c r="C72" s="8" t="s">
        <v>37</v>
      </c>
      <c r="D72" s="8" t="s">
        <v>38</v>
      </c>
      <c r="E72" s="8" t="s">
        <v>39</v>
      </c>
      <c r="F72" s="8" t="s">
        <v>40</v>
      </c>
      <c r="G72" s="8" t="s">
        <v>41</v>
      </c>
      <c r="H72" s="8" t="s">
        <v>42</v>
      </c>
      <c r="I72" s="8" t="s">
        <v>43</v>
      </c>
      <c r="J72" s="8" t="s">
        <v>44</v>
      </c>
      <c r="K72" s="8" t="s">
        <v>45</v>
      </c>
      <c r="L72" s="8" t="s">
        <v>46</v>
      </c>
      <c r="M72" s="8" t="s">
        <v>47</v>
      </c>
      <c r="N72" s="8" t="s">
        <v>48</v>
      </c>
      <c r="O72" s="8" t="s">
        <v>49</v>
      </c>
      <c r="P72" s="8" t="s">
        <v>50</v>
      </c>
      <c r="Q72" s="8" t="s">
        <v>51</v>
      </c>
      <c r="R72" s="8" t="s">
        <v>74</v>
      </c>
      <c r="S72" s="8" t="s">
        <v>54</v>
      </c>
      <c r="T72" s="8" t="s">
        <v>55</v>
      </c>
      <c r="U72" s="8" t="s">
        <v>75</v>
      </c>
    </row>
    <row r="73" customFormat="false" ht="15" hidden="false" customHeight="false" outlineLevel="0" collapsed="false">
      <c r="A73" s="9" t="n">
        <v>1</v>
      </c>
      <c r="B73" s="9" t="s">
        <v>56</v>
      </c>
      <c r="C73" s="9" t="s">
        <v>57</v>
      </c>
      <c r="D73" s="10" t="n">
        <v>35881</v>
      </c>
      <c r="E73" s="15" t="n">
        <v>2158</v>
      </c>
      <c r="F73" s="15" t="n">
        <v>1047</v>
      </c>
      <c r="G73" s="15" t="n">
        <v>1413</v>
      </c>
      <c r="H73" s="15" t="n">
        <v>1454</v>
      </c>
      <c r="I73" s="15" t="n">
        <v>1630</v>
      </c>
      <c r="J73" s="15" t="n">
        <v>1722</v>
      </c>
      <c r="K73" s="15" t="n">
        <v>2003</v>
      </c>
      <c r="L73" s="15" t="n">
        <v>1716</v>
      </c>
      <c r="M73" s="15" t="n">
        <v>1784</v>
      </c>
      <c r="N73" s="15" t="n">
        <v>2163</v>
      </c>
      <c r="O73" s="15" t="n">
        <v>1711</v>
      </c>
      <c r="P73" s="15" t="n">
        <v>1749</v>
      </c>
      <c r="Q73" s="15" t="n">
        <v>84</v>
      </c>
      <c r="R73" s="16" t="n">
        <f aca="false">SUM(F73:P73)</f>
        <v>18392</v>
      </c>
      <c r="S73" s="12" t="n">
        <f aca="false">IF(F73=0,"n/a",P73/F73-1)</f>
        <v>0.670487106017192</v>
      </c>
      <c r="T73" s="12" t="n">
        <f aca="false">IF(E73=0,"n/a",P73/E73-1)</f>
        <v>-0.18952734012975</v>
      </c>
      <c r="U73" s="16" t="n">
        <f aca="false">MAX(ABS(SUMPRODUCT(E7:Q7,E40:Q40)/100-SUM(E73:Q73)),0)</f>
        <v>0.253600000000006</v>
      </c>
    </row>
    <row r="74" customFormat="false" ht="15" hidden="false" customHeight="false" outlineLevel="0" collapsed="false">
      <c r="A74" s="9" t="n">
        <v>2</v>
      </c>
      <c r="B74" s="9" t="s">
        <v>56</v>
      </c>
      <c r="C74" s="9" t="s">
        <v>58</v>
      </c>
      <c r="D74" s="10" t="n">
        <v>4974</v>
      </c>
      <c r="E74" s="15" t="n">
        <v>139</v>
      </c>
      <c r="F74" s="15" t="n">
        <v>93</v>
      </c>
      <c r="G74" s="15" t="n">
        <v>115</v>
      </c>
      <c r="H74" s="15" t="n">
        <v>125</v>
      </c>
      <c r="I74" s="15" t="n">
        <v>107</v>
      </c>
      <c r="J74" s="15" t="n">
        <v>104</v>
      </c>
      <c r="K74" s="15" t="n">
        <v>260</v>
      </c>
      <c r="L74" s="15" t="n">
        <v>159</v>
      </c>
      <c r="M74" s="15" t="n">
        <v>151</v>
      </c>
      <c r="N74" s="15" t="n">
        <v>129</v>
      </c>
      <c r="O74" s="15" t="n">
        <v>142</v>
      </c>
      <c r="P74" s="15" t="n">
        <v>139</v>
      </c>
      <c r="Q74" s="15" t="n">
        <v>0</v>
      </c>
      <c r="R74" s="16" t="n">
        <f aca="false">SUM(F74:P74)</f>
        <v>1524</v>
      </c>
      <c r="S74" s="12" t="n">
        <f aca="false">IF(F74=0,"n/a",P74/F74-1)</f>
        <v>0.494623655913979</v>
      </c>
      <c r="T74" s="12" t="n">
        <f aca="false">IF(E74=0,"n/a",P74/E74-1)</f>
        <v>0</v>
      </c>
      <c r="U74" s="16" t="n">
        <f aca="false">MAX(ABS(SUMPRODUCT(E8:Q8,E41:Q41)/100-SUM(E74:Q74)),0)</f>
        <v>0.537900000000036</v>
      </c>
    </row>
    <row r="75" customFormat="false" ht="15" hidden="false" customHeight="false" outlineLevel="0" collapsed="false">
      <c r="A75" s="9" t="n">
        <v>3</v>
      </c>
      <c r="B75" s="9" t="s">
        <v>59</v>
      </c>
      <c r="C75" s="9" t="s">
        <v>57</v>
      </c>
      <c r="D75" s="10" t="n">
        <v>24378</v>
      </c>
      <c r="E75" s="15" t="n">
        <v>2003</v>
      </c>
      <c r="F75" s="15" t="n">
        <v>1188</v>
      </c>
      <c r="G75" s="15" t="n">
        <v>1429</v>
      </c>
      <c r="H75" s="15" t="n">
        <v>1387</v>
      </c>
      <c r="I75" s="15" t="n">
        <v>1534</v>
      </c>
      <c r="J75" s="15" t="n">
        <v>1778</v>
      </c>
      <c r="K75" s="15" t="n">
        <v>2166</v>
      </c>
      <c r="L75" s="15" t="n">
        <v>1598</v>
      </c>
      <c r="M75" s="15" t="n">
        <v>1747</v>
      </c>
      <c r="N75" s="15" t="n">
        <v>2360</v>
      </c>
      <c r="O75" s="15" t="n">
        <v>2162</v>
      </c>
      <c r="P75" s="15" t="n">
        <v>1775</v>
      </c>
      <c r="Q75" s="15" t="n">
        <v>31</v>
      </c>
      <c r="R75" s="16" t="n">
        <f aca="false">SUM(F75:P75)</f>
        <v>19124</v>
      </c>
      <c r="S75" s="12" t="n">
        <f aca="false">IF(F75=0,"n/a",P75/F75-1)</f>
        <v>0.494107744107744</v>
      </c>
      <c r="T75" s="12" t="n">
        <f aca="false">IF(E75=0,"n/a",P75/E75-1)</f>
        <v>-0.113829256115826</v>
      </c>
      <c r="U75" s="16" t="n">
        <f aca="false">MAX(ABS(SUMPRODUCT(E9:Q9,E42:Q42)/100-SUM(E75:Q75)),0)</f>
        <v>0.691699999999401</v>
      </c>
    </row>
    <row r="76" customFormat="false" ht="15" hidden="false" customHeight="false" outlineLevel="0" collapsed="false">
      <c r="A76" s="9" t="n">
        <v>4</v>
      </c>
      <c r="B76" s="9" t="s">
        <v>59</v>
      </c>
      <c r="C76" s="9" t="s">
        <v>58</v>
      </c>
      <c r="D76" s="10" t="n">
        <v>1945</v>
      </c>
      <c r="E76" s="15" t="n">
        <v>231</v>
      </c>
      <c r="F76" s="15" t="n">
        <v>179</v>
      </c>
      <c r="G76" s="15" t="n">
        <v>68</v>
      </c>
      <c r="H76" s="15" t="n">
        <v>141</v>
      </c>
      <c r="I76" s="15" t="n">
        <v>136</v>
      </c>
      <c r="J76" s="15" t="n">
        <v>160</v>
      </c>
      <c r="K76" s="15" t="n">
        <v>171</v>
      </c>
      <c r="L76" s="15" t="n">
        <v>179</v>
      </c>
      <c r="M76" s="15" t="n">
        <v>183</v>
      </c>
      <c r="N76" s="15" t="n">
        <v>232</v>
      </c>
      <c r="O76" s="15" t="n">
        <v>209</v>
      </c>
      <c r="P76" s="15" t="n">
        <v>150</v>
      </c>
      <c r="Q76" s="15" t="n">
        <v>0</v>
      </c>
      <c r="R76" s="16" t="n">
        <f aca="false">SUM(F76:P76)</f>
        <v>1808</v>
      </c>
      <c r="S76" s="12" t="n">
        <f aca="false">IF(F76=0,"n/a",P76/F76-1)</f>
        <v>-0.162011173184358</v>
      </c>
      <c r="T76" s="12" t="n">
        <f aca="false">IF(E76=0,"n/a",P76/E76-1)</f>
        <v>-0.350649350649351</v>
      </c>
      <c r="U76" s="16" t="n">
        <f aca="false">MAX(ABS(SUMPRODUCT(E10:Q10,E43:Q43)/100-SUM(E76:Q76)),0)</f>
        <v>1.28079999999977</v>
      </c>
    </row>
    <row r="77" customFormat="false" ht="15" hidden="false" customHeight="false" outlineLevel="0" collapsed="false">
      <c r="A77" s="9" t="n">
        <v>5</v>
      </c>
      <c r="B77" s="9" t="s">
        <v>60</v>
      </c>
      <c r="C77" s="9" t="s">
        <v>57</v>
      </c>
      <c r="D77" s="10" t="n">
        <v>132558</v>
      </c>
      <c r="E77" s="15" t="n">
        <v>146</v>
      </c>
      <c r="F77" s="15" t="n">
        <v>152</v>
      </c>
      <c r="G77" s="15" t="n">
        <v>239</v>
      </c>
      <c r="H77" s="15" t="n">
        <v>244</v>
      </c>
      <c r="I77" s="15" t="n">
        <v>295</v>
      </c>
      <c r="J77" s="15" t="n">
        <v>295</v>
      </c>
      <c r="K77" s="15" t="n">
        <v>448</v>
      </c>
      <c r="L77" s="15" t="n">
        <v>620</v>
      </c>
      <c r="M77" s="15" t="n">
        <v>696</v>
      </c>
      <c r="N77" s="15" t="n">
        <v>913</v>
      </c>
      <c r="O77" s="15" t="n">
        <v>1185</v>
      </c>
      <c r="P77" s="15" t="n">
        <v>1811</v>
      </c>
      <c r="Q77" s="15" t="n">
        <v>215</v>
      </c>
      <c r="R77" s="16" t="n">
        <f aca="false">SUM(F77:P77)</f>
        <v>6898</v>
      </c>
      <c r="S77" s="12" t="n">
        <f aca="false">IF(F77=0,"n/a",P77/F77-1)</f>
        <v>10.9144736842105</v>
      </c>
      <c r="T77" s="12" t="n">
        <f aca="false">IF(E77=0,"n/a",P77/E77-1)</f>
        <v>11.4041095890411</v>
      </c>
      <c r="U77" s="16" t="n">
        <f aca="false">MAX(ABS(SUMPRODUCT(E11:Q11,E44:Q44)/100-SUM(E77:Q77)),0)</f>
        <v>1.75660000000062</v>
      </c>
    </row>
    <row r="78" customFormat="false" ht="15" hidden="false" customHeight="false" outlineLevel="0" collapsed="false">
      <c r="A78" s="9" t="n">
        <v>6</v>
      </c>
      <c r="B78" s="9" t="s">
        <v>60</v>
      </c>
      <c r="C78" s="9" t="s">
        <v>58</v>
      </c>
      <c r="D78" s="10" t="n">
        <v>13102</v>
      </c>
      <c r="E78" s="15" t="n">
        <v>12</v>
      </c>
      <c r="F78" s="15" t="n">
        <v>16</v>
      </c>
      <c r="G78" s="15" t="n">
        <v>23</v>
      </c>
      <c r="H78" s="15" t="n">
        <v>26</v>
      </c>
      <c r="I78" s="15" t="n">
        <v>34</v>
      </c>
      <c r="J78" s="15" t="n">
        <v>38</v>
      </c>
      <c r="K78" s="15" t="n">
        <v>68</v>
      </c>
      <c r="L78" s="15" t="n">
        <v>84</v>
      </c>
      <c r="M78" s="15" t="n">
        <v>154</v>
      </c>
      <c r="N78" s="15" t="n">
        <v>207</v>
      </c>
      <c r="O78" s="15" t="n">
        <v>249</v>
      </c>
      <c r="P78" s="15" t="n">
        <v>267</v>
      </c>
      <c r="Q78" s="15" t="n">
        <v>0</v>
      </c>
      <c r="R78" s="16" t="n">
        <f aca="false">SUM(F78:P78)</f>
        <v>1166</v>
      </c>
      <c r="S78" s="12" t="n">
        <f aca="false">IF(F78=0,"n/a",P78/F78-1)</f>
        <v>15.6875</v>
      </c>
      <c r="T78" s="12" t="n">
        <f aca="false">IF(E78=0,"n/a",P78/E78-1)</f>
        <v>21.25</v>
      </c>
      <c r="U78" s="16" t="n">
        <f aca="false">MAX(ABS(SUMPRODUCT(E12:Q12,E45:Q45)/100-SUM(E78:Q78)),0)</f>
        <v>0.0189000000000306</v>
      </c>
    </row>
    <row r="79" customFormat="false" ht="15" hidden="false" customHeight="false" outlineLevel="0" collapsed="false">
      <c r="A79" s="9" t="n">
        <v>7</v>
      </c>
      <c r="B79" s="9" t="s">
        <v>61</v>
      </c>
      <c r="C79" s="9" t="s">
        <v>57</v>
      </c>
      <c r="D79" s="10" t="n">
        <v>49237</v>
      </c>
      <c r="E79" s="15" t="n">
        <v>43</v>
      </c>
      <c r="F79" s="15" t="n">
        <v>39</v>
      </c>
      <c r="G79" s="15" t="n">
        <v>39</v>
      </c>
      <c r="H79" s="15" t="n">
        <v>40</v>
      </c>
      <c r="I79" s="15" t="n">
        <v>40</v>
      </c>
      <c r="J79" s="15" t="n">
        <v>41</v>
      </c>
      <c r="K79" s="15" t="n">
        <v>41</v>
      </c>
      <c r="L79" s="15" t="n">
        <v>72</v>
      </c>
      <c r="M79" s="15" t="n">
        <v>44</v>
      </c>
      <c r="N79" s="15" t="n">
        <v>39</v>
      </c>
      <c r="O79" s="15" t="n">
        <v>42</v>
      </c>
      <c r="P79" s="15" t="n">
        <v>38</v>
      </c>
      <c r="Q79" s="15" t="n">
        <v>5</v>
      </c>
      <c r="R79" s="16" t="n">
        <f aca="false">SUM(F79:P79)</f>
        <v>475</v>
      </c>
      <c r="S79" s="12" t="n">
        <f aca="false">IF(F79=0,"n/a",P79/F79-1)</f>
        <v>-0.0256410256410257</v>
      </c>
      <c r="T79" s="12" t="n">
        <f aca="false">IF(E79=0,"n/a",P79/E79-1)</f>
        <v>-0.116279069767442</v>
      </c>
      <c r="U79" s="16" t="n">
        <f aca="false">MAX(ABS(SUMPRODUCT(E13:Q13,E46:Q46)/100-SUM(E79:Q79)),0)</f>
        <v>0.437999999999988</v>
      </c>
    </row>
    <row r="80" customFormat="false" ht="15" hidden="false" customHeight="false" outlineLevel="0" collapsed="false">
      <c r="A80" s="9" t="n">
        <v>8</v>
      </c>
      <c r="B80" s="9" t="s">
        <v>61</v>
      </c>
      <c r="C80" s="9" t="s">
        <v>58</v>
      </c>
      <c r="D80" s="10" t="n">
        <v>434</v>
      </c>
      <c r="E80" s="15" t="n">
        <v>0</v>
      </c>
      <c r="F80" s="15" t="n">
        <v>0</v>
      </c>
      <c r="G80" s="15" t="n">
        <v>1</v>
      </c>
      <c r="H80" s="15" t="n">
        <v>0</v>
      </c>
      <c r="I80" s="15" t="n">
        <v>0</v>
      </c>
      <c r="J80" s="15" t="n">
        <v>0</v>
      </c>
      <c r="K80" s="15" t="n">
        <v>0</v>
      </c>
      <c r="L80" s="15" t="n">
        <v>0</v>
      </c>
      <c r="M80" s="15" t="n">
        <v>0</v>
      </c>
      <c r="N80" s="15" t="n">
        <v>0</v>
      </c>
      <c r="O80" s="15" t="n">
        <v>0</v>
      </c>
      <c r="P80" s="15" t="n">
        <v>0</v>
      </c>
      <c r="Q80" s="15" t="n">
        <v>0</v>
      </c>
      <c r="R80" s="16" t="n">
        <f aca="false">SUM(F80:P80)</f>
        <v>1</v>
      </c>
      <c r="S80" s="12" t="str">
        <f aca="false">IF(F80=0,"n/a",P80/F80-1)</f>
        <v>n/a</v>
      </c>
      <c r="T80" s="12" t="str">
        <f aca="false">IF(E80=0,"n/a",P80/E80-1)</f>
        <v>n/a</v>
      </c>
      <c r="U80" s="16" t="n">
        <f aca="false">MAX(ABS(SUMPRODUCT(E14:Q14,E47:Q47)/100-SUM(E80:Q80)),0)</f>
        <v>2.7161</v>
      </c>
    </row>
    <row r="81" customFormat="false" ht="15" hidden="false" customHeight="false" outlineLevel="0" collapsed="false">
      <c r="A81" s="9" t="n">
        <v>9</v>
      </c>
      <c r="B81" s="9" t="s">
        <v>62</v>
      </c>
      <c r="C81" s="9" t="s">
        <v>57</v>
      </c>
      <c r="D81" s="10" t="n">
        <v>32479</v>
      </c>
      <c r="E81" s="15" t="n">
        <v>341</v>
      </c>
      <c r="F81" s="15" t="n">
        <v>280</v>
      </c>
      <c r="G81" s="15" t="n">
        <v>293</v>
      </c>
      <c r="H81" s="15" t="n">
        <v>282</v>
      </c>
      <c r="I81" s="15" t="n">
        <v>312</v>
      </c>
      <c r="J81" s="15" t="n">
        <v>328</v>
      </c>
      <c r="K81" s="15" t="n">
        <v>364</v>
      </c>
      <c r="L81" s="15" t="n">
        <v>404</v>
      </c>
      <c r="M81" s="15" t="n">
        <v>300</v>
      </c>
      <c r="N81" s="15" t="n">
        <v>408</v>
      </c>
      <c r="O81" s="15" t="n">
        <v>316</v>
      </c>
      <c r="P81" s="15" t="n">
        <v>300</v>
      </c>
      <c r="Q81" s="15" t="n">
        <v>16</v>
      </c>
      <c r="R81" s="16" t="n">
        <f aca="false">SUM(F81:P81)</f>
        <v>3587</v>
      </c>
      <c r="S81" s="12" t="n">
        <f aca="false">IF(F81=0,"n/a",P81/F81-1)</f>
        <v>0.0714285714285714</v>
      </c>
      <c r="T81" s="12" t="n">
        <f aca="false">IF(E81=0,"n/a",P81/E81-1)</f>
        <v>-0.120234604105572</v>
      </c>
      <c r="U81" s="16" t="n">
        <f aca="false">MAX(ABS(SUMPRODUCT(E15:Q15,E48:Q48)/100-SUM(E81:Q81)),0)</f>
        <v>2.58109999999988</v>
      </c>
    </row>
    <row r="82" customFormat="false" ht="15" hidden="false" customHeight="false" outlineLevel="0" collapsed="false">
      <c r="A82" s="9" t="n">
        <v>10</v>
      </c>
      <c r="B82" s="9" t="s">
        <v>62</v>
      </c>
      <c r="C82" s="9" t="s">
        <v>58</v>
      </c>
      <c r="D82" s="10" t="n">
        <v>86</v>
      </c>
      <c r="E82" s="15" t="n">
        <v>1</v>
      </c>
      <c r="F82" s="15" t="n">
        <v>1</v>
      </c>
      <c r="G82" s="15" t="n">
        <v>1</v>
      </c>
      <c r="H82" s="15" t="n">
        <v>0</v>
      </c>
      <c r="I82" s="15" t="n">
        <v>0</v>
      </c>
      <c r="J82" s="15" t="n">
        <v>1</v>
      </c>
      <c r="K82" s="15" t="n">
        <v>2</v>
      </c>
      <c r="L82" s="15" t="n">
        <v>2</v>
      </c>
      <c r="M82" s="15" t="n">
        <v>0</v>
      </c>
      <c r="N82" s="15" t="n">
        <v>0</v>
      </c>
      <c r="O82" s="15" t="n">
        <v>1</v>
      </c>
      <c r="P82" s="15" t="n">
        <v>1</v>
      </c>
      <c r="Q82" s="15" t="n">
        <v>0</v>
      </c>
      <c r="R82" s="16" t="n">
        <f aca="false">SUM(F82:P82)</f>
        <v>9</v>
      </c>
      <c r="S82" s="12" t="n">
        <f aca="false">IF(F82=0,"n/a",P82/F82-1)</f>
        <v>0</v>
      </c>
      <c r="T82" s="12" t="n">
        <f aca="false">IF(E82=0,"n/a",P82/E82-1)</f>
        <v>0</v>
      </c>
      <c r="U82" s="16" t="n">
        <f aca="false">MAX(ABS(SUMPRODUCT(E16:Q16,E49:Q49)/100-SUM(E82:Q82)),0)</f>
        <v>0.572899999999999</v>
      </c>
    </row>
    <row r="83" customFormat="false" ht="15" hidden="false" customHeight="false" outlineLevel="0" collapsed="false">
      <c r="A83" s="9" t="n">
        <v>11</v>
      </c>
      <c r="B83" s="9" t="s">
        <v>63</v>
      </c>
      <c r="C83" s="9" t="s">
        <v>57</v>
      </c>
      <c r="D83" s="10" t="n">
        <v>4311</v>
      </c>
      <c r="E83" s="15" t="n">
        <v>17</v>
      </c>
      <c r="F83" s="15" t="n">
        <v>14</v>
      </c>
      <c r="G83" s="15" t="n">
        <v>16</v>
      </c>
      <c r="H83" s="15" t="n">
        <v>19</v>
      </c>
      <c r="I83" s="15" t="n">
        <v>17</v>
      </c>
      <c r="J83" s="15" t="n">
        <v>15</v>
      </c>
      <c r="K83" s="15" t="n">
        <v>15</v>
      </c>
      <c r="L83" s="15" t="n">
        <v>27</v>
      </c>
      <c r="M83" s="15" t="n">
        <v>21</v>
      </c>
      <c r="N83" s="15" t="n">
        <v>16</v>
      </c>
      <c r="O83" s="15" t="n">
        <v>17</v>
      </c>
      <c r="P83" s="15" t="n">
        <v>14</v>
      </c>
      <c r="Q83" s="15" t="n">
        <v>1</v>
      </c>
      <c r="R83" s="16" t="n">
        <f aca="false">SUM(F83:P83)</f>
        <v>191</v>
      </c>
      <c r="S83" s="12" t="n">
        <f aca="false">IF(F83=0,"n/a",P83/F83-1)</f>
        <v>0</v>
      </c>
      <c r="T83" s="12" t="n">
        <f aca="false">IF(E83=0,"n/a",P83/E83-1)</f>
        <v>-0.176470588235294</v>
      </c>
      <c r="U83" s="16" t="n">
        <f aca="false">MAX(ABS(SUMPRODUCT(E17:Q17,E50:Q50)/100-SUM(E83:Q83)),0)</f>
        <v>0.297300000000007</v>
      </c>
    </row>
    <row r="84" customFormat="false" ht="15" hidden="false" customHeight="false" outlineLevel="0" collapsed="false">
      <c r="A84" s="9" t="n">
        <v>12</v>
      </c>
      <c r="B84" s="9" t="s">
        <v>63</v>
      </c>
      <c r="C84" s="9" t="s">
        <v>58</v>
      </c>
      <c r="D84" s="10" t="n">
        <v>240</v>
      </c>
      <c r="E84" s="15" t="n">
        <v>1</v>
      </c>
      <c r="F84" s="15" t="n">
        <v>1</v>
      </c>
      <c r="G84" s="15" t="n">
        <v>1</v>
      </c>
      <c r="H84" s="15" t="n">
        <v>1</v>
      </c>
      <c r="I84" s="15" t="n">
        <v>1</v>
      </c>
      <c r="J84" s="15" t="n">
        <v>1</v>
      </c>
      <c r="K84" s="15" t="n">
        <v>1</v>
      </c>
      <c r="L84" s="15" t="n">
        <v>1</v>
      </c>
      <c r="M84" s="15" t="n">
        <v>2</v>
      </c>
      <c r="N84" s="15" t="n">
        <v>1</v>
      </c>
      <c r="O84" s="15" t="n">
        <v>4</v>
      </c>
      <c r="P84" s="15" t="n">
        <v>11</v>
      </c>
      <c r="Q84" s="15" t="n">
        <v>0</v>
      </c>
      <c r="R84" s="16" t="n">
        <f aca="false">SUM(F84:P84)</f>
        <v>25</v>
      </c>
      <c r="S84" s="12" t="n">
        <f aca="false">IF(F84=0,"n/a",P84/F84-1)</f>
        <v>10</v>
      </c>
      <c r="T84" s="12" t="n">
        <f aca="false">IF(E84=0,"n/a",P84/E84-1)</f>
        <v>10</v>
      </c>
      <c r="U84" s="16" t="n">
        <f aca="false">MAX(ABS(SUMPRODUCT(E18:Q18,E51:Q51)/100-SUM(E84:Q84)),0)</f>
        <v>1.0895</v>
      </c>
    </row>
    <row r="85" customFormat="false" ht="15" hidden="false" customHeight="false" outlineLevel="0" collapsed="false">
      <c r="A85" s="9" t="n">
        <v>13</v>
      </c>
      <c r="B85" s="9" t="s">
        <v>64</v>
      </c>
      <c r="C85" s="9" t="s">
        <v>57</v>
      </c>
      <c r="D85" s="10" t="n">
        <v>4470</v>
      </c>
      <c r="E85" s="15" t="n">
        <v>46</v>
      </c>
      <c r="F85" s="15" t="n">
        <v>44</v>
      </c>
      <c r="G85" s="15" t="n">
        <v>57</v>
      </c>
      <c r="H85" s="15" t="n">
        <v>81</v>
      </c>
      <c r="I85" s="15" t="n">
        <v>118</v>
      </c>
      <c r="J85" s="15" t="n">
        <v>113</v>
      </c>
      <c r="K85" s="15" t="n">
        <v>96</v>
      </c>
      <c r="L85" s="15" t="n">
        <v>52</v>
      </c>
      <c r="M85" s="15" t="n">
        <v>51</v>
      </c>
      <c r="N85" s="15" t="n">
        <v>89</v>
      </c>
      <c r="O85" s="15" t="n">
        <v>53</v>
      </c>
      <c r="P85" s="15" t="n">
        <v>36</v>
      </c>
      <c r="Q85" s="15" t="n">
        <v>2</v>
      </c>
      <c r="R85" s="16" t="n">
        <f aca="false">SUM(F85:P85)</f>
        <v>790</v>
      </c>
      <c r="S85" s="12" t="n">
        <f aca="false">IF(F85=0,"n/a",P85/F85-1)</f>
        <v>-0.181818181818182</v>
      </c>
      <c r="T85" s="12" t="n">
        <f aca="false">IF(E85=0,"n/a",P85/E85-1)</f>
        <v>-0.217391304347826</v>
      </c>
      <c r="U85" s="16" t="n">
        <f aca="false">MAX(ABS(SUMPRODUCT(E19:Q19,E52:Q52)/100-SUM(E85:Q85)),0)</f>
        <v>0.484300000000076</v>
      </c>
    </row>
    <row r="86" customFormat="false" ht="15" hidden="false" customHeight="false" outlineLevel="0" collapsed="false">
      <c r="A86" s="9" t="n">
        <v>14</v>
      </c>
      <c r="B86" s="9" t="s">
        <v>64</v>
      </c>
      <c r="C86" s="9" t="s">
        <v>58</v>
      </c>
      <c r="D86" s="10" t="n">
        <v>70</v>
      </c>
      <c r="E86" s="15" t="n">
        <v>1</v>
      </c>
      <c r="F86" s="15" t="n">
        <v>3</v>
      </c>
      <c r="G86" s="15" t="n">
        <v>6</v>
      </c>
      <c r="H86" s="15" t="n">
        <v>1</v>
      </c>
      <c r="I86" s="15" t="n">
        <v>7</v>
      </c>
      <c r="J86" s="15" t="n">
        <v>6</v>
      </c>
      <c r="K86" s="15" t="n">
        <v>6</v>
      </c>
      <c r="L86" s="15" t="n">
        <v>2</v>
      </c>
      <c r="M86" s="15" t="n">
        <v>1</v>
      </c>
      <c r="N86" s="15" t="n">
        <v>0</v>
      </c>
      <c r="O86" s="15" t="n">
        <v>1</v>
      </c>
      <c r="P86" s="15" t="n">
        <v>2</v>
      </c>
      <c r="Q86" s="15" t="n">
        <v>0</v>
      </c>
      <c r="R86" s="16" t="n">
        <f aca="false">SUM(F86:P86)</f>
        <v>35</v>
      </c>
      <c r="S86" s="12" t="n">
        <f aca="false">IF(F86=0,"n/a",P86/F86-1)</f>
        <v>-0.333333333333333</v>
      </c>
      <c r="T86" s="12" t="n">
        <f aca="false">IF(E86=0,"n/a",P86/E86-1)</f>
        <v>1</v>
      </c>
      <c r="U86" s="16" t="n">
        <f aca="false">MAX(ABS(SUMPRODUCT(E20:Q20,E53:Q53)/100-SUM(E86:Q86)),0)</f>
        <v>0.437899999999999</v>
      </c>
    </row>
    <row r="87" customFormat="false" ht="15" hidden="false" customHeight="false" outlineLevel="0" collapsed="false">
      <c r="A87" s="9" t="n">
        <v>15</v>
      </c>
      <c r="B87" s="9" t="s">
        <v>65</v>
      </c>
      <c r="C87" s="9" t="s">
        <v>57</v>
      </c>
      <c r="D87" s="10" t="n">
        <v>80581</v>
      </c>
      <c r="E87" s="15" t="n">
        <v>1251</v>
      </c>
      <c r="F87" s="15" t="n">
        <v>538</v>
      </c>
      <c r="G87" s="15" t="n">
        <v>844</v>
      </c>
      <c r="H87" s="15" t="n">
        <v>1165</v>
      </c>
      <c r="I87" s="15" t="n">
        <v>946</v>
      </c>
      <c r="J87" s="15" t="n">
        <v>843</v>
      </c>
      <c r="K87" s="15" t="n">
        <v>899</v>
      </c>
      <c r="L87" s="15" t="n">
        <v>1135</v>
      </c>
      <c r="M87" s="15" t="n">
        <v>912</v>
      </c>
      <c r="N87" s="15" t="n">
        <v>1326</v>
      </c>
      <c r="O87" s="15" t="n">
        <v>912</v>
      </c>
      <c r="P87" s="15" t="n">
        <v>790</v>
      </c>
      <c r="Q87" s="15" t="n">
        <v>78</v>
      </c>
      <c r="R87" s="16" t="n">
        <f aca="false">SUM(F87:P87)</f>
        <v>10310</v>
      </c>
      <c r="S87" s="12" t="n">
        <f aca="false">IF(F87=0,"n/a",P87/F87-1)</f>
        <v>0.468401486988848</v>
      </c>
      <c r="T87" s="12" t="n">
        <f aca="false">IF(E87=0,"n/a",P87/E87-1)</f>
        <v>-0.368505195843325</v>
      </c>
      <c r="U87" s="16" t="n">
        <f aca="false">MAX(ABS(SUMPRODUCT(E21:Q21,E54:Q54)/100-SUM(E87:Q87)),0)</f>
        <v>1.41130000000157</v>
      </c>
    </row>
    <row r="88" customFormat="false" ht="15" hidden="false" customHeight="false" outlineLevel="0" collapsed="false">
      <c r="A88" s="9" t="n">
        <v>16</v>
      </c>
      <c r="B88" s="9" t="s">
        <v>65</v>
      </c>
      <c r="C88" s="9" t="s">
        <v>58</v>
      </c>
      <c r="D88" s="10" t="n">
        <v>969</v>
      </c>
      <c r="E88" s="15" t="n">
        <v>111</v>
      </c>
      <c r="F88" s="15" t="n">
        <v>92</v>
      </c>
      <c r="G88" s="15" t="n">
        <v>97</v>
      </c>
      <c r="H88" s="15" t="n">
        <v>89</v>
      </c>
      <c r="I88" s="15" t="n">
        <v>107</v>
      </c>
      <c r="J88" s="15" t="n">
        <v>87</v>
      </c>
      <c r="K88" s="15" t="n">
        <v>67</v>
      </c>
      <c r="L88" s="15" t="n">
        <v>61</v>
      </c>
      <c r="M88" s="15" t="n">
        <v>214</v>
      </c>
      <c r="N88" s="15" t="n">
        <v>57</v>
      </c>
      <c r="O88" s="15" t="n">
        <v>55</v>
      </c>
      <c r="P88" s="15" t="n">
        <v>79</v>
      </c>
      <c r="Q88" s="15" t="n">
        <v>0</v>
      </c>
      <c r="R88" s="16" t="n">
        <f aca="false">SUM(F88:P88)</f>
        <v>1005</v>
      </c>
      <c r="S88" s="12" t="n">
        <f aca="false">IF(F88=0,"n/a",P88/F88-1)</f>
        <v>-0.141304347826087</v>
      </c>
      <c r="T88" s="12" t="n">
        <f aca="false">IF(E88=0,"n/a",P88/E88-1)</f>
        <v>-0.288288288288288</v>
      </c>
      <c r="U88" s="16" t="n">
        <f aca="false">MAX(ABS(SUMPRODUCT(E22:Q22,E55:Q55)/100-SUM(E88:Q88)),0)</f>
        <v>1.18539999999985</v>
      </c>
    </row>
    <row r="89" customFormat="false" ht="15" hidden="false" customHeight="false" outlineLevel="0" collapsed="false">
      <c r="A89" s="9" t="n">
        <v>17</v>
      </c>
      <c r="B89" s="9" t="s">
        <v>66</v>
      </c>
      <c r="C89" s="9" t="s">
        <v>57</v>
      </c>
      <c r="D89" s="10" t="n">
        <v>286830</v>
      </c>
      <c r="E89" s="15" t="n">
        <v>457</v>
      </c>
      <c r="F89" s="15" t="n">
        <v>382</v>
      </c>
      <c r="G89" s="15" t="n">
        <v>451</v>
      </c>
      <c r="H89" s="15" t="n">
        <v>458</v>
      </c>
      <c r="I89" s="15" t="n">
        <v>575</v>
      </c>
      <c r="J89" s="15" t="n">
        <v>630</v>
      </c>
      <c r="K89" s="15" t="n">
        <v>689</v>
      </c>
      <c r="L89" s="15" t="n">
        <v>681</v>
      </c>
      <c r="M89" s="15" t="n">
        <v>681</v>
      </c>
      <c r="N89" s="15" t="n">
        <v>729</v>
      </c>
      <c r="O89" s="15" t="n">
        <v>739</v>
      </c>
      <c r="P89" s="15" t="n">
        <v>733</v>
      </c>
      <c r="Q89" s="15" t="n">
        <v>73</v>
      </c>
      <c r="R89" s="16" t="n">
        <f aca="false">SUM(F89:P89)</f>
        <v>6748</v>
      </c>
      <c r="S89" s="12" t="n">
        <f aca="false">IF(F89=0,"n/a",P89/F89-1)</f>
        <v>0.918848167539267</v>
      </c>
      <c r="T89" s="12" t="n">
        <f aca="false">IF(E89=0,"n/a",P89/E89-1)</f>
        <v>0.603938730853392</v>
      </c>
      <c r="U89" s="16" t="n">
        <f aca="false">MAX(ABS(SUMPRODUCT(E23:Q23,E56:Q56)/100-SUM(E89:Q89)),0)</f>
        <v>3.57459999999992</v>
      </c>
    </row>
    <row r="90" customFormat="false" ht="15" hidden="false" customHeight="false" outlineLevel="0" collapsed="false">
      <c r="A90" s="9" t="n">
        <v>18</v>
      </c>
      <c r="B90" s="9" t="s">
        <v>66</v>
      </c>
      <c r="C90" s="9" t="s">
        <v>58</v>
      </c>
      <c r="D90" s="10" t="n">
        <v>1241</v>
      </c>
      <c r="E90" s="15" t="n">
        <v>3</v>
      </c>
      <c r="F90" s="15" t="n">
        <v>3</v>
      </c>
      <c r="G90" s="15" t="n">
        <v>4</v>
      </c>
      <c r="H90" s="15" t="n">
        <v>3</v>
      </c>
      <c r="I90" s="15" t="n">
        <v>3</v>
      </c>
      <c r="J90" s="15" t="n">
        <v>4</v>
      </c>
      <c r="K90" s="15" t="n">
        <v>5</v>
      </c>
      <c r="L90" s="15" t="n">
        <v>5</v>
      </c>
      <c r="M90" s="15" t="n">
        <v>5</v>
      </c>
      <c r="N90" s="15" t="n">
        <v>5</v>
      </c>
      <c r="O90" s="15" t="n">
        <v>11</v>
      </c>
      <c r="P90" s="15" t="n">
        <v>10</v>
      </c>
      <c r="Q90" s="15" t="n">
        <v>0</v>
      </c>
      <c r="R90" s="16" t="n">
        <f aca="false">SUM(F90:P90)</f>
        <v>58</v>
      </c>
      <c r="S90" s="12" t="n">
        <f aca="false">IF(F90=0,"n/a",P90/F90-1)</f>
        <v>2.33333333333333</v>
      </c>
      <c r="T90" s="12" t="n">
        <f aca="false">IF(E90=0,"n/a",P90/E90-1)</f>
        <v>2.33333333333333</v>
      </c>
      <c r="U90" s="16" t="n">
        <f aca="false">MAX(ABS(SUMPRODUCT(E24:Q24,E57:Q57)/100-SUM(E90:Q90)),0)</f>
        <v>0.247300000000003</v>
      </c>
    </row>
    <row r="91" customFormat="false" ht="15" hidden="false" customHeight="false" outlineLevel="0" collapsed="false">
      <c r="A91" s="9" t="n">
        <v>19</v>
      </c>
      <c r="B91" s="9" t="s">
        <v>67</v>
      </c>
      <c r="C91" s="9" t="s">
        <v>57</v>
      </c>
      <c r="D91" s="10" t="n">
        <v>213489</v>
      </c>
      <c r="E91" s="15" t="n">
        <v>122</v>
      </c>
      <c r="F91" s="15" t="n">
        <v>109</v>
      </c>
      <c r="G91" s="15" t="n">
        <v>106</v>
      </c>
      <c r="H91" s="15" t="n">
        <v>101</v>
      </c>
      <c r="I91" s="15" t="n">
        <v>116</v>
      </c>
      <c r="J91" s="15" t="n">
        <v>108</v>
      </c>
      <c r="K91" s="15" t="n">
        <v>108</v>
      </c>
      <c r="L91" s="15" t="n">
        <v>98</v>
      </c>
      <c r="M91" s="15" t="n">
        <v>86</v>
      </c>
      <c r="N91" s="15" t="n">
        <v>79</v>
      </c>
      <c r="O91" s="15" t="n">
        <v>65</v>
      </c>
      <c r="P91" s="15" t="n">
        <v>36</v>
      </c>
      <c r="Q91" s="15" t="n">
        <v>0</v>
      </c>
      <c r="R91" s="16" t="n">
        <f aca="false">SUM(F91:P91)</f>
        <v>1012</v>
      </c>
      <c r="S91" s="12" t="n">
        <f aca="false">IF(F91=0,"n/a",P91/F91-1)</f>
        <v>-0.669724770642202</v>
      </c>
      <c r="T91" s="12" t="n">
        <f aca="false">IF(E91=0,"n/a",P91/E91-1)</f>
        <v>-0.704918032786885</v>
      </c>
      <c r="U91" s="16" t="n">
        <f aca="false">MAX(ABS(SUMPRODUCT(E25:Q25,E58:Q58)/100-SUM(E91:Q91)),0)</f>
        <v>2.26130000000012</v>
      </c>
    </row>
    <row r="92" customFormat="false" ht="15" hidden="false" customHeight="false" outlineLevel="0" collapsed="false">
      <c r="A92" s="9" t="n">
        <v>20</v>
      </c>
      <c r="B92" s="9" t="s">
        <v>67</v>
      </c>
      <c r="C92" s="9" t="s">
        <v>58</v>
      </c>
      <c r="D92" s="10" t="n">
        <v>32007</v>
      </c>
      <c r="E92" s="15" t="n">
        <v>15</v>
      </c>
      <c r="F92" s="15" t="n">
        <v>11</v>
      </c>
      <c r="G92" s="15" t="n">
        <v>14</v>
      </c>
      <c r="H92" s="15" t="n">
        <v>14</v>
      </c>
      <c r="I92" s="15" t="n">
        <v>12</v>
      </c>
      <c r="J92" s="15" t="n">
        <v>11</v>
      </c>
      <c r="K92" s="15" t="n">
        <v>16</v>
      </c>
      <c r="L92" s="15" t="n">
        <v>15</v>
      </c>
      <c r="M92" s="15" t="n">
        <v>14</v>
      </c>
      <c r="N92" s="15" t="n">
        <v>14</v>
      </c>
      <c r="O92" s="15" t="n">
        <v>10</v>
      </c>
      <c r="P92" s="15" t="n">
        <v>8</v>
      </c>
      <c r="Q92" s="15" t="n">
        <v>0</v>
      </c>
      <c r="R92" s="16" t="n">
        <f aca="false">SUM(F92:P92)</f>
        <v>139</v>
      </c>
      <c r="S92" s="12" t="n">
        <f aca="false">IF(F92=0,"n/a",P92/F92-1)</f>
        <v>-0.272727272727273</v>
      </c>
      <c r="T92" s="12" t="n">
        <f aca="false">IF(E92=0,"n/a",P92/E92-1)</f>
        <v>-0.466666666666667</v>
      </c>
      <c r="U92" s="16" t="n">
        <f aca="false">MAX(ABS(SUMPRODUCT(E26:Q26,E59:Q59)/100-SUM(E92:Q92)),0)</f>
        <v>0.715000000000003</v>
      </c>
    </row>
    <row r="93" customFormat="false" ht="15" hidden="false" customHeight="false" outlineLevel="0" collapsed="false">
      <c r="A93" s="9" t="n">
        <v>21</v>
      </c>
      <c r="B93" s="9" t="s">
        <v>68</v>
      </c>
      <c r="C93" s="9" t="s">
        <v>57</v>
      </c>
      <c r="D93" s="10" t="n">
        <v>7196</v>
      </c>
      <c r="E93" s="15" t="n">
        <v>46</v>
      </c>
      <c r="F93" s="15" t="n">
        <v>36</v>
      </c>
      <c r="G93" s="15" t="n">
        <v>28</v>
      </c>
      <c r="H93" s="15" t="n">
        <v>52</v>
      </c>
      <c r="I93" s="15" t="n">
        <v>49</v>
      </c>
      <c r="J93" s="15" t="n">
        <v>35</v>
      </c>
      <c r="K93" s="15" t="n">
        <v>49</v>
      </c>
      <c r="L93" s="15" t="n">
        <v>45</v>
      </c>
      <c r="M93" s="15" t="n">
        <v>32</v>
      </c>
      <c r="N93" s="15" t="n">
        <v>41</v>
      </c>
      <c r="O93" s="15" t="n">
        <v>23</v>
      </c>
      <c r="P93" s="15" t="n">
        <v>21</v>
      </c>
      <c r="Q93" s="15" t="n">
        <v>1</v>
      </c>
      <c r="R93" s="16" t="n">
        <f aca="false">SUM(F93:P93)</f>
        <v>411</v>
      </c>
      <c r="S93" s="12" t="n">
        <f aca="false">IF(F93=0,"n/a",P93/F93-1)</f>
        <v>-0.416666666666667</v>
      </c>
      <c r="T93" s="12" t="n">
        <f aca="false">IF(E93=0,"n/a",P93/E93-1)</f>
        <v>-0.543478260869565</v>
      </c>
      <c r="U93" s="16" t="n">
        <f aca="false">MAX(ABS(SUMPRODUCT(E27:Q27,E60:Q60)/100-SUM(E93:Q93)),0)</f>
        <v>1.38120000000004</v>
      </c>
    </row>
    <row r="94" customFormat="false" ht="15" hidden="false" customHeight="false" outlineLevel="0" collapsed="false">
      <c r="A94" s="9" t="n">
        <v>22</v>
      </c>
      <c r="B94" s="9" t="s">
        <v>68</v>
      </c>
      <c r="C94" s="9" t="s">
        <v>58</v>
      </c>
      <c r="D94" s="10" t="n">
        <v>322</v>
      </c>
      <c r="E94" s="15" t="n">
        <v>1</v>
      </c>
      <c r="F94" s="15" t="n">
        <v>0</v>
      </c>
      <c r="G94" s="15" t="n">
        <v>1</v>
      </c>
      <c r="H94" s="15" t="n">
        <v>2</v>
      </c>
      <c r="I94" s="15" t="n">
        <v>2</v>
      </c>
      <c r="J94" s="15" t="n">
        <v>1</v>
      </c>
      <c r="K94" s="15" t="n">
        <v>1</v>
      </c>
      <c r="L94" s="15" t="n">
        <v>1</v>
      </c>
      <c r="M94" s="15" t="n">
        <v>3</v>
      </c>
      <c r="N94" s="15" t="n">
        <v>3</v>
      </c>
      <c r="O94" s="15" t="n">
        <v>1</v>
      </c>
      <c r="P94" s="15" t="n">
        <v>4</v>
      </c>
      <c r="Q94" s="15" t="n">
        <v>0</v>
      </c>
      <c r="R94" s="16" t="n">
        <f aca="false">SUM(F94:P94)</f>
        <v>19</v>
      </c>
      <c r="S94" s="12" t="str">
        <f aca="false">IF(F94=0,"n/a",P94/F94-1)</f>
        <v>n/a</v>
      </c>
      <c r="T94" s="12" t="n">
        <f aca="false">IF(E94=0,"n/a",P94/E94-1)</f>
        <v>3</v>
      </c>
      <c r="U94" s="16" t="n">
        <f aca="false">MAX(ABS(SUMPRODUCT(E28:Q28,E61:Q61)/100-SUM(E94:Q94)),0)</f>
        <v>0.537900000000001</v>
      </c>
    </row>
    <row r="95" customFormat="false" ht="15" hidden="false" customHeight="false" outlineLevel="0" collapsed="false">
      <c r="A95" s="9" t="n">
        <v>23</v>
      </c>
      <c r="B95" s="9" t="s">
        <v>69</v>
      </c>
      <c r="C95" s="9" t="s">
        <v>57</v>
      </c>
      <c r="D95" s="10" t="n">
        <v>191661</v>
      </c>
      <c r="E95" s="15" t="n">
        <v>28</v>
      </c>
      <c r="F95" s="15" t="n">
        <v>33</v>
      </c>
      <c r="G95" s="15" t="n">
        <v>40</v>
      </c>
      <c r="H95" s="15" t="n">
        <v>40</v>
      </c>
      <c r="I95" s="15" t="n">
        <v>53</v>
      </c>
      <c r="J95" s="15" t="n">
        <v>65</v>
      </c>
      <c r="K95" s="15" t="n">
        <v>70</v>
      </c>
      <c r="L95" s="15" t="n">
        <v>107</v>
      </c>
      <c r="M95" s="15" t="n">
        <v>65</v>
      </c>
      <c r="N95" s="15" t="n">
        <v>66</v>
      </c>
      <c r="O95" s="15" t="n">
        <v>85</v>
      </c>
      <c r="P95" s="15" t="n">
        <v>75</v>
      </c>
      <c r="Q95" s="15" t="n">
        <v>6</v>
      </c>
      <c r="R95" s="16" t="n">
        <f aca="false">SUM(F95:P95)</f>
        <v>699</v>
      </c>
      <c r="S95" s="12" t="n">
        <f aca="false">IF(F95=0,"n/a",P95/F95-1)</f>
        <v>1.27272727272727</v>
      </c>
      <c r="T95" s="12" t="n">
        <f aca="false">IF(E95=0,"n/a",P95/E95-1)</f>
        <v>1.67857142857143</v>
      </c>
      <c r="U95" s="16" t="n">
        <f aca="false">MAX(ABS(SUMPRODUCT(E29:Q29,E62:Q62)/100-SUM(E95:Q95)),0)</f>
        <v>0.569700000000012</v>
      </c>
    </row>
    <row r="96" customFormat="false" ht="15" hidden="false" customHeight="false" outlineLevel="0" collapsed="false">
      <c r="A96" s="9" t="n">
        <v>24</v>
      </c>
      <c r="B96" s="9" t="s">
        <v>70</v>
      </c>
      <c r="C96" s="9" t="s">
        <v>57</v>
      </c>
      <c r="D96" s="10" t="n">
        <v>4311</v>
      </c>
      <c r="E96" s="15" t="n">
        <v>68</v>
      </c>
      <c r="F96" s="15" t="n">
        <v>64</v>
      </c>
      <c r="G96" s="15" t="n">
        <v>65</v>
      </c>
      <c r="H96" s="15" t="n">
        <v>174</v>
      </c>
      <c r="I96" s="15" t="n">
        <v>206</v>
      </c>
      <c r="J96" s="15" t="n">
        <v>142</v>
      </c>
      <c r="K96" s="15" t="n">
        <v>197</v>
      </c>
      <c r="L96" s="15" t="n">
        <v>68</v>
      </c>
      <c r="M96" s="15" t="n">
        <v>194</v>
      </c>
      <c r="N96" s="15" t="n">
        <v>134</v>
      </c>
      <c r="O96" s="15" t="n">
        <v>76</v>
      </c>
      <c r="P96" s="15" t="n">
        <v>106</v>
      </c>
      <c r="Q96" s="15" t="n">
        <v>1</v>
      </c>
      <c r="R96" s="16" t="n">
        <f aca="false">SUM(F96:P96)</f>
        <v>1426</v>
      </c>
      <c r="S96" s="12" t="n">
        <f aca="false">IF(F96=0,"n/a",P96/F96-1)</f>
        <v>0.65625</v>
      </c>
      <c r="T96" s="12" t="n">
        <f aca="false">IF(E96=0,"n/a",P96/E96-1)</f>
        <v>0.558823529411765</v>
      </c>
      <c r="U96" s="16" t="n">
        <f aca="false">MAX(ABS(SUMPRODUCT(E30:Q30,E63:Q63)/100-SUM(E96:Q96)),0)</f>
        <v>0.805199999999786</v>
      </c>
    </row>
    <row r="97" customFormat="false" ht="15" hidden="false" customHeight="false" outlineLevel="0" collapsed="false">
      <c r="A97" s="9" t="n">
        <v>25</v>
      </c>
      <c r="B97" s="9" t="s">
        <v>71</v>
      </c>
      <c r="C97" s="9" t="s">
        <v>57</v>
      </c>
      <c r="D97" s="10" t="n">
        <v>11600</v>
      </c>
      <c r="E97" s="15" t="n">
        <v>337</v>
      </c>
      <c r="F97" s="15" t="n">
        <v>178</v>
      </c>
      <c r="G97" s="15" t="n">
        <v>192</v>
      </c>
      <c r="H97" s="15" t="n">
        <v>286</v>
      </c>
      <c r="I97" s="15" t="n">
        <v>404</v>
      </c>
      <c r="J97" s="15" t="n">
        <v>231</v>
      </c>
      <c r="K97" s="15" t="n">
        <v>406</v>
      </c>
      <c r="L97" s="15" t="n">
        <v>209</v>
      </c>
      <c r="M97" s="15" t="n">
        <v>346</v>
      </c>
      <c r="N97" s="15" t="n">
        <v>483</v>
      </c>
      <c r="O97" s="15" t="n">
        <v>454</v>
      </c>
      <c r="P97" s="15" t="n">
        <v>383</v>
      </c>
      <c r="Q97" s="15" t="n">
        <v>13</v>
      </c>
      <c r="R97" s="16" t="n">
        <f aca="false">SUM(F97:P97)</f>
        <v>3572</v>
      </c>
      <c r="S97" s="12" t="n">
        <f aca="false">IF(F97=0,"n/a",P97/F97-1)</f>
        <v>1.15168539325843</v>
      </c>
      <c r="T97" s="12" t="n">
        <f aca="false">IF(E97=0,"n/a",P97/E97-1)</f>
        <v>0.136498516320475</v>
      </c>
      <c r="U97" s="16" t="n">
        <f aca="false">MAX(ABS(SUMPRODUCT(E31:Q31,E64:Q64)/100-SUM(E97:Q97)),0)</f>
        <v>0.292900000000373</v>
      </c>
    </row>
    <row r="98" customFormat="false" ht="15" hidden="false" customHeight="false" outlineLevel="0" collapsed="false">
      <c r="A98" s="9" t="n">
        <v>26</v>
      </c>
      <c r="B98" s="9" t="s">
        <v>71</v>
      </c>
      <c r="C98" s="9" t="s">
        <v>58</v>
      </c>
      <c r="D98" s="10" t="n">
        <v>654</v>
      </c>
      <c r="E98" s="15" t="n">
        <v>55</v>
      </c>
      <c r="F98" s="15" t="n">
        <v>20</v>
      </c>
      <c r="G98" s="15" t="n">
        <v>31</v>
      </c>
      <c r="H98" s="15" t="n">
        <v>80</v>
      </c>
      <c r="I98" s="15" t="n">
        <v>42</v>
      </c>
      <c r="J98" s="15" t="n">
        <v>27</v>
      </c>
      <c r="K98" s="15" t="n">
        <v>193</v>
      </c>
      <c r="L98" s="15" t="n">
        <v>40</v>
      </c>
      <c r="M98" s="15" t="n">
        <v>106</v>
      </c>
      <c r="N98" s="15" t="n">
        <v>106</v>
      </c>
      <c r="O98" s="15" t="n">
        <v>160</v>
      </c>
      <c r="P98" s="15" t="n">
        <v>51</v>
      </c>
      <c r="Q98" s="15" t="n">
        <v>0</v>
      </c>
      <c r="R98" s="16" t="n">
        <f aca="false">SUM(F98:P98)</f>
        <v>856</v>
      </c>
      <c r="S98" s="12" t="n">
        <f aca="false">IF(F98=0,"n/a",P98/F98-1)</f>
        <v>1.55</v>
      </c>
      <c r="T98" s="12" t="n">
        <f aca="false">IF(E98=0,"n/a",P98/E98-1)</f>
        <v>-0.0727272727272728</v>
      </c>
      <c r="U98" s="16" t="n">
        <f aca="false">MAX(ABS(SUMPRODUCT(E32:Q32,E65:Q65)/100-SUM(E98:Q98)),0)</f>
        <v>0.514700000000062</v>
      </c>
    </row>
    <row r="99" customFormat="false" ht="15" hidden="false" customHeight="false" outlineLevel="0" collapsed="false">
      <c r="A99" s="9" t="n">
        <v>27</v>
      </c>
      <c r="B99" s="9" t="s">
        <v>72</v>
      </c>
      <c r="C99" s="9" t="s">
        <v>57</v>
      </c>
      <c r="D99" s="10" t="n">
        <v>10298</v>
      </c>
      <c r="E99" s="15" t="n">
        <v>79</v>
      </c>
      <c r="F99" s="15" t="n">
        <v>57</v>
      </c>
      <c r="G99" s="15" t="n">
        <v>68</v>
      </c>
      <c r="H99" s="15" t="n">
        <v>64</v>
      </c>
      <c r="I99" s="15" t="n">
        <v>67</v>
      </c>
      <c r="J99" s="15" t="n">
        <v>64</v>
      </c>
      <c r="K99" s="15" t="n">
        <v>61</v>
      </c>
      <c r="L99" s="15" t="n">
        <v>61</v>
      </c>
      <c r="M99" s="15" t="n">
        <v>64</v>
      </c>
      <c r="N99" s="15" t="n">
        <v>70</v>
      </c>
      <c r="O99" s="15" t="n">
        <v>67</v>
      </c>
      <c r="P99" s="15" t="n">
        <v>70</v>
      </c>
      <c r="Q99" s="15" t="n">
        <v>3</v>
      </c>
      <c r="R99" s="16" t="n">
        <f aca="false">SUM(F99:P99)</f>
        <v>713</v>
      </c>
      <c r="S99" s="12" t="n">
        <f aca="false">IF(F99=0,"n/a",P99/F99-1)</f>
        <v>0.228070175438597</v>
      </c>
      <c r="T99" s="12" t="n">
        <f aca="false">IF(E99=0,"n/a",P99/E99-1)</f>
        <v>-0.113924050632911</v>
      </c>
      <c r="U99" s="16" t="n">
        <f aca="false">MAX(ABS(SUMPRODUCT(E33:Q33,E66:Q66)/100-SUM(E99:Q99)),0)</f>
        <v>0.59089999999992</v>
      </c>
    </row>
    <row r="100" customFormat="false" ht="15" hidden="false" customHeight="false" outlineLevel="0" collapsed="false">
      <c r="A100" s="9" t="n">
        <v>28</v>
      </c>
      <c r="B100" s="9" t="s">
        <v>72</v>
      </c>
      <c r="C100" s="9" t="s">
        <v>58</v>
      </c>
      <c r="D100" s="10" t="n">
        <v>67</v>
      </c>
      <c r="E100" s="15" t="n">
        <v>0</v>
      </c>
      <c r="F100" s="15" t="n">
        <v>0</v>
      </c>
      <c r="G100" s="15" t="n">
        <v>0</v>
      </c>
      <c r="H100" s="15" t="n">
        <v>0</v>
      </c>
      <c r="I100" s="15" t="n">
        <v>0</v>
      </c>
      <c r="J100" s="15" t="n">
        <v>1</v>
      </c>
      <c r="K100" s="15" t="n">
        <v>0</v>
      </c>
      <c r="L100" s="15" t="n">
        <v>0</v>
      </c>
      <c r="M100" s="15" t="n">
        <v>0</v>
      </c>
      <c r="N100" s="15" t="n">
        <v>0</v>
      </c>
      <c r="O100" s="15" t="n">
        <v>0</v>
      </c>
      <c r="P100" s="15" t="n">
        <v>0</v>
      </c>
      <c r="Q100" s="15" t="n">
        <v>0</v>
      </c>
      <c r="R100" s="16" t="n">
        <f aca="false">SUM(F100:P100)</f>
        <v>1</v>
      </c>
      <c r="S100" s="12" t="str">
        <f aca="false">IF(F100=0,"n/a",P100/F100-1)</f>
        <v>n/a</v>
      </c>
      <c r="T100" s="12" t="str">
        <f aca="false">IF(E100=0,"n/a",P100/E100-1)</f>
        <v>n/a</v>
      </c>
      <c r="U100" s="16" t="n">
        <f aca="false">MAX(ABS(SUMPRODUCT(E34:Q34,E67:Q67)/100-SUM(E100:Q100)),0)</f>
        <v>2.605</v>
      </c>
    </row>
    <row r="104" customFormat="false" ht="15" hidden="false" customHeight="false" outlineLevel="0" collapsed="false">
      <c r="A104" s="4" t="s">
        <v>77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 customFormat="false" ht="23.85" hidden="false" customHeight="false" outlineLevel="0" collapsed="false">
      <c r="A105" s="8" t="s">
        <v>35</v>
      </c>
      <c r="B105" s="8" t="s">
        <v>78</v>
      </c>
      <c r="C105" s="8" t="s">
        <v>79</v>
      </c>
      <c r="D105" s="8"/>
      <c r="E105" s="8" t="s">
        <v>39</v>
      </c>
      <c r="F105" s="8" t="s">
        <v>40</v>
      </c>
      <c r="G105" s="8" t="s">
        <v>41</v>
      </c>
      <c r="H105" s="8" t="s">
        <v>42</v>
      </c>
      <c r="I105" s="8" t="s">
        <v>43</v>
      </c>
      <c r="J105" s="8" t="s">
        <v>44</v>
      </c>
      <c r="K105" s="8" t="s">
        <v>45</v>
      </c>
      <c r="L105" s="8" t="s">
        <v>46</v>
      </c>
      <c r="M105" s="8" t="s">
        <v>47</v>
      </c>
      <c r="N105" s="8" t="s">
        <v>48</v>
      </c>
      <c r="O105" s="8" t="s">
        <v>49</v>
      </c>
      <c r="P105" s="8" t="s">
        <v>50</v>
      </c>
      <c r="Q105" s="8" t="s">
        <v>51</v>
      </c>
      <c r="R105" s="8" t="s">
        <v>80</v>
      </c>
      <c r="S105" s="8" t="s">
        <v>81</v>
      </c>
      <c r="T105" s="8" t="s">
        <v>54</v>
      </c>
      <c r="U105" s="8" t="s">
        <v>55</v>
      </c>
    </row>
    <row r="106" customFormat="false" ht="15" hidden="false" customHeight="false" outlineLevel="0" collapsed="false">
      <c r="A106" s="9" t="n">
        <v>1</v>
      </c>
      <c r="B106" s="9" t="s">
        <v>82</v>
      </c>
      <c r="C106" s="17" t="s">
        <v>83</v>
      </c>
      <c r="E106" s="11" t="n">
        <f aca="false">SUM(E7:E35)</f>
        <v>70837</v>
      </c>
      <c r="F106" s="11" t="n">
        <f aca="false">SUM(F7:F35)</f>
        <v>64162</v>
      </c>
      <c r="G106" s="11" t="n">
        <f aca="false">SUM(G7:G35)</f>
        <v>74295</v>
      </c>
      <c r="H106" s="11" t="n">
        <f aca="false">SUM(H7:H35)</f>
        <v>78779</v>
      </c>
      <c r="I106" s="11" t="n">
        <f aca="false">SUM(I7:I35)</f>
        <v>91867</v>
      </c>
      <c r="J106" s="11" t="n">
        <f aca="false">SUM(J7:J35)</f>
        <v>95584</v>
      </c>
      <c r="K106" s="11" t="n">
        <f aca="false">SUM(K7:K35)</f>
        <v>113823</v>
      </c>
      <c r="L106" s="11" t="n">
        <f aca="false">SUM(L7:L35)</f>
        <v>134642</v>
      </c>
      <c r="M106" s="11" t="n">
        <f aca="false">SUM(M7:M35)</f>
        <v>119689</v>
      </c>
      <c r="N106" s="11" t="n">
        <f aca="false">SUM(N7:N35)</f>
        <v>131253</v>
      </c>
      <c r="O106" s="11" t="n">
        <f aca="false">SUM(O7:O35)</f>
        <v>143984</v>
      </c>
      <c r="P106" s="11" t="n">
        <f aca="false">SUM(P7:P35)</f>
        <v>148639</v>
      </c>
      <c r="Q106" s="11" t="n">
        <f aca="false">SUM(Q7:Q35)</f>
        <v>15695</v>
      </c>
      <c r="R106" s="11" t="n">
        <f aca="false">SUM(F106:P106)</f>
        <v>1196717</v>
      </c>
      <c r="S106" s="11" t="n">
        <f aca="false">R106/11</f>
        <v>108792.454545455</v>
      </c>
      <c r="T106" s="12" t="n">
        <f aca="false">P106/F106-1</f>
        <v>1.31662042953773</v>
      </c>
      <c r="U106" s="12" t="n">
        <f aca="false">P106/E106-1</f>
        <v>1.09832432203509</v>
      </c>
    </row>
    <row r="107" customFormat="false" ht="15" hidden="false" customHeight="false" outlineLevel="0" collapsed="false">
      <c r="A107" s="9" t="n">
        <v>2</v>
      </c>
      <c r="B107" s="9" t="s">
        <v>82</v>
      </c>
      <c r="C107" s="17" t="s">
        <v>84</v>
      </c>
      <c r="E107" s="16" t="n">
        <f aca="false">SUM(E73:E101)</f>
        <v>7712</v>
      </c>
      <c r="F107" s="16" t="n">
        <f aca="false">SUM(F73:F101)</f>
        <v>4580</v>
      </c>
      <c r="G107" s="16" t="n">
        <f aca="false">SUM(G73:G101)</f>
        <v>5642</v>
      </c>
      <c r="H107" s="16" t="n">
        <f aca="false">SUM(H73:H101)</f>
        <v>6329</v>
      </c>
      <c r="I107" s="16" t="n">
        <f aca="false">SUM(I73:I101)</f>
        <v>6813</v>
      </c>
      <c r="J107" s="16" t="n">
        <f aca="false">SUM(J73:J101)</f>
        <v>6851</v>
      </c>
      <c r="K107" s="16" t="n">
        <f aca="false">SUM(K73:K101)</f>
        <v>8402</v>
      </c>
      <c r="L107" s="16" t="n">
        <f aca="false">SUM(L73:L101)</f>
        <v>7442</v>
      </c>
      <c r="M107" s="16" t="n">
        <f aca="false">SUM(M73:M101)</f>
        <v>7856</v>
      </c>
      <c r="N107" s="16" t="n">
        <f aca="false">SUM(N73:N101)</f>
        <v>9670</v>
      </c>
      <c r="O107" s="16" t="n">
        <f aca="false">SUM(O73:O101)</f>
        <v>8750</v>
      </c>
      <c r="P107" s="16" t="n">
        <f aca="false">SUM(P73:P101)</f>
        <v>8659</v>
      </c>
      <c r="Q107" s="16" t="n">
        <f aca="false">SUM(Q73:Q101)</f>
        <v>529</v>
      </c>
      <c r="R107" s="16" t="n">
        <f aca="false">SUM(F107:P107)</f>
        <v>80994</v>
      </c>
      <c r="S107" s="16" t="n">
        <f aca="false">R107/11</f>
        <v>7363.09090909091</v>
      </c>
      <c r="T107" s="12" t="n">
        <f aca="false">P107/F107-1</f>
        <v>0.89061135371179</v>
      </c>
      <c r="U107" s="12" t="n">
        <f aca="false">P107/E107-1</f>
        <v>0.122795643153527</v>
      </c>
    </row>
    <row r="108" customFormat="false" ht="15" hidden="false" customHeight="false" outlineLevel="0" collapsed="false">
      <c r="A108" s="9" t="n">
        <v>3</v>
      </c>
      <c r="B108" s="9" t="s">
        <v>82</v>
      </c>
      <c r="C108" s="17" t="s">
        <v>85</v>
      </c>
      <c r="E108" s="14" t="n">
        <f aca="false">IF(E106=0,"",E107*100/E106)</f>
        <v>10.8869658511795</v>
      </c>
      <c r="F108" s="14" t="n">
        <f aca="false">IF(F106=0,"",F107*100/F106)</f>
        <v>7.13818147813347</v>
      </c>
      <c r="G108" s="14" t="n">
        <f aca="false">IF(G106=0,"",G107*100/G106)</f>
        <v>7.59405074365704</v>
      </c>
      <c r="H108" s="14" t="n">
        <f aca="false">IF(H106=0,"",H107*100/H106)</f>
        <v>8.03386689346146</v>
      </c>
      <c r="I108" s="14" t="n">
        <f aca="false">IF(I106=0,"",I107*100/I106)</f>
        <v>7.416155964601</v>
      </c>
      <c r="J108" s="14" t="n">
        <f aca="false">IF(J106=0,"",J107*100/J106)</f>
        <v>7.16751757616338</v>
      </c>
      <c r="K108" s="14" t="n">
        <f aca="false">IF(K106=0,"",K107*100/K106)</f>
        <v>7.38163640037602</v>
      </c>
      <c r="L108" s="14" t="n">
        <f aca="false">IF(L106=0,"",L107*100/L106)</f>
        <v>5.52725004084907</v>
      </c>
      <c r="M108" s="14" t="n">
        <f aca="false">IF(M106=0,"",M107*100/M106)</f>
        <v>6.56367753093434</v>
      </c>
      <c r="N108" s="14" t="n">
        <f aca="false">IF(N106=0,"",N107*100/N106)</f>
        <v>7.36745064874708</v>
      </c>
      <c r="O108" s="14" t="n">
        <f aca="false">IF(O106=0,"",O107*100/O106)</f>
        <v>6.07706411823536</v>
      </c>
      <c r="P108" s="14" t="n">
        <f aca="false">IF(P106=0,"",P107*100/P106)</f>
        <v>5.82552358398536</v>
      </c>
      <c r="Q108" s="14" t="n">
        <f aca="false">IF(Q106=0,"",Q107*100/Q106)</f>
        <v>3.3705001592864</v>
      </c>
      <c r="R108" s="14" t="n">
        <f aca="false">IF(R106=0,"",R107*100/R106)</f>
        <v>6.76801616422262</v>
      </c>
    </row>
    <row r="109" customFormat="false" ht="15" hidden="false" customHeight="false" outlineLevel="0" collapsed="false">
      <c r="A109" s="9" t="n">
        <v>4</v>
      </c>
      <c r="B109" s="9" t="s">
        <v>37</v>
      </c>
      <c r="C109" s="17" t="s">
        <v>86</v>
      </c>
      <c r="E109" s="11" t="n">
        <f aca="false">SUMIFS(E$7:E$35,$C$7:$C$35,"OFFUS")</f>
        <v>67150</v>
      </c>
      <c r="F109" s="11" t="n">
        <f aca="false">SUMIFS(F$7:F$35,$C$7:$C$35,"OFFUS")</f>
        <v>61308</v>
      </c>
      <c r="G109" s="11" t="n">
        <f aca="false">SUMIFS(G$7:G$35,$C$7:$C$35,"OFFUS")</f>
        <v>70580</v>
      </c>
      <c r="H109" s="11" t="n">
        <f aca="false">SUMIFS(H$7:H$35,$C$7:$C$35,"OFFUS")</f>
        <v>75174</v>
      </c>
      <c r="I109" s="11" t="n">
        <f aca="false">SUMIFS(I$7:I$35,$C$7:$C$35,"OFFUS")</f>
        <v>87771</v>
      </c>
      <c r="J109" s="11" t="n">
        <f aca="false">SUMIFS(J$7:J$35,$C$7:$C$35,"OFFUS")</f>
        <v>91605</v>
      </c>
      <c r="K109" s="11" t="n">
        <f aca="false">SUMIFS(K$7:K$35,$C$7:$C$35,"OFFUS")</f>
        <v>108362</v>
      </c>
      <c r="L109" s="11" t="n">
        <f aca="false">SUMIFS(L$7:L$35,$C$7:$C$35,"OFFUS")</f>
        <v>128606</v>
      </c>
      <c r="M109" s="11" t="n">
        <f aca="false">SUMIFS(M$7:M$35,$C$7:$C$35,"OFFUS")</f>
        <v>112967</v>
      </c>
      <c r="N109" s="11" t="n">
        <f aca="false">SUMIFS(N$7:N$35,$C$7:$C$35,"OFFUS")</f>
        <v>123632</v>
      </c>
      <c r="O109" s="11" t="n">
        <f aca="false">SUMIFS(O$7:O$35,$C$7:$C$35,"OFFUS")</f>
        <v>135660</v>
      </c>
      <c r="P109" s="11" t="n">
        <f aca="false">SUMIFS(P$7:P$35,$C$7:$C$35,"OFFUS")</f>
        <v>141028</v>
      </c>
      <c r="Q109" s="11" t="n">
        <f aca="false">SUMIFS(Q$7:Q$35,$C$7:$C$35,"OFFUS")</f>
        <v>15695</v>
      </c>
      <c r="R109" s="11" t="n">
        <f aca="false">SUM(F109:P109)</f>
        <v>1136693</v>
      </c>
      <c r="S109" s="11" t="n">
        <f aca="false">R109/11</f>
        <v>103335.727272727</v>
      </c>
      <c r="T109" s="12" t="n">
        <f aca="false">P109/F109-1</f>
        <v>1.30031969726626</v>
      </c>
      <c r="U109" s="12" t="n">
        <f aca="false">P109/E109-1</f>
        <v>1.10019359642591</v>
      </c>
    </row>
    <row r="110" customFormat="false" ht="15" hidden="false" customHeight="false" outlineLevel="0" collapsed="false">
      <c r="A110" s="9" t="n">
        <v>5</v>
      </c>
      <c r="B110" s="9" t="s">
        <v>37</v>
      </c>
      <c r="C110" s="17" t="s">
        <v>87</v>
      </c>
      <c r="E110" s="16" t="n">
        <f aca="false">SUMIFS(E$73:E$101,$C$73:$C$101,"OFFUS")</f>
        <v>7142</v>
      </c>
      <c r="F110" s="16" t="n">
        <f aca="false">SUMIFS(F$73:F$101,$C$73:$C$101,"OFFUS")</f>
        <v>4161</v>
      </c>
      <c r="G110" s="16" t="n">
        <f aca="false">SUMIFS(G$73:G$101,$C$73:$C$101,"OFFUS")</f>
        <v>5280</v>
      </c>
      <c r="H110" s="16" t="n">
        <f aca="false">SUMIFS(H$73:H$101,$C$73:$C$101,"OFFUS")</f>
        <v>5847</v>
      </c>
      <c r="I110" s="16" t="n">
        <f aca="false">SUMIFS(I$73:I$101,$C$73:$C$101,"OFFUS")</f>
        <v>6362</v>
      </c>
      <c r="J110" s="16" t="n">
        <f aca="false">SUMIFS(J$73:J$101,$C$73:$C$101,"OFFUS")</f>
        <v>6410</v>
      </c>
      <c r="K110" s="16" t="n">
        <f aca="false">SUMIFS(K$73:K$101,$C$73:$C$101,"OFFUS")</f>
        <v>7612</v>
      </c>
      <c r="L110" s="16" t="n">
        <f aca="false">SUMIFS(L$73:L$101,$C$73:$C$101,"OFFUS")</f>
        <v>6893</v>
      </c>
      <c r="M110" s="16" t="n">
        <f aca="false">SUMIFS(M$73:M$101,$C$73:$C$101,"OFFUS")</f>
        <v>7023</v>
      </c>
      <c r="N110" s="16" t="n">
        <f aca="false">SUMIFS(N$73:N$101,$C$73:$C$101,"OFFUS")</f>
        <v>8916</v>
      </c>
      <c r="O110" s="16" t="n">
        <f aca="false">SUMIFS(O$73:O$101,$C$73:$C$101,"OFFUS")</f>
        <v>7907</v>
      </c>
      <c r="P110" s="16" t="n">
        <f aca="false">SUMIFS(P$73:P$101,$C$73:$C$101,"OFFUS")</f>
        <v>7937</v>
      </c>
      <c r="Q110" s="16" t="n">
        <f aca="false">SUMIFS(Q$73:Q$101,$C$73:$C$101,"OFFUS")</f>
        <v>529</v>
      </c>
      <c r="R110" s="16" t="n">
        <f aca="false">SUM(F110:P110)</f>
        <v>74348</v>
      </c>
      <c r="S110" s="16" t="n">
        <f aca="false">R110/11</f>
        <v>6758.90909090909</v>
      </c>
      <c r="T110" s="12" t="n">
        <f aca="false">P110/F110-1</f>
        <v>0.907474164864215</v>
      </c>
      <c r="U110" s="12" t="n">
        <f aca="false">P110/E110-1</f>
        <v>0.111313357602912</v>
      </c>
    </row>
    <row r="111" customFormat="false" ht="15" hidden="false" customHeight="false" outlineLevel="0" collapsed="false">
      <c r="A111" s="9" t="n">
        <v>6</v>
      </c>
      <c r="B111" s="9" t="s">
        <v>37</v>
      </c>
      <c r="C111" s="17" t="s">
        <v>88</v>
      </c>
      <c r="E111" s="11" t="n">
        <f aca="false">SUMIFS(E$7:E$35,$C$7:$C$35,"ONUS")</f>
        <v>3687</v>
      </c>
      <c r="F111" s="11" t="n">
        <f aca="false">SUMIFS(F$7:F$35,$C$7:$C$35,"ONUS")</f>
        <v>2854</v>
      </c>
      <c r="G111" s="11" t="n">
        <f aca="false">SUMIFS(G$7:G$35,$C$7:$C$35,"ONUS")</f>
        <v>3715</v>
      </c>
      <c r="H111" s="11" t="n">
        <f aca="false">SUMIFS(H$7:H$35,$C$7:$C$35,"ONUS")</f>
        <v>3605</v>
      </c>
      <c r="I111" s="11" t="n">
        <f aca="false">SUMIFS(I$7:I$35,$C$7:$C$35,"ONUS")</f>
        <v>4096</v>
      </c>
      <c r="J111" s="11" t="n">
        <f aca="false">SUMIFS(J$7:J$35,$C$7:$C$35,"ONUS")</f>
        <v>3979</v>
      </c>
      <c r="K111" s="11" t="n">
        <f aca="false">SUMIFS(K$7:K$35,$C$7:$C$35,"ONUS")</f>
        <v>5461</v>
      </c>
      <c r="L111" s="11" t="n">
        <f aca="false">SUMIFS(L$7:L$35,$C$7:$C$35,"ONUS")</f>
        <v>6036</v>
      </c>
      <c r="M111" s="11" t="n">
        <f aca="false">SUMIFS(M$7:M$35,$C$7:$C$35,"ONUS")</f>
        <v>6722</v>
      </c>
      <c r="N111" s="11" t="n">
        <f aca="false">SUMIFS(N$7:N$35,$C$7:$C$35,"ONUS")</f>
        <v>7621</v>
      </c>
      <c r="O111" s="11" t="n">
        <f aca="false">SUMIFS(O$7:O$35,$C$7:$C$35,"ONUS")</f>
        <v>8324</v>
      </c>
      <c r="P111" s="11" t="n">
        <f aca="false">SUMIFS(P$7:P$35,$C$7:$C$35,"ONUS")</f>
        <v>7611</v>
      </c>
      <c r="Q111" s="11" t="n">
        <f aca="false">SUMIFS(Q$7:Q$35,$C$7:$C$35,"ONUS")</f>
        <v>0</v>
      </c>
      <c r="R111" s="11" t="n">
        <f aca="false">SUM(F111:P111)</f>
        <v>60024</v>
      </c>
      <c r="S111" s="11" t="n">
        <f aca="false">R111/11</f>
        <v>5456.72727272727</v>
      </c>
      <c r="T111" s="12" t="n">
        <f aca="false">P111/F111-1</f>
        <v>1.66678346180799</v>
      </c>
      <c r="U111" s="12" t="n">
        <f aca="false">P111/E111-1</f>
        <v>1.06427990235964</v>
      </c>
    </row>
    <row r="112" customFormat="false" ht="15" hidden="false" customHeight="false" outlineLevel="0" collapsed="false">
      <c r="A112" s="9" t="n">
        <v>7</v>
      </c>
      <c r="B112" s="9" t="s">
        <v>37</v>
      </c>
      <c r="C112" s="17" t="s">
        <v>89</v>
      </c>
      <c r="E112" s="16" t="n">
        <f aca="false">SUMIFS(E$73:E$101,$C$73:$C$101,"ONUS")</f>
        <v>570</v>
      </c>
      <c r="F112" s="16" t="n">
        <f aca="false">SUMIFS(F$73:F$101,$C$73:$C$101,"ONUS")</f>
        <v>419</v>
      </c>
      <c r="G112" s="16" t="n">
        <f aca="false">SUMIFS(G$73:G$101,$C$73:$C$101,"ONUS")</f>
        <v>362</v>
      </c>
      <c r="H112" s="16" t="n">
        <f aca="false">SUMIFS(H$73:H$101,$C$73:$C$101,"ONUS")</f>
        <v>482</v>
      </c>
      <c r="I112" s="16" t="n">
        <f aca="false">SUMIFS(I$73:I$101,$C$73:$C$101,"ONUS")</f>
        <v>451</v>
      </c>
      <c r="J112" s="16" t="n">
        <f aca="false">SUMIFS(J$73:J$101,$C$73:$C$101,"ONUS")</f>
        <v>441</v>
      </c>
      <c r="K112" s="16" t="n">
        <f aca="false">SUMIFS(K$73:K$101,$C$73:$C$101,"ONUS")</f>
        <v>790</v>
      </c>
      <c r="L112" s="16" t="n">
        <f aca="false">SUMIFS(L$73:L$101,$C$73:$C$101,"ONUS")</f>
        <v>549</v>
      </c>
      <c r="M112" s="16" t="n">
        <f aca="false">SUMIFS(M$73:M$101,$C$73:$C$101,"ONUS")</f>
        <v>833</v>
      </c>
      <c r="N112" s="16" t="n">
        <f aca="false">SUMIFS(N$73:N$101,$C$73:$C$101,"ONUS")</f>
        <v>754</v>
      </c>
      <c r="O112" s="16" t="n">
        <f aca="false">SUMIFS(O$73:O$101,$C$73:$C$101,"ONUS")</f>
        <v>843</v>
      </c>
      <c r="P112" s="16" t="n">
        <f aca="false">SUMIFS(P$73:P$101,$C$73:$C$101,"ONUS")</f>
        <v>722</v>
      </c>
      <c r="Q112" s="16" t="n">
        <f aca="false">SUMIFS(Q$73:Q$101,$C$73:$C$101,"ONUS")</f>
        <v>0</v>
      </c>
      <c r="R112" s="16" t="n">
        <f aca="false">SUM(F112:P112)</f>
        <v>6646</v>
      </c>
      <c r="S112" s="16" t="n">
        <f aca="false">R112/11</f>
        <v>604.181818181818</v>
      </c>
      <c r="T112" s="12" t="n">
        <f aca="false">P112/F112-1</f>
        <v>0.723150357995227</v>
      </c>
      <c r="U112" s="12" t="n">
        <f aca="false">P112/E112-1</f>
        <v>0.266666666666667</v>
      </c>
    </row>
    <row r="113" customFormat="false" ht="15" hidden="false" customHeight="false" outlineLevel="0" collapsed="false">
      <c r="A113" s="9" t="n">
        <v>8</v>
      </c>
      <c r="B113" s="9" t="s">
        <v>37</v>
      </c>
      <c r="C113" s="17" t="s">
        <v>90</v>
      </c>
      <c r="E113" s="12" t="n">
        <f aca="false">E111/E106</f>
        <v>0.0520490704010616</v>
      </c>
      <c r="F113" s="12" t="n">
        <f aca="false">F111/F106</f>
        <v>0.0444811570711636</v>
      </c>
      <c r="G113" s="12" t="n">
        <f aca="false">G111/G106</f>
        <v>0.0500033649639949</v>
      </c>
      <c r="H113" s="12" t="n">
        <f aca="false">H111/H106</f>
        <v>0.0457609261351375</v>
      </c>
      <c r="I113" s="12" t="n">
        <f aca="false">I111/I106</f>
        <v>0.0445861952605397</v>
      </c>
      <c r="J113" s="12" t="n">
        <f aca="false">J111/J106</f>
        <v>0.0416283059926348</v>
      </c>
      <c r="K113" s="12" t="n">
        <f aca="false">K111/K106</f>
        <v>0.0479780009312705</v>
      </c>
      <c r="L113" s="12" t="n">
        <f aca="false">L111/L106</f>
        <v>0.0448299936126914</v>
      </c>
      <c r="M113" s="12" t="n">
        <f aca="false">M111/M106</f>
        <v>0.0561622204212584</v>
      </c>
      <c r="N113" s="12" t="n">
        <f aca="false">N111/N106</f>
        <v>0.0580634347405393</v>
      </c>
      <c r="O113" s="12" t="n">
        <f aca="false">O111/O106</f>
        <v>0.0578119791087899</v>
      </c>
      <c r="P113" s="12" t="n">
        <f aca="false">P111/P106</f>
        <v>0.0512045963710735</v>
      </c>
      <c r="Q113" s="12" t="n">
        <f aca="false">Q111/Q106</f>
        <v>0</v>
      </c>
      <c r="R113" s="12" t="n">
        <f aca="false">R111/R106</f>
        <v>0.0501572217993059</v>
      </c>
    </row>
    <row r="114" customFormat="false" ht="15" hidden="false" customHeight="false" outlineLevel="0" collapsed="false">
      <c r="A114" s="9" t="n">
        <v>9</v>
      </c>
      <c r="B114" s="9" t="s">
        <v>37</v>
      </c>
      <c r="C114" s="17" t="s">
        <v>91</v>
      </c>
      <c r="E114" s="12" t="n">
        <f aca="false">E112/E107</f>
        <v>0.0739107883817427</v>
      </c>
      <c r="F114" s="12" t="n">
        <f aca="false">F112/F107</f>
        <v>0.0914847161572052</v>
      </c>
      <c r="G114" s="12" t="n">
        <f aca="false">G112/G107</f>
        <v>0.0641616448068061</v>
      </c>
      <c r="H114" s="12" t="n">
        <f aca="false">H112/H107</f>
        <v>0.076157370832675</v>
      </c>
      <c r="I114" s="12" t="n">
        <f aca="false">I112/I107</f>
        <v>0.0661969763687069</v>
      </c>
      <c r="J114" s="12" t="n">
        <f aca="false">J112/J107</f>
        <v>0.0643701649394249</v>
      </c>
      <c r="K114" s="12" t="n">
        <f aca="false">K112/K107</f>
        <v>0.0940252320875982</v>
      </c>
      <c r="L114" s="12" t="n">
        <f aca="false">L112/L107</f>
        <v>0.0737704918032787</v>
      </c>
      <c r="M114" s="12" t="n">
        <f aca="false">M112/M107</f>
        <v>0.106033604887984</v>
      </c>
      <c r="N114" s="12" t="n">
        <f aca="false">N112/N107</f>
        <v>0.0779731127197518</v>
      </c>
      <c r="O114" s="12" t="n">
        <f aca="false">O112/O107</f>
        <v>0.0963428571428572</v>
      </c>
      <c r="P114" s="12" t="n">
        <f aca="false">P112/P107</f>
        <v>0.0833814528236517</v>
      </c>
      <c r="Q114" s="12" t="n">
        <f aca="false">Q112/Q107</f>
        <v>0</v>
      </c>
      <c r="R114" s="12" t="n">
        <f aca="false">R112/R107</f>
        <v>0.0820554608983382</v>
      </c>
    </row>
    <row r="115" customFormat="false" ht="15" hidden="false" customHeight="false" outlineLevel="0" collapsed="false">
      <c r="A115" s="9" t="n">
        <v>10</v>
      </c>
      <c r="B115" s="9" t="s">
        <v>36</v>
      </c>
      <c r="C115" s="17" t="s">
        <v>92</v>
      </c>
      <c r="E115" s="11" t="n">
        <f aca="false">SUMIFS(E$7:E$35,$B$7:$B$35,"Housing Loan")</f>
        <v>4009</v>
      </c>
      <c r="F115" s="11" t="n">
        <f aca="false">SUMIFS(F$7:F$35,$B$7:$B$35,"Housing Loan")</f>
        <v>2202</v>
      </c>
      <c r="G115" s="11" t="n">
        <f aca="false">SUMIFS(G$7:G$35,$B$7:$B$35,"Housing Loan")</f>
        <v>2972</v>
      </c>
      <c r="H115" s="11" t="n">
        <f aca="false">SUMIFS(H$7:H$35,$B$7:$B$35,"Housing Loan")</f>
        <v>3027</v>
      </c>
      <c r="I115" s="11" t="n">
        <f aca="false">SUMIFS(I$7:I$35,$B$7:$B$35,"Housing Loan")</f>
        <v>3241</v>
      </c>
      <c r="J115" s="11" t="n">
        <f aca="false">SUMIFS(J$7:J$35,$B$7:$B$35,"Housing Loan")</f>
        <v>3153</v>
      </c>
      <c r="K115" s="11" t="n">
        <f aca="false">SUMIFS(K$7:K$35,$B$7:$B$35,"Housing Loan")</f>
        <v>3504</v>
      </c>
      <c r="L115" s="11" t="n">
        <f aca="false">SUMIFS(L$7:L$35,$B$7:$B$35,"Housing Loan")</f>
        <v>2978</v>
      </c>
      <c r="M115" s="11" t="n">
        <f aca="false">SUMIFS(M$7:M$35,$B$7:$B$35,"Housing Loan")</f>
        <v>3337</v>
      </c>
      <c r="N115" s="11" t="n">
        <f aca="false">SUMIFS(N$7:N$35,$B$7:$B$35,"Housing Loan")</f>
        <v>3600</v>
      </c>
      <c r="O115" s="11" t="n">
        <f aca="false">SUMIFS(O$7:O$35,$B$7:$B$35,"Housing Loan")</f>
        <v>3258</v>
      </c>
      <c r="P115" s="11" t="n">
        <f aca="false">SUMIFS(P$7:P$35,$B$7:$B$35,"Housing Loan")</f>
        <v>3444</v>
      </c>
      <c r="Q115" s="11" t="n">
        <f aca="false">SUMIFS(Q$7:Q$35,$B$7:$B$35,"Housing Loan")</f>
        <v>133</v>
      </c>
      <c r="R115" s="11" t="n">
        <f aca="false">SUM(F115:P115)</f>
        <v>34716</v>
      </c>
      <c r="S115" s="11" t="n">
        <f aca="false">R115/11</f>
        <v>3156</v>
      </c>
      <c r="T115" s="12" t="n">
        <f aca="false">P115/F115-1</f>
        <v>0.564032697547684</v>
      </c>
      <c r="U115" s="12" t="n">
        <f aca="false">P115/E115-1</f>
        <v>-0.140932900972811</v>
      </c>
    </row>
    <row r="116" customFormat="false" ht="15" hidden="false" customHeight="false" outlineLevel="0" collapsed="false">
      <c r="A116" s="9" t="n">
        <v>11</v>
      </c>
      <c r="B116" s="9" t="s">
        <v>36</v>
      </c>
      <c r="C116" s="17" t="s">
        <v>93</v>
      </c>
      <c r="E116" s="16" t="n">
        <f aca="false">SUMIFS(E$73:E$101,$B$73:$B$101,"Housing Loan")</f>
        <v>2297</v>
      </c>
      <c r="F116" s="16" t="n">
        <f aca="false">SUMIFS(F$73:F$101,$B$73:$B$101,"Housing Loan")</f>
        <v>1140</v>
      </c>
      <c r="G116" s="16" t="n">
        <f aca="false">SUMIFS(G$73:G$101,$B$73:$B$101,"Housing Loan")</f>
        <v>1528</v>
      </c>
      <c r="H116" s="16" t="n">
        <f aca="false">SUMIFS(H$73:H$101,$B$73:$B$101,"Housing Loan")</f>
        <v>1579</v>
      </c>
      <c r="I116" s="16" t="n">
        <f aca="false">SUMIFS(I$73:I$101,$B$73:$B$101,"Housing Loan")</f>
        <v>1737</v>
      </c>
      <c r="J116" s="16" t="n">
        <f aca="false">SUMIFS(J$73:J$101,$B$73:$B$101,"Housing Loan")</f>
        <v>1826</v>
      </c>
      <c r="K116" s="16" t="n">
        <f aca="false">SUMIFS(K$73:K$101,$B$73:$B$101,"Housing Loan")</f>
        <v>2263</v>
      </c>
      <c r="L116" s="16" t="n">
        <f aca="false">SUMIFS(L$73:L$101,$B$73:$B$101,"Housing Loan")</f>
        <v>1875</v>
      </c>
      <c r="M116" s="16" t="n">
        <f aca="false">SUMIFS(M$73:M$101,$B$73:$B$101,"Housing Loan")</f>
        <v>1935</v>
      </c>
      <c r="N116" s="16" t="n">
        <f aca="false">SUMIFS(N$73:N$101,$B$73:$B$101,"Housing Loan")</f>
        <v>2292</v>
      </c>
      <c r="O116" s="16" t="n">
        <f aca="false">SUMIFS(O$73:O$101,$B$73:$B$101,"Housing Loan")</f>
        <v>1853</v>
      </c>
      <c r="P116" s="16" t="n">
        <f aca="false">SUMIFS(P$73:P$101,$B$73:$B$101,"Housing Loan")</f>
        <v>1888</v>
      </c>
      <c r="Q116" s="16" t="n">
        <f aca="false">SUMIFS(Q$73:Q$101,$B$73:$B$101,"Housing Loan")</f>
        <v>84</v>
      </c>
      <c r="R116" s="16" t="n">
        <f aca="false">SUM(F116:P116)</f>
        <v>19916</v>
      </c>
      <c r="S116" s="16" t="n">
        <f aca="false">R116/11</f>
        <v>1810.54545454545</v>
      </c>
      <c r="T116" s="12" t="n">
        <f aca="false">P116/F116-1</f>
        <v>0.656140350877193</v>
      </c>
      <c r="U116" s="12" t="n">
        <f aca="false">P116/E116-1</f>
        <v>-0.178058336961254</v>
      </c>
    </row>
    <row r="117" customFormat="false" ht="15" hidden="false" customHeight="false" outlineLevel="0" collapsed="false">
      <c r="A117" s="9" t="n">
        <v>12</v>
      </c>
      <c r="B117" s="9" t="s">
        <v>36</v>
      </c>
      <c r="C117" s="17" t="s">
        <v>94</v>
      </c>
      <c r="E117" s="11" t="n">
        <f aca="false">SUMIFS(E$7:E$35,$B$7:$B$35,"Property Loan")</f>
        <v>2539</v>
      </c>
      <c r="F117" s="11" t="n">
        <f aca="false">SUMIFS(F$7:F$35,$B$7:$B$35,"Property Loan")</f>
        <v>1463</v>
      </c>
      <c r="G117" s="11" t="n">
        <f aca="false">SUMIFS(G$7:G$35,$B$7:$B$35,"Property Loan")</f>
        <v>1803</v>
      </c>
      <c r="H117" s="11" t="n">
        <f aca="false">SUMIFS(H$7:H$35,$B$7:$B$35,"Property Loan")</f>
        <v>1913</v>
      </c>
      <c r="I117" s="11" t="n">
        <f aca="false">SUMIFS(I$7:I$35,$B$7:$B$35,"Property Loan")</f>
        <v>2141</v>
      </c>
      <c r="J117" s="11" t="n">
        <f aca="false">SUMIFS(J$7:J$35,$B$7:$B$35,"Property Loan")</f>
        <v>2011</v>
      </c>
      <c r="K117" s="11" t="n">
        <f aca="false">SUMIFS(K$7:K$35,$B$7:$B$35,"Property Loan")</f>
        <v>2277</v>
      </c>
      <c r="L117" s="11" t="n">
        <f aca="false">SUMIFS(L$7:L$35,$B$7:$B$35,"Property Loan")</f>
        <v>2055</v>
      </c>
      <c r="M117" s="11" t="n">
        <f aca="false">SUMIFS(M$7:M$35,$B$7:$B$35,"Property Loan")</f>
        <v>2141</v>
      </c>
      <c r="N117" s="11" t="n">
        <f aca="false">SUMIFS(N$7:N$35,$B$7:$B$35,"Property Loan")</f>
        <v>2350</v>
      </c>
      <c r="O117" s="11" t="n">
        <f aca="false">SUMIFS(O$7:O$35,$B$7:$B$35,"Property Loan")</f>
        <v>2209</v>
      </c>
      <c r="P117" s="11" t="n">
        <f aca="false">SUMIFS(P$7:P$35,$B$7:$B$35,"Property Loan")</f>
        <v>2195</v>
      </c>
      <c r="Q117" s="11" t="n">
        <f aca="false">SUMIFS(Q$7:Q$35,$B$7:$B$35,"Property Loan")</f>
        <v>31</v>
      </c>
      <c r="R117" s="11" t="n">
        <f aca="false">SUM(F117:P117)</f>
        <v>22558</v>
      </c>
      <c r="S117" s="11" t="n">
        <f aca="false">R117/11</f>
        <v>2050.72727272727</v>
      </c>
      <c r="T117" s="12" t="n">
        <f aca="false">P117/F117-1</f>
        <v>0.500341763499658</v>
      </c>
      <c r="U117" s="12" t="n">
        <f aca="false">P117/E117-1</f>
        <v>-0.135486411973218</v>
      </c>
    </row>
    <row r="118" customFormat="false" ht="15" hidden="false" customHeight="false" outlineLevel="0" collapsed="false">
      <c r="A118" s="9" t="n">
        <v>13</v>
      </c>
      <c r="B118" s="9" t="s">
        <v>36</v>
      </c>
      <c r="C118" s="17" t="s">
        <v>95</v>
      </c>
      <c r="E118" s="16" t="n">
        <f aca="false">SUMIFS(E$73:E$101,$B$73:$B$101,"Property Loan")</f>
        <v>2234</v>
      </c>
      <c r="F118" s="16" t="n">
        <f aca="false">SUMIFS(F$73:F$101,$B$73:$B$101,"Property Loan")</f>
        <v>1367</v>
      </c>
      <c r="G118" s="16" t="n">
        <f aca="false">SUMIFS(G$73:G$101,$B$73:$B$101,"Property Loan")</f>
        <v>1497</v>
      </c>
      <c r="H118" s="16" t="n">
        <f aca="false">SUMIFS(H$73:H$101,$B$73:$B$101,"Property Loan")</f>
        <v>1528</v>
      </c>
      <c r="I118" s="16" t="n">
        <f aca="false">SUMIFS(I$73:I$101,$B$73:$B$101,"Property Loan")</f>
        <v>1670</v>
      </c>
      <c r="J118" s="16" t="n">
        <f aca="false">SUMIFS(J$73:J$101,$B$73:$B$101,"Property Loan")</f>
        <v>1938</v>
      </c>
      <c r="K118" s="16" t="n">
        <f aca="false">SUMIFS(K$73:K$101,$B$73:$B$101,"Property Loan")</f>
        <v>2337</v>
      </c>
      <c r="L118" s="16" t="n">
        <f aca="false">SUMIFS(L$73:L$101,$B$73:$B$101,"Property Loan")</f>
        <v>1777</v>
      </c>
      <c r="M118" s="16" t="n">
        <f aca="false">SUMIFS(M$73:M$101,$B$73:$B$101,"Property Loan")</f>
        <v>1930</v>
      </c>
      <c r="N118" s="16" t="n">
        <f aca="false">SUMIFS(N$73:N$101,$B$73:$B$101,"Property Loan")</f>
        <v>2592</v>
      </c>
      <c r="O118" s="16" t="n">
        <f aca="false">SUMIFS(O$73:O$101,$B$73:$B$101,"Property Loan")</f>
        <v>2371</v>
      </c>
      <c r="P118" s="16" t="n">
        <f aca="false">SUMIFS(P$73:P$101,$B$73:$B$101,"Property Loan")</f>
        <v>1925</v>
      </c>
      <c r="Q118" s="16" t="n">
        <f aca="false">SUMIFS(Q$73:Q$101,$B$73:$B$101,"Property Loan")</f>
        <v>31</v>
      </c>
      <c r="R118" s="16" t="n">
        <f aca="false">SUM(F118:P118)</f>
        <v>20932</v>
      </c>
      <c r="S118" s="16" t="n">
        <f aca="false">R118/11</f>
        <v>1902.90909090909</v>
      </c>
      <c r="T118" s="12" t="n">
        <f aca="false">P118/F118-1</f>
        <v>0.408193123628383</v>
      </c>
      <c r="U118" s="12" t="n">
        <f aca="false">P118/E118-1</f>
        <v>-0.138316920322292</v>
      </c>
    </row>
    <row r="119" customFormat="false" ht="15" hidden="false" customHeight="false" outlineLevel="0" collapsed="false">
      <c r="A119" s="9" t="n">
        <v>14</v>
      </c>
      <c r="B119" s="9" t="s">
        <v>36</v>
      </c>
      <c r="C119" s="17" t="s">
        <v>96</v>
      </c>
      <c r="E119" s="11" t="n">
        <f aca="false">SUMIFS(E$7:E$35,$B$7:$B$35,"Gold Loan")</f>
        <v>6021</v>
      </c>
      <c r="F119" s="11" t="n">
        <f aca="false">SUMIFS(F$7:F$35,$B$7:$B$35,"Gold Loan")</f>
        <v>6735</v>
      </c>
      <c r="G119" s="11" t="n">
        <f aca="false">SUMIFS(G$7:G$35,$B$7:$B$35,"Gold Loan")</f>
        <v>9839</v>
      </c>
      <c r="H119" s="11" t="n">
        <f aca="false">SUMIFS(H$7:H$35,$B$7:$B$35,"Gold Loan")</f>
        <v>10001</v>
      </c>
      <c r="I119" s="11" t="n">
        <f aca="false">SUMIFS(I$7:I$35,$B$7:$B$35,"Gold Loan")</f>
        <v>11489</v>
      </c>
      <c r="J119" s="11" t="n">
        <f aca="false">SUMIFS(J$7:J$35,$B$7:$B$35,"Gold Loan")</f>
        <v>11031</v>
      </c>
      <c r="K119" s="11" t="n">
        <f aca="false">SUMIFS(K$7:K$35,$B$7:$B$35,"Gold Loan")</f>
        <v>15340</v>
      </c>
      <c r="L119" s="11" t="n">
        <f aca="false">SUMIFS(L$7:L$35,$B$7:$B$35,"Gold Loan")</f>
        <v>19651</v>
      </c>
      <c r="M119" s="11" t="n">
        <f aca="false">SUMIFS(M$7:M$35,$B$7:$B$35,"Gold Loan")</f>
        <v>22858</v>
      </c>
      <c r="N119" s="11" t="n">
        <f aca="false">SUMIFS(N$7:N$35,$B$7:$B$35,"Gold Loan")</f>
        <v>27024</v>
      </c>
      <c r="O119" s="11" t="n">
        <f aca="false">SUMIFS(O$7:O$35,$B$7:$B$35,"Gold Loan")</f>
        <v>32307</v>
      </c>
      <c r="P119" s="11" t="n">
        <f aca="false">SUMIFS(P$7:P$35,$B$7:$B$35,"Gold Loan")</f>
        <v>41987</v>
      </c>
      <c r="Q119" s="11" t="n">
        <f aca="false">SUMIFS(Q$7:Q$35,$B$7:$B$35,"Gold Loan")</f>
        <v>4608</v>
      </c>
      <c r="R119" s="11" t="n">
        <f aca="false">SUM(F119:P119)</f>
        <v>208262</v>
      </c>
      <c r="S119" s="11" t="n">
        <f aca="false">R119/11</f>
        <v>18932.9090909091</v>
      </c>
      <c r="T119" s="12" t="n">
        <f aca="false">P119/F119-1</f>
        <v>5.23414996288048</v>
      </c>
      <c r="U119" s="12" t="n">
        <f aca="false">P119/E119-1</f>
        <v>5.97342634113935</v>
      </c>
    </row>
    <row r="120" customFormat="false" ht="15" hidden="false" customHeight="false" outlineLevel="0" collapsed="false">
      <c r="A120" s="9" t="n">
        <v>15</v>
      </c>
      <c r="B120" s="9" t="s">
        <v>36</v>
      </c>
      <c r="C120" s="17" t="s">
        <v>97</v>
      </c>
      <c r="E120" s="16" t="n">
        <f aca="false">SUMIFS(E$73:E$101,$B$73:$B$101,"Gold Loan")</f>
        <v>158</v>
      </c>
      <c r="F120" s="16" t="n">
        <f aca="false">SUMIFS(F$73:F$101,$B$73:$B$101,"Gold Loan")</f>
        <v>168</v>
      </c>
      <c r="G120" s="16" t="n">
        <f aca="false">SUMIFS(G$73:G$101,$B$73:$B$101,"Gold Loan")</f>
        <v>262</v>
      </c>
      <c r="H120" s="16" t="n">
        <f aca="false">SUMIFS(H$73:H$101,$B$73:$B$101,"Gold Loan")</f>
        <v>270</v>
      </c>
      <c r="I120" s="16" t="n">
        <f aca="false">SUMIFS(I$73:I$101,$B$73:$B$101,"Gold Loan")</f>
        <v>329</v>
      </c>
      <c r="J120" s="16" t="n">
        <f aca="false">SUMIFS(J$73:J$101,$B$73:$B$101,"Gold Loan")</f>
        <v>333</v>
      </c>
      <c r="K120" s="16" t="n">
        <f aca="false">SUMIFS(K$73:K$101,$B$73:$B$101,"Gold Loan")</f>
        <v>516</v>
      </c>
      <c r="L120" s="16" t="n">
        <f aca="false">SUMIFS(L$73:L$101,$B$73:$B$101,"Gold Loan")</f>
        <v>704</v>
      </c>
      <c r="M120" s="16" t="n">
        <f aca="false">SUMIFS(M$73:M$101,$B$73:$B$101,"Gold Loan")</f>
        <v>850</v>
      </c>
      <c r="N120" s="16" t="n">
        <f aca="false">SUMIFS(N$73:N$101,$B$73:$B$101,"Gold Loan")</f>
        <v>1120</v>
      </c>
      <c r="O120" s="16" t="n">
        <f aca="false">SUMIFS(O$73:O$101,$B$73:$B$101,"Gold Loan")</f>
        <v>1434</v>
      </c>
      <c r="P120" s="16" t="n">
        <f aca="false">SUMIFS(P$73:P$101,$B$73:$B$101,"Gold Loan")</f>
        <v>2078</v>
      </c>
      <c r="Q120" s="16" t="n">
        <f aca="false">SUMIFS(Q$73:Q$101,$B$73:$B$101,"Gold Loan")</f>
        <v>215</v>
      </c>
      <c r="R120" s="16" t="n">
        <f aca="false">SUM(F120:P120)</f>
        <v>8064</v>
      </c>
      <c r="S120" s="16" t="n">
        <f aca="false">R120/11</f>
        <v>733.090909090909</v>
      </c>
      <c r="T120" s="12" t="n">
        <f aca="false">P120/F120-1</f>
        <v>11.3690476190476</v>
      </c>
      <c r="U120" s="12" t="n">
        <f aca="false">P120/E120-1</f>
        <v>12.1518987341772</v>
      </c>
    </row>
    <row r="121" customFormat="false" ht="15" hidden="false" customHeight="false" outlineLevel="0" collapsed="false">
      <c r="A121" s="9" t="n">
        <v>16</v>
      </c>
      <c r="B121" s="9" t="s">
        <v>36</v>
      </c>
      <c r="C121" s="17" t="s">
        <v>98</v>
      </c>
      <c r="E121" s="11" t="n">
        <f aca="false">SUMIFS(E$7:E$35,$B$7:$B$35,"Two Wheeler Loan")</f>
        <v>3688</v>
      </c>
      <c r="F121" s="11" t="n">
        <f aca="false">SUMIFS(F$7:F$35,$B$7:$B$35,"Two Wheeler Loan")</f>
        <v>3731</v>
      </c>
      <c r="G121" s="11" t="n">
        <f aca="false">SUMIFS(G$7:G$35,$B$7:$B$35,"Two Wheeler Loan")</f>
        <v>3682</v>
      </c>
      <c r="H121" s="11" t="n">
        <f aca="false">SUMIFS(H$7:H$35,$B$7:$B$35,"Two Wheeler Loan")</f>
        <v>3713</v>
      </c>
      <c r="I121" s="11" t="n">
        <f aca="false">SUMIFS(I$7:I$35,$B$7:$B$35,"Two Wheeler Loan")</f>
        <v>3635</v>
      </c>
      <c r="J121" s="11" t="n">
        <f aca="false">SUMIFS(J$7:J$35,$B$7:$B$35,"Two Wheeler Loan")</f>
        <v>3737</v>
      </c>
      <c r="K121" s="11" t="n">
        <f aca="false">SUMIFS(K$7:K$35,$B$7:$B$35,"Two Wheeler Loan")</f>
        <v>3636</v>
      </c>
      <c r="L121" s="11" t="n">
        <f aca="false">SUMIFS(L$7:L$35,$B$7:$B$35,"Two Wheeler Loan")</f>
        <v>7159</v>
      </c>
      <c r="M121" s="11" t="n">
        <f aca="false">SUMIFS(M$7:M$35,$B$7:$B$35,"Two Wheeler Loan")</f>
        <v>4214</v>
      </c>
      <c r="N121" s="11" t="n">
        <f aca="false">SUMIFS(N$7:N$35,$B$7:$B$35,"Two Wheeler Loan")</f>
        <v>3341</v>
      </c>
      <c r="O121" s="11" t="n">
        <f aca="false">SUMIFS(O$7:O$35,$B$7:$B$35,"Two Wheeler Loan")</f>
        <v>3990</v>
      </c>
      <c r="P121" s="11" t="n">
        <f aca="false">SUMIFS(P$7:P$35,$B$7:$B$35,"Two Wheeler Loan")</f>
        <v>3438</v>
      </c>
      <c r="Q121" s="11" t="n">
        <f aca="false">SUMIFS(Q$7:Q$35,$B$7:$B$35,"Two Wheeler Loan")</f>
        <v>470</v>
      </c>
      <c r="R121" s="11" t="n">
        <f aca="false">SUM(F121:P121)</f>
        <v>44276</v>
      </c>
      <c r="S121" s="11" t="n">
        <f aca="false">R121/11</f>
        <v>4025.09090909091</v>
      </c>
      <c r="T121" s="12" t="n">
        <f aca="false">P121/F121-1</f>
        <v>-0.0785312248726883</v>
      </c>
      <c r="U121" s="12" t="n">
        <f aca="false">P121/E121-1</f>
        <v>-0.0677874186550976</v>
      </c>
    </row>
    <row r="122" customFormat="false" ht="15" hidden="false" customHeight="false" outlineLevel="0" collapsed="false">
      <c r="A122" s="9" t="n">
        <v>17</v>
      </c>
      <c r="B122" s="9" t="s">
        <v>36</v>
      </c>
      <c r="C122" s="17" t="s">
        <v>99</v>
      </c>
      <c r="E122" s="16" t="n">
        <f aca="false">SUMIFS(E$73:E$101,$B$73:$B$101,"Two Wheeler Loan")</f>
        <v>43</v>
      </c>
      <c r="F122" s="16" t="n">
        <f aca="false">SUMIFS(F$73:F$101,$B$73:$B$101,"Two Wheeler Loan")</f>
        <v>39</v>
      </c>
      <c r="G122" s="16" t="n">
        <f aca="false">SUMIFS(G$73:G$101,$B$73:$B$101,"Two Wheeler Loan")</f>
        <v>40</v>
      </c>
      <c r="H122" s="16" t="n">
        <f aca="false">SUMIFS(H$73:H$101,$B$73:$B$101,"Two Wheeler Loan")</f>
        <v>40</v>
      </c>
      <c r="I122" s="16" t="n">
        <f aca="false">SUMIFS(I$73:I$101,$B$73:$B$101,"Two Wheeler Loan")</f>
        <v>40</v>
      </c>
      <c r="J122" s="16" t="n">
        <f aca="false">SUMIFS(J$73:J$101,$B$73:$B$101,"Two Wheeler Loan")</f>
        <v>41</v>
      </c>
      <c r="K122" s="16" t="n">
        <f aca="false">SUMIFS(K$73:K$101,$B$73:$B$101,"Two Wheeler Loan")</f>
        <v>41</v>
      </c>
      <c r="L122" s="16" t="n">
        <f aca="false">SUMIFS(L$73:L$101,$B$73:$B$101,"Two Wheeler Loan")</f>
        <v>72</v>
      </c>
      <c r="M122" s="16" t="n">
        <f aca="false">SUMIFS(M$73:M$101,$B$73:$B$101,"Two Wheeler Loan")</f>
        <v>44</v>
      </c>
      <c r="N122" s="16" t="n">
        <f aca="false">SUMIFS(N$73:N$101,$B$73:$B$101,"Two Wheeler Loan")</f>
        <v>39</v>
      </c>
      <c r="O122" s="16" t="n">
        <f aca="false">SUMIFS(O$73:O$101,$B$73:$B$101,"Two Wheeler Loan")</f>
        <v>42</v>
      </c>
      <c r="P122" s="16" t="n">
        <f aca="false">SUMIFS(P$73:P$101,$B$73:$B$101,"Two Wheeler Loan")</f>
        <v>38</v>
      </c>
      <c r="Q122" s="16" t="n">
        <f aca="false">SUMIFS(Q$73:Q$101,$B$73:$B$101,"Two Wheeler Loan")</f>
        <v>5</v>
      </c>
      <c r="R122" s="16" t="n">
        <f aca="false">SUM(F122:P122)</f>
        <v>476</v>
      </c>
      <c r="S122" s="16" t="n">
        <f aca="false">R122/11</f>
        <v>43.2727272727273</v>
      </c>
      <c r="T122" s="12" t="n">
        <f aca="false">P122/F122-1</f>
        <v>-0.0256410256410257</v>
      </c>
      <c r="U122" s="12" t="n">
        <f aca="false">P122/E122-1</f>
        <v>-0.116279069767442</v>
      </c>
    </row>
    <row r="123" customFormat="false" ht="15" hidden="false" customHeight="false" outlineLevel="0" collapsed="false">
      <c r="A123" s="9" t="n">
        <v>18</v>
      </c>
      <c r="B123" s="9" t="s">
        <v>36</v>
      </c>
      <c r="C123" s="17" t="s">
        <v>100</v>
      </c>
      <c r="E123" s="11" t="n">
        <f aca="false">SUMIFS(E$7:E$35,$B$7:$B$35,"Auto Loan")</f>
        <v>2605</v>
      </c>
      <c r="F123" s="11" t="n">
        <f aca="false">SUMIFS(F$7:F$35,$B$7:$B$35,"Auto Loan")</f>
        <v>2063</v>
      </c>
      <c r="G123" s="11" t="n">
        <f aca="false">SUMIFS(G$7:G$35,$B$7:$B$35,"Auto Loan")</f>
        <v>2131</v>
      </c>
      <c r="H123" s="11" t="n">
        <f aca="false">SUMIFS(H$7:H$35,$B$7:$B$35,"Auto Loan")</f>
        <v>2213</v>
      </c>
      <c r="I123" s="11" t="n">
        <f aca="false">SUMIFS(I$7:I$35,$B$7:$B$35,"Auto Loan")</f>
        <v>2478</v>
      </c>
      <c r="J123" s="11" t="n">
        <f aca="false">SUMIFS(J$7:J$35,$B$7:$B$35,"Auto Loan")</f>
        <v>2419</v>
      </c>
      <c r="K123" s="11" t="n">
        <f aca="false">SUMIFS(K$7:K$35,$B$7:$B$35,"Auto Loan")</f>
        <v>2795</v>
      </c>
      <c r="L123" s="11" t="n">
        <f aca="false">SUMIFS(L$7:L$35,$B$7:$B$35,"Auto Loan")</f>
        <v>3399</v>
      </c>
      <c r="M123" s="11" t="n">
        <f aca="false">SUMIFS(M$7:M$35,$B$7:$B$35,"Auto Loan")</f>
        <v>2346</v>
      </c>
      <c r="N123" s="11" t="n">
        <f aca="false">SUMIFS(N$7:N$35,$B$7:$B$35,"Auto Loan")</f>
        <v>3275</v>
      </c>
      <c r="O123" s="11" t="n">
        <f aca="false">SUMIFS(O$7:O$35,$B$7:$B$35,"Auto Loan")</f>
        <v>2365</v>
      </c>
      <c r="P123" s="11" t="n">
        <f aca="false">SUMIFS(P$7:P$35,$B$7:$B$35,"Auto Loan")</f>
        <v>2329</v>
      </c>
      <c r="Q123" s="11" t="n">
        <f aca="false">SUMIFS(Q$7:Q$35,$B$7:$B$35,"Auto Loan")</f>
        <v>147</v>
      </c>
      <c r="R123" s="11" t="n">
        <f aca="false">SUM(F123:P123)</f>
        <v>27813</v>
      </c>
      <c r="S123" s="11" t="n">
        <f aca="false">R123/11</f>
        <v>2528.45454545455</v>
      </c>
      <c r="T123" s="12" t="n">
        <f aca="false">P123/F123-1</f>
        <v>0.128938439166263</v>
      </c>
      <c r="U123" s="12" t="n">
        <f aca="false">P123/E123-1</f>
        <v>-0.10595009596929</v>
      </c>
    </row>
    <row r="124" customFormat="false" ht="15" hidden="false" customHeight="false" outlineLevel="0" collapsed="false">
      <c r="A124" s="9" t="n">
        <v>19</v>
      </c>
      <c r="B124" s="9" t="s">
        <v>36</v>
      </c>
      <c r="C124" s="17" t="s">
        <v>101</v>
      </c>
      <c r="E124" s="16" t="n">
        <f aca="false">SUMIFS(E$73:E$101,$B$73:$B$101,"Auto Loan")</f>
        <v>342</v>
      </c>
      <c r="F124" s="16" t="n">
        <f aca="false">SUMIFS(F$73:F$101,$B$73:$B$101,"Auto Loan")</f>
        <v>281</v>
      </c>
      <c r="G124" s="16" t="n">
        <f aca="false">SUMIFS(G$73:G$101,$B$73:$B$101,"Auto Loan")</f>
        <v>294</v>
      </c>
      <c r="H124" s="16" t="n">
        <f aca="false">SUMIFS(H$73:H$101,$B$73:$B$101,"Auto Loan")</f>
        <v>282</v>
      </c>
      <c r="I124" s="16" t="n">
        <f aca="false">SUMIFS(I$73:I$101,$B$73:$B$101,"Auto Loan")</f>
        <v>312</v>
      </c>
      <c r="J124" s="16" t="n">
        <f aca="false">SUMIFS(J$73:J$101,$B$73:$B$101,"Auto Loan")</f>
        <v>329</v>
      </c>
      <c r="K124" s="16" t="n">
        <f aca="false">SUMIFS(K$73:K$101,$B$73:$B$101,"Auto Loan")</f>
        <v>366</v>
      </c>
      <c r="L124" s="16" t="n">
        <f aca="false">SUMIFS(L$73:L$101,$B$73:$B$101,"Auto Loan")</f>
        <v>406</v>
      </c>
      <c r="M124" s="16" t="n">
        <f aca="false">SUMIFS(M$73:M$101,$B$73:$B$101,"Auto Loan")</f>
        <v>300</v>
      </c>
      <c r="N124" s="16" t="n">
        <f aca="false">SUMIFS(N$73:N$101,$B$73:$B$101,"Auto Loan")</f>
        <v>408</v>
      </c>
      <c r="O124" s="16" t="n">
        <f aca="false">SUMIFS(O$73:O$101,$B$73:$B$101,"Auto Loan")</f>
        <v>317</v>
      </c>
      <c r="P124" s="16" t="n">
        <f aca="false">SUMIFS(P$73:P$101,$B$73:$B$101,"Auto Loan")</f>
        <v>301</v>
      </c>
      <c r="Q124" s="16" t="n">
        <f aca="false">SUMIFS(Q$73:Q$101,$B$73:$B$101,"Auto Loan")</f>
        <v>16</v>
      </c>
      <c r="R124" s="16" t="n">
        <f aca="false">SUM(F124:P124)</f>
        <v>3596</v>
      </c>
      <c r="S124" s="16" t="n">
        <f aca="false">R124/11</f>
        <v>326.909090909091</v>
      </c>
      <c r="T124" s="12" t="n">
        <f aca="false">P124/F124-1</f>
        <v>0.0711743772241993</v>
      </c>
      <c r="U124" s="12" t="n">
        <f aca="false">P124/E124-1</f>
        <v>-0.119883040935672</v>
      </c>
    </row>
    <row r="125" customFormat="false" ht="15" hidden="false" customHeight="false" outlineLevel="0" collapsed="false">
      <c r="A125" s="9" t="n">
        <v>20</v>
      </c>
      <c r="B125" s="9" t="s">
        <v>36</v>
      </c>
      <c r="C125" s="17" t="s">
        <v>102</v>
      </c>
      <c r="E125" s="11" t="n">
        <f aca="false">SUMIFS(E$7:E$35,$B$7:$B$35,"Rural Vehicle Finance")</f>
        <v>353</v>
      </c>
      <c r="F125" s="11" t="n">
        <f aca="false">SUMIFS(F$7:F$35,$B$7:$B$35,"Rural Vehicle Finance")</f>
        <v>286</v>
      </c>
      <c r="G125" s="11" t="n">
        <f aca="false">SUMIFS(G$7:G$35,$B$7:$B$35,"Rural Vehicle Finance")</f>
        <v>350</v>
      </c>
      <c r="H125" s="11" t="n">
        <f aca="false">SUMIFS(H$7:H$35,$B$7:$B$35,"Rural Vehicle Finance")</f>
        <v>379</v>
      </c>
      <c r="I125" s="11" t="n">
        <f aca="false">SUMIFS(I$7:I$35,$B$7:$B$35,"Rural Vehicle Finance")</f>
        <v>350</v>
      </c>
      <c r="J125" s="11" t="n">
        <f aca="false">SUMIFS(J$7:J$35,$B$7:$B$35,"Rural Vehicle Finance")</f>
        <v>268</v>
      </c>
      <c r="K125" s="11" t="n">
        <f aca="false">SUMIFS(K$7:K$35,$B$7:$B$35,"Rural Vehicle Finance")</f>
        <v>306</v>
      </c>
      <c r="L125" s="11" t="n">
        <f aca="false">SUMIFS(L$7:L$35,$B$7:$B$35,"Rural Vehicle Finance")</f>
        <v>507</v>
      </c>
      <c r="M125" s="11" t="n">
        <f aca="false">SUMIFS(M$7:M$35,$B$7:$B$35,"Rural Vehicle Finance")</f>
        <v>448</v>
      </c>
      <c r="N125" s="11" t="n">
        <f aca="false">SUMIFS(N$7:N$35,$B$7:$B$35,"Rural Vehicle Finance")</f>
        <v>342</v>
      </c>
      <c r="O125" s="11" t="n">
        <f aca="false">SUMIFS(O$7:O$35,$B$7:$B$35,"Rural Vehicle Finance")</f>
        <v>421</v>
      </c>
      <c r="P125" s="11" t="n">
        <f aca="false">SUMIFS(P$7:P$35,$B$7:$B$35,"Rural Vehicle Finance")</f>
        <v>525</v>
      </c>
      <c r="Q125" s="11" t="n">
        <f aca="false">SUMIFS(Q$7:Q$35,$B$7:$B$35,"Rural Vehicle Finance")</f>
        <v>13</v>
      </c>
      <c r="R125" s="11" t="n">
        <f aca="false">SUM(F125:P125)</f>
        <v>4182</v>
      </c>
      <c r="S125" s="11" t="n">
        <f aca="false">R125/11</f>
        <v>380.181818181818</v>
      </c>
      <c r="T125" s="12" t="n">
        <f aca="false">P125/F125-1</f>
        <v>0.835664335664336</v>
      </c>
      <c r="U125" s="12" t="n">
        <f aca="false">P125/E125-1</f>
        <v>0.487252124645892</v>
      </c>
    </row>
    <row r="126" customFormat="false" ht="15" hidden="false" customHeight="false" outlineLevel="0" collapsed="false">
      <c r="A126" s="9" t="n">
        <v>21</v>
      </c>
      <c r="B126" s="9" t="s">
        <v>36</v>
      </c>
      <c r="C126" s="17" t="s">
        <v>103</v>
      </c>
      <c r="E126" s="16" t="n">
        <f aca="false">SUMIFS(E$73:E$101,$B$73:$B$101,"Rural Vehicle Finance")</f>
        <v>18</v>
      </c>
      <c r="F126" s="16" t="n">
        <f aca="false">SUMIFS(F$73:F$101,$B$73:$B$101,"Rural Vehicle Finance")</f>
        <v>15</v>
      </c>
      <c r="G126" s="16" t="n">
        <f aca="false">SUMIFS(G$73:G$101,$B$73:$B$101,"Rural Vehicle Finance")</f>
        <v>17</v>
      </c>
      <c r="H126" s="16" t="n">
        <f aca="false">SUMIFS(H$73:H$101,$B$73:$B$101,"Rural Vehicle Finance")</f>
        <v>20</v>
      </c>
      <c r="I126" s="16" t="n">
        <f aca="false">SUMIFS(I$73:I$101,$B$73:$B$101,"Rural Vehicle Finance")</f>
        <v>18</v>
      </c>
      <c r="J126" s="16" t="n">
        <f aca="false">SUMIFS(J$73:J$101,$B$73:$B$101,"Rural Vehicle Finance")</f>
        <v>16</v>
      </c>
      <c r="K126" s="16" t="n">
        <f aca="false">SUMIFS(K$73:K$101,$B$73:$B$101,"Rural Vehicle Finance")</f>
        <v>16</v>
      </c>
      <c r="L126" s="16" t="n">
        <f aca="false">SUMIFS(L$73:L$101,$B$73:$B$101,"Rural Vehicle Finance")</f>
        <v>28</v>
      </c>
      <c r="M126" s="16" t="n">
        <f aca="false">SUMIFS(M$73:M$101,$B$73:$B$101,"Rural Vehicle Finance")</f>
        <v>23</v>
      </c>
      <c r="N126" s="16" t="n">
        <f aca="false">SUMIFS(N$73:N$101,$B$73:$B$101,"Rural Vehicle Finance")</f>
        <v>17</v>
      </c>
      <c r="O126" s="16" t="n">
        <f aca="false">SUMIFS(O$73:O$101,$B$73:$B$101,"Rural Vehicle Finance")</f>
        <v>21</v>
      </c>
      <c r="P126" s="16" t="n">
        <f aca="false">SUMIFS(P$73:P$101,$B$73:$B$101,"Rural Vehicle Finance")</f>
        <v>25</v>
      </c>
      <c r="Q126" s="16" t="n">
        <f aca="false">SUMIFS(Q$73:Q$101,$B$73:$B$101,"Rural Vehicle Finance")</f>
        <v>1</v>
      </c>
      <c r="R126" s="16" t="n">
        <f aca="false">SUM(F126:P126)</f>
        <v>216</v>
      </c>
      <c r="S126" s="16" t="n">
        <f aca="false">R126/11</f>
        <v>19.6363636363636</v>
      </c>
      <c r="T126" s="12" t="n">
        <f aca="false">P126/F126-1</f>
        <v>0.666666666666667</v>
      </c>
      <c r="U126" s="12" t="n">
        <f aca="false">P126/E126-1</f>
        <v>0.388888888888889</v>
      </c>
    </row>
    <row r="127" customFormat="false" ht="15" hidden="false" customHeight="false" outlineLevel="0" collapsed="false">
      <c r="A127" s="9" t="n">
        <v>22</v>
      </c>
      <c r="B127" s="9" t="s">
        <v>36</v>
      </c>
      <c r="C127" s="17" t="s">
        <v>104</v>
      </c>
      <c r="E127" s="11" t="n">
        <f aca="false">SUMIFS(E$7:E$35,$B$7:$B$35,"Education Loan")</f>
        <v>228</v>
      </c>
      <c r="F127" s="11" t="n">
        <f aca="false">SUMIFS(F$7:F$35,$B$7:$B$35,"Education Loan")</f>
        <v>250</v>
      </c>
      <c r="G127" s="11" t="n">
        <f aca="false">SUMIFS(G$7:G$35,$B$7:$B$35,"Education Loan")</f>
        <v>283</v>
      </c>
      <c r="H127" s="11" t="n">
        <f aca="false">SUMIFS(H$7:H$35,$B$7:$B$35,"Education Loan")</f>
        <v>426</v>
      </c>
      <c r="I127" s="11" t="n">
        <f aca="false">SUMIFS(I$7:I$35,$B$7:$B$35,"Education Loan")</f>
        <v>546</v>
      </c>
      <c r="J127" s="11" t="n">
        <f aca="false">SUMIFS(J$7:J$35,$B$7:$B$35,"Education Loan")</f>
        <v>499</v>
      </c>
      <c r="K127" s="11" t="n">
        <f aca="false">SUMIFS(K$7:K$35,$B$7:$B$35,"Education Loan")</f>
        <v>472</v>
      </c>
      <c r="L127" s="11" t="n">
        <f aca="false">SUMIFS(L$7:L$35,$B$7:$B$35,"Education Loan")</f>
        <v>315</v>
      </c>
      <c r="M127" s="11" t="n">
        <f aca="false">SUMIFS(M$7:M$35,$B$7:$B$35,"Education Loan")</f>
        <v>369</v>
      </c>
      <c r="N127" s="11" t="n">
        <f aca="false">SUMIFS(N$7:N$35,$B$7:$B$35,"Education Loan")</f>
        <v>426</v>
      </c>
      <c r="O127" s="11" t="n">
        <f aca="false">SUMIFS(O$7:O$35,$B$7:$B$35,"Education Loan")</f>
        <v>359</v>
      </c>
      <c r="P127" s="11" t="n">
        <f aca="false">SUMIFS(P$7:P$35,$B$7:$B$35,"Education Loan")</f>
        <v>308</v>
      </c>
      <c r="Q127" s="11" t="n">
        <f aca="false">SUMIFS(Q$7:Q$35,$B$7:$B$35,"Education Loan")</f>
        <v>14</v>
      </c>
      <c r="R127" s="11" t="n">
        <f aca="false">SUM(F127:P127)</f>
        <v>4253</v>
      </c>
      <c r="S127" s="11" t="n">
        <f aca="false">R127/11</f>
        <v>386.636363636364</v>
      </c>
      <c r="T127" s="12" t="n">
        <f aca="false">P127/F127-1</f>
        <v>0.232</v>
      </c>
      <c r="U127" s="12" t="n">
        <f aca="false">P127/E127-1</f>
        <v>0.350877192982456</v>
      </c>
    </row>
    <row r="128" customFormat="false" ht="15" hidden="false" customHeight="false" outlineLevel="0" collapsed="false">
      <c r="A128" s="9" t="n">
        <v>23</v>
      </c>
      <c r="B128" s="9" t="s">
        <v>36</v>
      </c>
      <c r="C128" s="17" t="s">
        <v>105</v>
      </c>
      <c r="E128" s="16" t="n">
        <f aca="false">SUMIFS(E$73:E$101,$B$73:$B$101,"Education Loan")</f>
        <v>47</v>
      </c>
      <c r="F128" s="16" t="n">
        <f aca="false">SUMIFS(F$73:F$101,$B$73:$B$101,"Education Loan")</f>
        <v>47</v>
      </c>
      <c r="G128" s="16" t="n">
        <f aca="false">SUMIFS(G$73:G$101,$B$73:$B$101,"Education Loan")</f>
        <v>63</v>
      </c>
      <c r="H128" s="16" t="n">
        <f aca="false">SUMIFS(H$73:H$101,$B$73:$B$101,"Education Loan")</f>
        <v>82</v>
      </c>
      <c r="I128" s="16" t="n">
        <f aca="false">SUMIFS(I$73:I$101,$B$73:$B$101,"Education Loan")</f>
        <v>125</v>
      </c>
      <c r="J128" s="16" t="n">
        <f aca="false">SUMIFS(J$73:J$101,$B$73:$B$101,"Education Loan")</f>
        <v>119</v>
      </c>
      <c r="K128" s="16" t="n">
        <f aca="false">SUMIFS(K$73:K$101,$B$73:$B$101,"Education Loan")</f>
        <v>102</v>
      </c>
      <c r="L128" s="16" t="n">
        <f aca="false">SUMIFS(L$73:L$101,$B$73:$B$101,"Education Loan")</f>
        <v>54</v>
      </c>
      <c r="M128" s="16" t="n">
        <f aca="false">SUMIFS(M$73:M$101,$B$73:$B$101,"Education Loan")</f>
        <v>52</v>
      </c>
      <c r="N128" s="16" t="n">
        <f aca="false">SUMIFS(N$73:N$101,$B$73:$B$101,"Education Loan")</f>
        <v>89</v>
      </c>
      <c r="O128" s="16" t="n">
        <f aca="false">SUMIFS(O$73:O$101,$B$73:$B$101,"Education Loan")</f>
        <v>54</v>
      </c>
      <c r="P128" s="16" t="n">
        <f aca="false">SUMIFS(P$73:P$101,$B$73:$B$101,"Education Loan")</f>
        <v>38</v>
      </c>
      <c r="Q128" s="16" t="n">
        <f aca="false">SUMIFS(Q$73:Q$101,$B$73:$B$101,"Education Loan")</f>
        <v>2</v>
      </c>
      <c r="R128" s="16" t="n">
        <f aca="false">SUM(F128:P128)</f>
        <v>825</v>
      </c>
      <c r="S128" s="16" t="n">
        <f aca="false">R128/11</f>
        <v>75</v>
      </c>
      <c r="T128" s="12" t="n">
        <f aca="false">P128/F128-1</f>
        <v>-0.191489361702128</v>
      </c>
      <c r="U128" s="12" t="n">
        <f aca="false">P128/E128-1</f>
        <v>-0.191489361702128</v>
      </c>
    </row>
    <row r="129" customFormat="false" ht="15" hidden="false" customHeight="false" outlineLevel="0" collapsed="false">
      <c r="A129" s="9" t="n">
        <v>24</v>
      </c>
      <c r="B129" s="9" t="s">
        <v>36</v>
      </c>
      <c r="C129" s="17" t="s">
        <v>106</v>
      </c>
      <c r="E129" s="11" t="n">
        <f aca="false">SUMIFS(E$7:E$35,$B$7:$B$35,"Business Loan")</f>
        <v>6029</v>
      </c>
      <c r="F129" s="11" t="n">
        <f aca="false">SUMIFS(F$7:F$35,$B$7:$B$35,"Business Loan")</f>
        <v>4397</v>
      </c>
      <c r="G129" s="11" t="n">
        <f aca="false">SUMIFS(G$7:G$35,$B$7:$B$35,"Business Loan")</f>
        <v>5643</v>
      </c>
      <c r="H129" s="11" t="n">
        <f aca="false">SUMIFS(H$7:H$35,$B$7:$B$35,"Business Loan")</f>
        <v>6018</v>
      </c>
      <c r="I129" s="11" t="n">
        <f aca="false">SUMIFS(I$7:I$35,$B$7:$B$35,"Business Loan")</f>
        <v>6728</v>
      </c>
      <c r="J129" s="11" t="n">
        <f aca="false">SUMIFS(J$7:J$35,$B$7:$B$35,"Business Loan")</f>
        <v>6368</v>
      </c>
      <c r="K129" s="11" t="n">
        <f aca="false">SUMIFS(K$7:K$35,$B$7:$B$35,"Business Loan")</f>
        <v>7305</v>
      </c>
      <c r="L129" s="11" t="n">
        <f aca="false">SUMIFS(L$7:L$35,$B$7:$B$35,"Business Loan")</f>
        <v>7222</v>
      </c>
      <c r="M129" s="11" t="n">
        <f aca="false">SUMIFS(M$7:M$35,$B$7:$B$35,"Business Loan")</f>
        <v>7886</v>
      </c>
      <c r="N129" s="11" t="n">
        <f aca="false">SUMIFS(N$7:N$35,$B$7:$B$35,"Business Loan")</f>
        <v>9040</v>
      </c>
      <c r="O129" s="11" t="n">
        <f aca="false">SUMIFS(O$7:O$35,$B$7:$B$35,"Business Loan")</f>
        <v>8835</v>
      </c>
      <c r="P129" s="11" t="n">
        <f aca="false">SUMIFS(P$7:P$35,$B$7:$B$35,"Business Loan")</f>
        <v>8529</v>
      </c>
      <c r="Q129" s="11" t="n">
        <f aca="false">SUMIFS(Q$7:Q$35,$B$7:$B$35,"Business Loan")</f>
        <v>562</v>
      </c>
      <c r="R129" s="11" t="n">
        <f aca="false">SUM(F129:P129)</f>
        <v>77971</v>
      </c>
      <c r="S129" s="11" t="n">
        <f aca="false">R129/11</f>
        <v>7088.27272727273</v>
      </c>
      <c r="T129" s="12" t="n">
        <f aca="false">P129/F129-1</f>
        <v>0.939731635205822</v>
      </c>
      <c r="U129" s="12" t="n">
        <f aca="false">P129/E129-1</f>
        <v>0.414662464753691</v>
      </c>
    </row>
    <row r="130" customFormat="false" ht="15" hidden="false" customHeight="false" outlineLevel="0" collapsed="false">
      <c r="A130" s="9" t="n">
        <v>25</v>
      </c>
      <c r="B130" s="9" t="s">
        <v>36</v>
      </c>
      <c r="C130" s="17" t="s">
        <v>107</v>
      </c>
      <c r="E130" s="16" t="n">
        <f aca="false">SUMIFS(E$73:E$101,$B$73:$B$101,"Business Loan")</f>
        <v>1362</v>
      </c>
      <c r="F130" s="16" t="n">
        <f aca="false">SUMIFS(F$73:F$101,$B$73:$B$101,"Business Loan")</f>
        <v>630</v>
      </c>
      <c r="G130" s="16" t="n">
        <f aca="false">SUMIFS(G$73:G$101,$B$73:$B$101,"Business Loan")</f>
        <v>941</v>
      </c>
      <c r="H130" s="16" t="n">
        <f aca="false">SUMIFS(H$73:H$101,$B$73:$B$101,"Business Loan")</f>
        <v>1254</v>
      </c>
      <c r="I130" s="16" t="n">
        <f aca="false">SUMIFS(I$73:I$101,$B$73:$B$101,"Business Loan")</f>
        <v>1053</v>
      </c>
      <c r="J130" s="16" t="n">
        <f aca="false">SUMIFS(J$73:J$101,$B$73:$B$101,"Business Loan")</f>
        <v>930</v>
      </c>
      <c r="K130" s="16" t="n">
        <f aca="false">SUMIFS(K$73:K$101,$B$73:$B$101,"Business Loan")</f>
        <v>966</v>
      </c>
      <c r="L130" s="16" t="n">
        <f aca="false">SUMIFS(L$73:L$101,$B$73:$B$101,"Business Loan")</f>
        <v>1196</v>
      </c>
      <c r="M130" s="16" t="n">
        <f aca="false">SUMIFS(M$73:M$101,$B$73:$B$101,"Business Loan")</f>
        <v>1126</v>
      </c>
      <c r="N130" s="16" t="n">
        <f aca="false">SUMIFS(N$73:N$101,$B$73:$B$101,"Business Loan")</f>
        <v>1383</v>
      </c>
      <c r="O130" s="16" t="n">
        <f aca="false">SUMIFS(O$73:O$101,$B$73:$B$101,"Business Loan")</f>
        <v>967</v>
      </c>
      <c r="P130" s="16" t="n">
        <f aca="false">SUMIFS(P$73:P$101,$B$73:$B$101,"Business Loan")</f>
        <v>869</v>
      </c>
      <c r="Q130" s="16" t="n">
        <f aca="false">SUMIFS(Q$73:Q$101,$B$73:$B$101,"Business Loan")</f>
        <v>78</v>
      </c>
      <c r="R130" s="16" t="n">
        <f aca="false">SUM(F130:P130)</f>
        <v>11315</v>
      </c>
      <c r="S130" s="16" t="n">
        <f aca="false">R130/11</f>
        <v>1028.63636363636</v>
      </c>
      <c r="T130" s="12" t="n">
        <f aca="false">P130/F130-1</f>
        <v>0.379365079365079</v>
      </c>
      <c r="U130" s="12" t="n">
        <f aca="false">P130/E130-1</f>
        <v>-0.361967694566814</v>
      </c>
    </row>
    <row r="131" customFormat="false" ht="15" hidden="false" customHeight="false" outlineLevel="0" collapsed="false">
      <c r="A131" s="9" t="n">
        <v>26</v>
      </c>
      <c r="B131" s="9" t="s">
        <v>36</v>
      </c>
      <c r="C131" s="17" t="s">
        <v>108</v>
      </c>
      <c r="E131" s="11" t="n">
        <f aca="false">SUMIFS(E$7:E$35,$B$7:$B$35,"Personal Loan")</f>
        <v>16657</v>
      </c>
      <c r="F131" s="11" t="n">
        <f aca="false">SUMIFS(F$7:F$35,$B$7:$B$35,"Personal Loan")</f>
        <v>16148</v>
      </c>
      <c r="G131" s="11" t="n">
        <f aca="false">SUMIFS(G$7:G$35,$B$7:$B$35,"Personal Loan")</f>
        <v>18322</v>
      </c>
      <c r="H131" s="11" t="n">
        <f aca="false">SUMIFS(H$7:H$35,$B$7:$B$35,"Personal Loan")</f>
        <v>19515</v>
      </c>
      <c r="I131" s="11" t="n">
        <f aca="false">SUMIFS(I$7:I$35,$B$7:$B$35,"Personal Loan")</f>
        <v>22488</v>
      </c>
      <c r="J131" s="11" t="n">
        <f aca="false">SUMIFS(J$7:J$35,$B$7:$B$35,"Personal Loan")</f>
        <v>25203</v>
      </c>
      <c r="K131" s="11" t="n">
        <f aca="false">SUMIFS(K$7:K$35,$B$7:$B$35,"Personal Loan")</f>
        <v>30261</v>
      </c>
      <c r="L131" s="11" t="n">
        <f aca="false">SUMIFS(L$7:L$35,$B$7:$B$35,"Personal Loan")</f>
        <v>31536</v>
      </c>
      <c r="M131" s="11" t="n">
        <f aca="false">SUMIFS(M$7:M$35,$B$7:$B$35,"Personal Loan")</f>
        <v>30716</v>
      </c>
      <c r="N131" s="11" t="n">
        <f aca="false">SUMIFS(N$7:N$35,$B$7:$B$35,"Personal Loan")</f>
        <v>35347</v>
      </c>
      <c r="O131" s="11" t="n">
        <f aca="false">SUMIFS(O$7:O$35,$B$7:$B$35,"Personal Loan")</f>
        <v>39107</v>
      </c>
      <c r="P131" s="11" t="n">
        <f aca="false">SUMIFS(P$7:P$35,$B$7:$B$35,"Personal Loan")</f>
        <v>42645</v>
      </c>
      <c r="Q131" s="11" t="n">
        <f aca="false">SUMIFS(Q$7:Q$35,$B$7:$B$35,"Personal Loan")</f>
        <v>7519</v>
      </c>
      <c r="R131" s="11" t="n">
        <f aca="false">SUM(F131:P131)</f>
        <v>311288</v>
      </c>
      <c r="S131" s="11" t="n">
        <f aca="false">R131/11</f>
        <v>28298.9090909091</v>
      </c>
      <c r="T131" s="12" t="n">
        <f aca="false">P131/F131-1</f>
        <v>1.64088432003963</v>
      </c>
      <c r="U131" s="12" t="n">
        <f aca="false">P131/E131-1</f>
        <v>1.5601849072462</v>
      </c>
    </row>
    <row r="132" customFormat="false" ht="15" hidden="false" customHeight="false" outlineLevel="0" collapsed="false">
      <c r="A132" s="9" t="n">
        <v>27</v>
      </c>
      <c r="B132" s="9" t="s">
        <v>36</v>
      </c>
      <c r="C132" s="17" t="s">
        <v>109</v>
      </c>
      <c r="E132" s="16" t="n">
        <f aca="false">SUMIFS(E$73:E$101,$B$73:$B$101,"Personal Loan")</f>
        <v>460</v>
      </c>
      <c r="F132" s="16" t="n">
        <f aca="false">SUMIFS(F$73:F$101,$B$73:$B$101,"Personal Loan")</f>
        <v>385</v>
      </c>
      <c r="G132" s="16" t="n">
        <f aca="false">SUMIFS(G$73:G$101,$B$73:$B$101,"Personal Loan")</f>
        <v>455</v>
      </c>
      <c r="H132" s="16" t="n">
        <f aca="false">SUMIFS(H$73:H$101,$B$73:$B$101,"Personal Loan")</f>
        <v>461</v>
      </c>
      <c r="I132" s="16" t="n">
        <f aca="false">SUMIFS(I$73:I$101,$B$73:$B$101,"Personal Loan")</f>
        <v>578</v>
      </c>
      <c r="J132" s="16" t="n">
        <f aca="false">SUMIFS(J$73:J$101,$B$73:$B$101,"Personal Loan")</f>
        <v>634</v>
      </c>
      <c r="K132" s="16" t="n">
        <f aca="false">SUMIFS(K$73:K$101,$B$73:$B$101,"Personal Loan")</f>
        <v>694</v>
      </c>
      <c r="L132" s="16" t="n">
        <f aca="false">SUMIFS(L$73:L$101,$B$73:$B$101,"Personal Loan")</f>
        <v>686</v>
      </c>
      <c r="M132" s="16" t="n">
        <f aca="false">SUMIFS(M$73:M$101,$B$73:$B$101,"Personal Loan")</f>
        <v>686</v>
      </c>
      <c r="N132" s="16" t="n">
        <f aca="false">SUMIFS(N$73:N$101,$B$73:$B$101,"Personal Loan")</f>
        <v>734</v>
      </c>
      <c r="O132" s="16" t="n">
        <f aca="false">SUMIFS(O$73:O$101,$B$73:$B$101,"Personal Loan")</f>
        <v>750</v>
      </c>
      <c r="P132" s="16" t="n">
        <f aca="false">SUMIFS(P$73:P$101,$B$73:$B$101,"Personal Loan")</f>
        <v>743</v>
      </c>
      <c r="Q132" s="16" t="n">
        <f aca="false">SUMIFS(Q$73:Q$101,$B$73:$B$101,"Personal Loan")</f>
        <v>73</v>
      </c>
      <c r="R132" s="16" t="n">
        <f aca="false">SUM(F132:P132)</f>
        <v>6806</v>
      </c>
      <c r="S132" s="16" t="n">
        <f aca="false">R132/11</f>
        <v>618.727272727273</v>
      </c>
      <c r="T132" s="12" t="n">
        <f aca="false">P132/F132-1</f>
        <v>0.92987012987013</v>
      </c>
      <c r="U132" s="12" t="n">
        <f aca="false">P132/E132-1</f>
        <v>0.615217391304348</v>
      </c>
    </row>
    <row r="133" customFormat="false" ht="15" hidden="false" customHeight="false" outlineLevel="0" collapsed="false">
      <c r="A133" s="9" t="n">
        <v>28</v>
      </c>
      <c r="B133" s="9" t="s">
        <v>36</v>
      </c>
      <c r="C133" s="17" t="s">
        <v>110</v>
      </c>
      <c r="E133" s="11" t="n">
        <f aca="false">SUMIFS(E$7:E$35,$B$7:$B$35,"Credit Card")</f>
        <v>19260</v>
      </c>
      <c r="F133" s="11" t="n">
        <f aca="false">SUMIFS(F$7:F$35,$B$7:$B$35,"Credit Card")</f>
        <v>16814</v>
      </c>
      <c r="G133" s="11" t="n">
        <f aca="false">SUMIFS(G$7:G$35,$B$7:$B$35,"Credit Card")</f>
        <v>17440</v>
      </c>
      <c r="H133" s="11" t="n">
        <f aca="false">SUMIFS(H$7:H$35,$B$7:$B$35,"Credit Card")</f>
        <v>17485</v>
      </c>
      <c r="I133" s="11" t="n">
        <f aca="false">SUMIFS(I$7:I$35,$B$7:$B$35,"Credit Card")</f>
        <v>20340</v>
      </c>
      <c r="J133" s="11" t="n">
        <f aca="false">SUMIFS(J$7:J$35,$B$7:$B$35,"Credit Card")</f>
        <v>18834</v>
      </c>
      <c r="K133" s="11" t="n">
        <f aca="false">SUMIFS(K$7:K$35,$B$7:$B$35,"Credit Card")</f>
        <v>21251</v>
      </c>
      <c r="L133" s="11" t="n">
        <f aca="false">SUMIFS(L$7:L$35,$B$7:$B$35,"Credit Card")</f>
        <v>20102</v>
      </c>
      <c r="M133" s="11" t="n">
        <f aca="false">SUMIFS(M$7:M$35,$B$7:$B$35,"Credit Card")</f>
        <v>19363</v>
      </c>
      <c r="N133" s="11" t="n">
        <f aca="false">SUMIFS(N$7:N$35,$B$7:$B$35,"Credit Card")</f>
        <v>19631</v>
      </c>
      <c r="O133" s="11" t="n">
        <f aca="false">SUMIFS(O$7:O$35,$B$7:$B$35,"Credit Card")</f>
        <v>20234</v>
      </c>
      <c r="P133" s="11" t="n">
        <f aca="false">SUMIFS(P$7:P$35,$B$7:$B$35,"Credit Card")</f>
        <v>15297</v>
      </c>
      <c r="Q133" s="11" t="n">
        <f aca="false">SUMIFS(Q$7:Q$35,$B$7:$B$35,"Credit Card")</f>
        <v>177</v>
      </c>
      <c r="R133" s="11" t="n">
        <f aca="false">SUM(F133:P133)</f>
        <v>206791</v>
      </c>
      <c r="S133" s="11" t="n">
        <f aca="false">R133/11</f>
        <v>18799.1818181818</v>
      </c>
      <c r="T133" s="12" t="n">
        <f aca="false">P133/F133-1</f>
        <v>-0.0902224336862139</v>
      </c>
      <c r="U133" s="12" t="n">
        <f aca="false">P133/E133-1</f>
        <v>-0.205763239875389</v>
      </c>
    </row>
    <row r="134" customFormat="false" ht="15" hidden="false" customHeight="false" outlineLevel="0" collapsed="false">
      <c r="A134" s="9" t="n">
        <v>29</v>
      </c>
      <c r="B134" s="9" t="s">
        <v>36</v>
      </c>
      <c r="C134" s="17" t="s">
        <v>111</v>
      </c>
      <c r="E134" s="16" t="n">
        <f aca="false">SUMIFS(E$73:E$101,$B$73:$B$101,"Credit Card")</f>
        <v>137</v>
      </c>
      <c r="F134" s="16" t="n">
        <f aca="false">SUMIFS(F$73:F$101,$B$73:$B$101,"Credit Card")</f>
        <v>120</v>
      </c>
      <c r="G134" s="16" t="n">
        <f aca="false">SUMIFS(G$73:G$101,$B$73:$B$101,"Credit Card")</f>
        <v>120</v>
      </c>
      <c r="H134" s="16" t="n">
        <f aca="false">SUMIFS(H$73:H$101,$B$73:$B$101,"Credit Card")</f>
        <v>115</v>
      </c>
      <c r="I134" s="16" t="n">
        <f aca="false">SUMIFS(I$73:I$101,$B$73:$B$101,"Credit Card")</f>
        <v>128</v>
      </c>
      <c r="J134" s="16" t="n">
        <f aca="false">SUMIFS(J$73:J$101,$B$73:$B$101,"Credit Card")</f>
        <v>119</v>
      </c>
      <c r="K134" s="16" t="n">
        <f aca="false">SUMIFS(K$73:K$101,$B$73:$B$101,"Credit Card")</f>
        <v>124</v>
      </c>
      <c r="L134" s="16" t="n">
        <f aca="false">SUMIFS(L$73:L$101,$B$73:$B$101,"Credit Card")</f>
        <v>113</v>
      </c>
      <c r="M134" s="16" t="n">
        <f aca="false">SUMIFS(M$73:M$101,$B$73:$B$101,"Credit Card")</f>
        <v>100</v>
      </c>
      <c r="N134" s="16" t="n">
        <f aca="false">SUMIFS(N$73:N$101,$B$73:$B$101,"Credit Card")</f>
        <v>93</v>
      </c>
      <c r="O134" s="16" t="n">
        <f aca="false">SUMIFS(O$73:O$101,$B$73:$B$101,"Credit Card")</f>
        <v>75</v>
      </c>
      <c r="P134" s="16" t="n">
        <f aca="false">SUMIFS(P$73:P$101,$B$73:$B$101,"Credit Card")</f>
        <v>44</v>
      </c>
      <c r="Q134" s="16" t="n">
        <f aca="false">SUMIFS(Q$73:Q$101,$B$73:$B$101,"Credit Card")</f>
        <v>0</v>
      </c>
      <c r="R134" s="16" t="n">
        <f aca="false">SUM(F134:P134)</f>
        <v>1151</v>
      </c>
      <c r="S134" s="16" t="n">
        <f aca="false">R134/11</f>
        <v>104.636363636364</v>
      </c>
      <c r="T134" s="12" t="n">
        <f aca="false">P134/F134-1</f>
        <v>-0.633333333333333</v>
      </c>
      <c r="U134" s="12" t="n">
        <f aca="false">P134/E134-1</f>
        <v>-0.678832116788321</v>
      </c>
    </row>
    <row r="135" customFormat="false" ht="15" hidden="false" customHeight="false" outlineLevel="0" collapsed="false">
      <c r="A135" s="9" t="n">
        <v>30</v>
      </c>
      <c r="B135" s="9" t="s">
        <v>36</v>
      </c>
      <c r="C135" s="17" t="s">
        <v>112</v>
      </c>
      <c r="E135" s="11" t="n">
        <f aca="false">SUMIFS(E$7:E$35,$B$7:$B$35,"Agri")</f>
        <v>627</v>
      </c>
      <c r="F135" s="11" t="n">
        <f aca="false">SUMIFS(F$7:F$35,$B$7:$B$35,"Agri")</f>
        <v>458</v>
      </c>
      <c r="G135" s="11" t="n">
        <f aca="false">SUMIFS(G$7:G$35,$B$7:$B$35,"Agri")</f>
        <v>614</v>
      </c>
      <c r="H135" s="11" t="n">
        <f aca="false">SUMIFS(H$7:H$35,$B$7:$B$35,"Agri")</f>
        <v>682</v>
      </c>
      <c r="I135" s="11" t="n">
        <f aca="false">SUMIFS(I$7:I$35,$B$7:$B$35,"Agri")</f>
        <v>696</v>
      </c>
      <c r="J135" s="11" t="n">
        <f aca="false">SUMIFS(J$7:J$35,$B$7:$B$35,"Agri")</f>
        <v>614</v>
      </c>
      <c r="K135" s="11" t="n">
        <f aca="false">SUMIFS(K$7:K$35,$B$7:$B$35,"Agri")</f>
        <v>681</v>
      </c>
      <c r="L135" s="11" t="n">
        <f aca="false">SUMIFS(L$7:L$35,$B$7:$B$35,"Agri")</f>
        <v>534</v>
      </c>
      <c r="M135" s="11" t="n">
        <f aca="false">SUMIFS(M$7:M$35,$B$7:$B$35,"Agri")</f>
        <v>559</v>
      </c>
      <c r="N135" s="11" t="n">
        <f aca="false">SUMIFS(N$7:N$35,$B$7:$B$35,"Agri")</f>
        <v>540</v>
      </c>
      <c r="O135" s="11" t="n">
        <f aca="false">SUMIFS(O$7:O$35,$B$7:$B$35,"Agri")</f>
        <v>462</v>
      </c>
      <c r="P135" s="11" t="n">
        <f aca="false">SUMIFS(P$7:P$35,$B$7:$B$35,"Agri")</f>
        <v>476</v>
      </c>
      <c r="Q135" s="11" t="n">
        <f aca="false">SUMIFS(Q$7:Q$35,$B$7:$B$35,"Agri")</f>
        <v>49</v>
      </c>
      <c r="R135" s="11" t="n">
        <f aca="false">SUM(F135:P135)</f>
        <v>6316</v>
      </c>
      <c r="S135" s="11" t="n">
        <f aca="false">R135/11</f>
        <v>574.181818181818</v>
      </c>
      <c r="T135" s="12" t="n">
        <f aca="false">P135/F135-1</f>
        <v>0.0393013100436681</v>
      </c>
      <c r="U135" s="12" t="n">
        <f aca="false">P135/E135-1</f>
        <v>-0.240829346092504</v>
      </c>
    </row>
    <row r="136" customFormat="false" ht="15" hidden="false" customHeight="false" outlineLevel="0" collapsed="false">
      <c r="A136" s="9" t="n">
        <v>31</v>
      </c>
      <c r="B136" s="9" t="s">
        <v>36</v>
      </c>
      <c r="C136" s="17" t="s">
        <v>113</v>
      </c>
      <c r="E136" s="16" t="n">
        <f aca="false">SUMIFS(E$73:E$101,$B$73:$B$101,"Agri")</f>
        <v>47</v>
      </c>
      <c r="F136" s="16" t="n">
        <f aca="false">SUMIFS(F$73:F$101,$B$73:$B$101,"Agri")</f>
        <v>36</v>
      </c>
      <c r="G136" s="16" t="n">
        <f aca="false">SUMIFS(G$73:G$101,$B$73:$B$101,"Agri")</f>
        <v>29</v>
      </c>
      <c r="H136" s="16" t="n">
        <f aca="false">SUMIFS(H$73:H$101,$B$73:$B$101,"Agri")</f>
        <v>54</v>
      </c>
      <c r="I136" s="16" t="n">
        <f aca="false">SUMIFS(I$73:I$101,$B$73:$B$101,"Agri")</f>
        <v>51</v>
      </c>
      <c r="J136" s="16" t="n">
        <f aca="false">SUMIFS(J$73:J$101,$B$73:$B$101,"Agri")</f>
        <v>36</v>
      </c>
      <c r="K136" s="16" t="n">
        <f aca="false">SUMIFS(K$73:K$101,$B$73:$B$101,"Agri")</f>
        <v>50</v>
      </c>
      <c r="L136" s="16" t="n">
        <f aca="false">SUMIFS(L$73:L$101,$B$73:$B$101,"Agri")</f>
        <v>46</v>
      </c>
      <c r="M136" s="16" t="n">
        <f aca="false">SUMIFS(M$73:M$101,$B$73:$B$101,"Agri")</f>
        <v>35</v>
      </c>
      <c r="N136" s="16" t="n">
        <f aca="false">SUMIFS(N$73:N$101,$B$73:$B$101,"Agri")</f>
        <v>44</v>
      </c>
      <c r="O136" s="16" t="n">
        <f aca="false">SUMIFS(O$73:O$101,$B$73:$B$101,"Agri")</f>
        <v>24</v>
      </c>
      <c r="P136" s="16" t="n">
        <f aca="false">SUMIFS(P$73:P$101,$B$73:$B$101,"Agri")</f>
        <v>25</v>
      </c>
      <c r="Q136" s="16" t="n">
        <f aca="false">SUMIFS(Q$73:Q$101,$B$73:$B$101,"Agri")</f>
        <v>1</v>
      </c>
      <c r="R136" s="16" t="n">
        <f aca="false">SUM(F136:P136)</f>
        <v>430</v>
      </c>
      <c r="S136" s="16" t="n">
        <f aca="false">R136/11</f>
        <v>39.0909090909091</v>
      </c>
      <c r="T136" s="12" t="n">
        <f aca="false">P136/F136-1</f>
        <v>-0.305555555555556</v>
      </c>
      <c r="U136" s="12" t="n">
        <f aca="false">P136/E136-1</f>
        <v>-0.468085106382979</v>
      </c>
    </row>
    <row r="137" customFormat="false" ht="15" hidden="false" customHeight="false" outlineLevel="0" collapsed="false">
      <c r="A137" s="9" t="n">
        <v>32</v>
      </c>
      <c r="B137" s="9" t="s">
        <v>36</v>
      </c>
      <c r="C137" s="17" t="s">
        <v>114</v>
      </c>
      <c r="E137" s="11" t="n">
        <f aca="false">SUMIFS(E$7:E$35,$B$7:$B$35,"Consumer Loan")</f>
        <v>6595</v>
      </c>
      <c r="F137" s="11" t="n">
        <f aca="false">SUMIFS(F$7:F$35,$B$7:$B$35,"Consumer Loan")</f>
        <v>7896</v>
      </c>
      <c r="G137" s="11" t="n">
        <f aca="false">SUMIFS(G$7:G$35,$B$7:$B$35,"Consumer Loan")</f>
        <v>9320</v>
      </c>
      <c r="H137" s="11" t="n">
        <f aca="false">SUMIFS(H$7:H$35,$B$7:$B$35,"Consumer Loan")</f>
        <v>11406</v>
      </c>
      <c r="I137" s="11" t="n">
        <f aca="false">SUMIFS(I$7:I$35,$B$7:$B$35,"Consumer Loan")</f>
        <v>15571</v>
      </c>
      <c r="J137" s="11" t="n">
        <f aca="false">SUMIFS(J$7:J$35,$B$7:$B$35,"Consumer Loan")</f>
        <v>19340</v>
      </c>
      <c r="K137" s="11" t="n">
        <f aca="false">SUMIFS(K$7:K$35,$B$7:$B$35,"Consumer Loan")</f>
        <v>23717</v>
      </c>
      <c r="L137" s="11" t="n">
        <f aca="false">SUMIFS(L$7:L$35,$B$7:$B$35,"Consumer Loan")</f>
        <v>36897</v>
      </c>
      <c r="M137" s="11" t="n">
        <f aca="false">SUMIFS(M$7:M$35,$B$7:$B$35,"Consumer Loan")</f>
        <v>23160</v>
      </c>
      <c r="N137" s="11" t="n">
        <f aca="false">SUMIFS(N$7:N$35,$B$7:$B$35,"Consumer Loan")</f>
        <v>23671</v>
      </c>
      <c r="O137" s="11" t="n">
        <f aca="false">SUMIFS(O$7:O$35,$B$7:$B$35,"Consumer Loan")</f>
        <v>27780</v>
      </c>
      <c r="P137" s="11" t="n">
        <f aca="false">SUMIFS(P$7:P$35,$B$7:$B$35,"Consumer Loan")</f>
        <v>24855</v>
      </c>
      <c r="Q137" s="11" t="n">
        <f aca="false">SUMIFS(Q$7:Q$35,$B$7:$B$35,"Consumer Loan")</f>
        <v>1801</v>
      </c>
      <c r="R137" s="11" t="n">
        <f aca="false">SUM(F137:P137)</f>
        <v>223613</v>
      </c>
      <c r="S137" s="11" t="n">
        <f aca="false">R137/11</f>
        <v>20328.4545454545</v>
      </c>
      <c r="T137" s="12" t="n">
        <f aca="false">P137/F137-1</f>
        <v>2.14779635258359</v>
      </c>
      <c r="U137" s="12" t="n">
        <f aca="false">P137/E137-1</f>
        <v>2.76876421531463</v>
      </c>
    </row>
    <row r="138" customFormat="false" ht="15" hidden="false" customHeight="false" outlineLevel="0" collapsed="false">
      <c r="A138" s="9" t="n">
        <v>33</v>
      </c>
      <c r="B138" s="9" t="s">
        <v>36</v>
      </c>
      <c r="C138" s="17" t="s">
        <v>115</v>
      </c>
      <c r="E138" s="16" t="n">
        <f aca="false">SUMIFS(E$73:E$101,$B$73:$B$101,"Consumer Loan")</f>
        <v>28</v>
      </c>
      <c r="F138" s="16" t="n">
        <f aca="false">SUMIFS(F$73:F$101,$B$73:$B$101,"Consumer Loan")</f>
        <v>33</v>
      </c>
      <c r="G138" s="16" t="n">
        <f aca="false">SUMIFS(G$73:G$101,$B$73:$B$101,"Consumer Loan")</f>
        <v>40</v>
      </c>
      <c r="H138" s="16" t="n">
        <f aca="false">SUMIFS(H$73:H$101,$B$73:$B$101,"Consumer Loan")</f>
        <v>40</v>
      </c>
      <c r="I138" s="16" t="n">
        <f aca="false">SUMIFS(I$73:I$101,$B$73:$B$101,"Consumer Loan")</f>
        <v>53</v>
      </c>
      <c r="J138" s="16" t="n">
        <f aca="false">SUMIFS(J$73:J$101,$B$73:$B$101,"Consumer Loan")</f>
        <v>65</v>
      </c>
      <c r="K138" s="16" t="n">
        <f aca="false">SUMIFS(K$73:K$101,$B$73:$B$101,"Consumer Loan")</f>
        <v>70</v>
      </c>
      <c r="L138" s="16" t="n">
        <f aca="false">SUMIFS(L$73:L$101,$B$73:$B$101,"Consumer Loan")</f>
        <v>107</v>
      </c>
      <c r="M138" s="16" t="n">
        <f aca="false">SUMIFS(M$73:M$101,$B$73:$B$101,"Consumer Loan")</f>
        <v>65</v>
      </c>
      <c r="N138" s="16" t="n">
        <f aca="false">SUMIFS(N$73:N$101,$B$73:$B$101,"Consumer Loan")</f>
        <v>66</v>
      </c>
      <c r="O138" s="16" t="n">
        <f aca="false">SUMIFS(O$73:O$101,$B$73:$B$101,"Consumer Loan")</f>
        <v>85</v>
      </c>
      <c r="P138" s="16" t="n">
        <f aca="false">SUMIFS(P$73:P$101,$B$73:$B$101,"Consumer Loan")</f>
        <v>75</v>
      </c>
      <c r="Q138" s="16" t="n">
        <f aca="false">SUMIFS(Q$73:Q$101,$B$73:$B$101,"Consumer Loan")</f>
        <v>6</v>
      </c>
      <c r="R138" s="16" t="n">
        <f aca="false">SUM(F138:P138)</f>
        <v>699</v>
      </c>
      <c r="S138" s="16" t="n">
        <f aca="false">R138/11</f>
        <v>63.5454545454546</v>
      </c>
      <c r="T138" s="12" t="n">
        <f aca="false">P138/F138-1</f>
        <v>1.27272727272727</v>
      </c>
      <c r="U138" s="12" t="n">
        <f aca="false">P138/E138-1</f>
        <v>1.67857142857143</v>
      </c>
    </row>
    <row r="139" customFormat="false" ht="15" hidden="false" customHeight="false" outlineLevel="0" collapsed="false">
      <c r="A139" s="9" t="n">
        <v>34</v>
      </c>
      <c r="B139" s="9" t="s">
        <v>36</v>
      </c>
      <c r="C139" s="17" t="s">
        <v>116</v>
      </c>
      <c r="E139" s="11" t="n">
        <f aca="false">SUMIFS(E$7:E$35,$B$7:$B$35,"LAS")</f>
        <v>309</v>
      </c>
      <c r="F139" s="11" t="n">
        <f aca="false">SUMIFS(F$7:F$35,$B$7:$B$35,"LAS")</f>
        <v>277</v>
      </c>
      <c r="G139" s="11" t="n">
        <f aca="false">SUMIFS(G$7:G$35,$B$7:$B$35,"LAS")</f>
        <v>297</v>
      </c>
      <c r="H139" s="11" t="n">
        <f aca="false">SUMIFS(H$7:H$35,$B$7:$B$35,"LAS")</f>
        <v>309</v>
      </c>
      <c r="I139" s="11" t="n">
        <f aca="false">SUMIFS(I$7:I$35,$B$7:$B$35,"LAS")</f>
        <v>357</v>
      </c>
      <c r="J139" s="11" t="n">
        <f aca="false">SUMIFS(J$7:J$35,$B$7:$B$35,"LAS")</f>
        <v>371</v>
      </c>
      <c r="K139" s="11" t="n">
        <f aca="false">SUMIFS(K$7:K$35,$B$7:$B$35,"LAS")</f>
        <v>423</v>
      </c>
      <c r="L139" s="11" t="n">
        <f aca="false">SUMIFS(L$7:L$35,$B$7:$B$35,"LAS")</f>
        <v>456</v>
      </c>
      <c r="M139" s="11" t="n">
        <f aca="false">SUMIFS(M$7:M$35,$B$7:$B$35,"LAS")</f>
        <v>429</v>
      </c>
      <c r="N139" s="11" t="n">
        <f aca="false">SUMIFS(N$7:N$35,$B$7:$B$35,"LAS")</f>
        <v>455</v>
      </c>
      <c r="O139" s="11" t="n">
        <f aca="false">SUMIFS(O$7:O$35,$B$7:$B$35,"LAS")</f>
        <v>430</v>
      </c>
      <c r="P139" s="11" t="n">
        <f aca="false">SUMIFS(P$7:P$35,$B$7:$B$35,"LAS")</f>
        <v>432</v>
      </c>
      <c r="Q139" s="11" t="n">
        <f aca="false">SUMIFS(Q$7:Q$35,$B$7:$B$35,"LAS")</f>
        <v>1</v>
      </c>
      <c r="R139" s="11" t="n">
        <f aca="false">SUM(F139:P139)</f>
        <v>4236</v>
      </c>
      <c r="S139" s="11" t="n">
        <f aca="false">R139/11</f>
        <v>385.090909090909</v>
      </c>
      <c r="T139" s="12" t="n">
        <f aca="false">P139/F139-1</f>
        <v>0.55956678700361</v>
      </c>
      <c r="U139" s="12" t="n">
        <f aca="false">P139/E139-1</f>
        <v>0.398058252427185</v>
      </c>
    </row>
    <row r="140" customFormat="false" ht="15" hidden="false" customHeight="false" outlineLevel="0" collapsed="false">
      <c r="A140" s="9" t="n">
        <v>35</v>
      </c>
      <c r="B140" s="9" t="s">
        <v>36</v>
      </c>
      <c r="C140" s="17" t="s">
        <v>117</v>
      </c>
      <c r="E140" s="16" t="n">
        <f aca="false">SUMIFS(E$73:E$101,$B$73:$B$101,"LAS")</f>
        <v>68</v>
      </c>
      <c r="F140" s="16" t="n">
        <f aca="false">SUMIFS(F$73:F$101,$B$73:$B$101,"LAS")</f>
        <v>64</v>
      </c>
      <c r="G140" s="16" t="n">
        <f aca="false">SUMIFS(G$73:G$101,$B$73:$B$101,"LAS")</f>
        <v>65</v>
      </c>
      <c r="H140" s="16" t="n">
        <f aca="false">SUMIFS(H$73:H$101,$B$73:$B$101,"LAS")</f>
        <v>174</v>
      </c>
      <c r="I140" s="16" t="n">
        <f aca="false">SUMIFS(I$73:I$101,$B$73:$B$101,"LAS")</f>
        <v>206</v>
      </c>
      <c r="J140" s="16" t="n">
        <f aca="false">SUMIFS(J$73:J$101,$B$73:$B$101,"LAS")</f>
        <v>142</v>
      </c>
      <c r="K140" s="16" t="n">
        <f aca="false">SUMIFS(K$73:K$101,$B$73:$B$101,"LAS")</f>
        <v>197</v>
      </c>
      <c r="L140" s="16" t="n">
        <f aca="false">SUMIFS(L$73:L$101,$B$73:$B$101,"LAS")</f>
        <v>68</v>
      </c>
      <c r="M140" s="16" t="n">
        <f aca="false">SUMIFS(M$73:M$101,$B$73:$B$101,"LAS")</f>
        <v>194</v>
      </c>
      <c r="N140" s="16" t="n">
        <f aca="false">SUMIFS(N$73:N$101,$B$73:$B$101,"LAS")</f>
        <v>134</v>
      </c>
      <c r="O140" s="16" t="n">
        <f aca="false">SUMIFS(O$73:O$101,$B$73:$B$101,"LAS")</f>
        <v>76</v>
      </c>
      <c r="P140" s="16" t="n">
        <f aca="false">SUMIFS(P$73:P$101,$B$73:$B$101,"LAS")</f>
        <v>106</v>
      </c>
      <c r="Q140" s="16" t="n">
        <f aca="false">SUMIFS(Q$73:Q$101,$B$73:$B$101,"LAS")</f>
        <v>1</v>
      </c>
      <c r="R140" s="16" t="n">
        <f aca="false">SUM(F140:P140)</f>
        <v>1426</v>
      </c>
      <c r="S140" s="16" t="n">
        <f aca="false">R140/11</f>
        <v>129.636363636364</v>
      </c>
      <c r="T140" s="12" t="n">
        <f aca="false">P140/F140-1</f>
        <v>0.65625</v>
      </c>
      <c r="U140" s="12" t="n">
        <f aca="false">P140/E140-1</f>
        <v>0.558823529411765</v>
      </c>
    </row>
    <row r="141" customFormat="false" ht="15" hidden="false" customHeight="false" outlineLevel="0" collapsed="false">
      <c r="A141" s="9" t="n">
        <v>36</v>
      </c>
      <c r="B141" s="9" t="s">
        <v>36</v>
      </c>
      <c r="C141" s="17" t="s">
        <v>118</v>
      </c>
      <c r="E141" s="11" t="n">
        <f aca="false">SUMIFS(E$7:E$35,$B$7:$B$35,"Overdraft")</f>
        <v>1024</v>
      </c>
      <c r="F141" s="11" t="n">
        <f aca="false">SUMIFS(F$7:F$35,$B$7:$B$35,"Overdraft")</f>
        <v>750</v>
      </c>
      <c r="G141" s="11" t="n">
        <f aca="false">SUMIFS(G$7:G$35,$B$7:$B$35,"Overdraft")</f>
        <v>798</v>
      </c>
      <c r="H141" s="11" t="n">
        <f aca="false">SUMIFS(H$7:H$35,$B$7:$B$35,"Overdraft")</f>
        <v>891</v>
      </c>
      <c r="I141" s="11" t="n">
        <f aca="false">SUMIFS(I$7:I$35,$B$7:$B$35,"Overdraft")</f>
        <v>968</v>
      </c>
      <c r="J141" s="11" t="n">
        <f aca="false">SUMIFS(J$7:J$35,$B$7:$B$35,"Overdraft")</f>
        <v>942</v>
      </c>
      <c r="K141" s="11" t="n">
        <f aca="false">SUMIFS(K$7:K$35,$B$7:$B$35,"Overdraft")</f>
        <v>1099</v>
      </c>
      <c r="L141" s="11" t="n">
        <f aca="false">SUMIFS(L$7:L$35,$B$7:$B$35,"Overdraft")</f>
        <v>1036</v>
      </c>
      <c r="M141" s="11" t="n">
        <f aca="false">SUMIFS(M$7:M$35,$B$7:$B$35,"Overdraft")</f>
        <v>1082</v>
      </c>
      <c r="N141" s="11" t="n">
        <f aca="false">SUMIFS(N$7:N$35,$B$7:$B$35,"Overdraft")</f>
        <v>1417</v>
      </c>
      <c r="O141" s="11" t="n">
        <f aca="false">SUMIFS(O$7:O$35,$B$7:$B$35,"Overdraft")</f>
        <v>1413</v>
      </c>
      <c r="P141" s="11" t="n">
        <f aca="false">SUMIFS(P$7:P$35,$B$7:$B$35,"Overdraft")</f>
        <v>1397</v>
      </c>
      <c r="Q141" s="11" t="n">
        <f aca="false">SUMIFS(Q$7:Q$35,$B$7:$B$35,"Overdraft")</f>
        <v>125</v>
      </c>
      <c r="R141" s="11" t="n">
        <f aca="false">SUM(F141:P141)</f>
        <v>11793</v>
      </c>
      <c r="S141" s="11" t="n">
        <f aca="false">R141/11</f>
        <v>1072.09090909091</v>
      </c>
      <c r="T141" s="12" t="n">
        <f aca="false">P141/F141-1</f>
        <v>0.862666666666667</v>
      </c>
      <c r="U141" s="12" t="n">
        <f aca="false">P141/E141-1</f>
        <v>0.3642578125</v>
      </c>
    </row>
    <row r="142" customFormat="false" ht="15" hidden="false" customHeight="false" outlineLevel="0" collapsed="false">
      <c r="A142" s="9" t="n">
        <v>37</v>
      </c>
      <c r="B142" s="9" t="s">
        <v>36</v>
      </c>
      <c r="C142" s="17" t="s">
        <v>119</v>
      </c>
      <c r="E142" s="16" t="n">
        <f aca="false">SUMIFS(E$73:E$101,$B$73:$B$101,"Overdraft")</f>
        <v>392</v>
      </c>
      <c r="F142" s="16" t="n">
        <f aca="false">SUMIFS(F$73:F$101,$B$73:$B$101,"Overdraft")</f>
        <v>198</v>
      </c>
      <c r="G142" s="16" t="n">
        <f aca="false">SUMIFS(G$73:G$101,$B$73:$B$101,"Overdraft")</f>
        <v>223</v>
      </c>
      <c r="H142" s="16" t="n">
        <f aca="false">SUMIFS(H$73:H$101,$B$73:$B$101,"Overdraft")</f>
        <v>366</v>
      </c>
      <c r="I142" s="16" t="n">
        <f aca="false">SUMIFS(I$73:I$101,$B$73:$B$101,"Overdraft")</f>
        <v>446</v>
      </c>
      <c r="J142" s="16" t="n">
        <f aca="false">SUMIFS(J$73:J$101,$B$73:$B$101,"Overdraft")</f>
        <v>258</v>
      </c>
      <c r="K142" s="16" t="n">
        <f aca="false">SUMIFS(K$73:K$101,$B$73:$B$101,"Overdraft")</f>
        <v>599</v>
      </c>
      <c r="L142" s="16" t="n">
        <f aca="false">SUMIFS(L$73:L$101,$B$73:$B$101,"Overdraft")</f>
        <v>249</v>
      </c>
      <c r="M142" s="16" t="n">
        <f aca="false">SUMIFS(M$73:M$101,$B$73:$B$101,"Overdraft")</f>
        <v>452</v>
      </c>
      <c r="N142" s="16" t="n">
        <f aca="false">SUMIFS(N$73:N$101,$B$73:$B$101,"Overdraft")</f>
        <v>589</v>
      </c>
      <c r="O142" s="16" t="n">
        <f aca="false">SUMIFS(O$73:O$101,$B$73:$B$101,"Overdraft")</f>
        <v>614</v>
      </c>
      <c r="P142" s="16" t="n">
        <f aca="false">SUMIFS(P$73:P$101,$B$73:$B$101,"Overdraft")</f>
        <v>434</v>
      </c>
      <c r="Q142" s="16" t="n">
        <f aca="false">SUMIFS(Q$73:Q$101,$B$73:$B$101,"Overdraft")</f>
        <v>13</v>
      </c>
      <c r="R142" s="16" t="n">
        <f aca="false">SUM(F142:P142)</f>
        <v>4428</v>
      </c>
      <c r="S142" s="16" t="n">
        <f aca="false">R142/11</f>
        <v>402.545454545455</v>
      </c>
      <c r="T142" s="12" t="n">
        <f aca="false">P142/F142-1</f>
        <v>1.19191919191919</v>
      </c>
      <c r="U142" s="12" t="n">
        <f aca="false">P142/E142-1</f>
        <v>0.107142857142857</v>
      </c>
    </row>
    <row r="143" customFormat="false" ht="15" hidden="false" customHeight="false" outlineLevel="0" collapsed="false">
      <c r="A143" s="9" t="n">
        <v>38</v>
      </c>
      <c r="B143" s="9" t="s">
        <v>36</v>
      </c>
      <c r="C143" s="17" t="s">
        <v>120</v>
      </c>
      <c r="E143" s="11" t="n">
        <f aca="false">SUMIFS(E$7:E$35,$B$7:$B$35,"Used Car Loan")</f>
        <v>893</v>
      </c>
      <c r="F143" s="11" t="n">
        <f aca="false">SUMIFS(F$7:F$35,$B$7:$B$35,"Used Car Loan")</f>
        <v>692</v>
      </c>
      <c r="G143" s="11" t="n">
        <f aca="false">SUMIFS(G$7:G$35,$B$7:$B$35,"Used Car Loan")</f>
        <v>801</v>
      </c>
      <c r="H143" s="11" t="n">
        <f aca="false">SUMIFS(H$7:H$35,$B$7:$B$35,"Used Car Loan")</f>
        <v>801</v>
      </c>
      <c r="I143" s="11" t="n">
        <f aca="false">SUMIFS(I$7:I$35,$B$7:$B$35,"Used Car Loan")</f>
        <v>839</v>
      </c>
      <c r="J143" s="11" t="n">
        <f aca="false">SUMIFS(J$7:J$35,$B$7:$B$35,"Used Car Loan")</f>
        <v>794</v>
      </c>
      <c r="K143" s="11" t="n">
        <f aca="false">SUMIFS(K$7:K$35,$B$7:$B$35,"Used Car Loan")</f>
        <v>756</v>
      </c>
      <c r="L143" s="11" t="n">
        <f aca="false">SUMIFS(L$7:L$35,$B$7:$B$35,"Used Car Loan")</f>
        <v>795</v>
      </c>
      <c r="M143" s="11" t="n">
        <f aca="false">SUMIFS(M$7:M$35,$B$7:$B$35,"Used Car Loan")</f>
        <v>781</v>
      </c>
      <c r="N143" s="11" t="n">
        <f aca="false">SUMIFS(N$7:N$35,$B$7:$B$35,"Used Car Loan")</f>
        <v>794</v>
      </c>
      <c r="O143" s="11" t="n">
        <f aca="false">SUMIFS(O$7:O$35,$B$7:$B$35,"Used Car Loan")</f>
        <v>814</v>
      </c>
      <c r="P143" s="11" t="n">
        <f aca="false">SUMIFS(P$7:P$35,$B$7:$B$35,"Used Car Loan")</f>
        <v>782</v>
      </c>
      <c r="Q143" s="11" t="n">
        <f aca="false">SUMIFS(Q$7:Q$35,$B$7:$B$35,"Used Car Loan")</f>
        <v>45</v>
      </c>
      <c r="R143" s="11" t="n">
        <f aca="false">SUM(F143:P143)</f>
        <v>8649</v>
      </c>
      <c r="S143" s="11" t="n">
        <f aca="false">R143/11</f>
        <v>786.272727272727</v>
      </c>
      <c r="T143" s="12" t="n">
        <f aca="false">P143/F143-1</f>
        <v>0.130057803468208</v>
      </c>
      <c r="U143" s="12" t="n">
        <f aca="false">P143/E143-1</f>
        <v>-0.124300111982083</v>
      </c>
    </row>
    <row r="144" customFormat="false" ht="15" hidden="false" customHeight="false" outlineLevel="0" collapsed="false">
      <c r="A144" s="9" t="n">
        <v>39</v>
      </c>
      <c r="B144" s="9" t="s">
        <v>36</v>
      </c>
      <c r="C144" s="17" t="s">
        <v>121</v>
      </c>
      <c r="E144" s="16" t="n">
        <f aca="false">SUMIFS(E$73:E$101,$B$73:$B$101,"Used Car Loan")</f>
        <v>79</v>
      </c>
      <c r="F144" s="16" t="n">
        <f aca="false">SUMIFS(F$73:F$101,$B$73:$B$101,"Used Car Loan")</f>
        <v>57</v>
      </c>
      <c r="G144" s="16" t="n">
        <f aca="false">SUMIFS(G$73:G$101,$B$73:$B$101,"Used Car Loan")</f>
        <v>68</v>
      </c>
      <c r="H144" s="16" t="n">
        <f aca="false">SUMIFS(H$73:H$101,$B$73:$B$101,"Used Car Loan")</f>
        <v>64</v>
      </c>
      <c r="I144" s="16" t="n">
        <f aca="false">SUMIFS(I$73:I$101,$B$73:$B$101,"Used Car Loan")</f>
        <v>67</v>
      </c>
      <c r="J144" s="16" t="n">
        <f aca="false">SUMIFS(J$73:J$101,$B$73:$B$101,"Used Car Loan")</f>
        <v>65</v>
      </c>
      <c r="K144" s="16" t="n">
        <f aca="false">SUMIFS(K$73:K$101,$B$73:$B$101,"Used Car Loan")</f>
        <v>61</v>
      </c>
      <c r="L144" s="16" t="n">
        <f aca="false">SUMIFS(L$73:L$101,$B$73:$B$101,"Used Car Loan")</f>
        <v>61</v>
      </c>
      <c r="M144" s="16" t="n">
        <f aca="false">SUMIFS(M$73:M$101,$B$73:$B$101,"Used Car Loan")</f>
        <v>64</v>
      </c>
      <c r="N144" s="16" t="n">
        <f aca="false">SUMIFS(N$73:N$101,$B$73:$B$101,"Used Car Loan")</f>
        <v>70</v>
      </c>
      <c r="O144" s="16" t="n">
        <f aca="false">SUMIFS(O$73:O$101,$B$73:$B$101,"Used Car Loan")</f>
        <v>67</v>
      </c>
      <c r="P144" s="16" t="n">
        <f aca="false">SUMIFS(P$73:P$101,$B$73:$B$101,"Used Car Loan")</f>
        <v>70</v>
      </c>
      <c r="Q144" s="16" t="n">
        <f aca="false">SUMIFS(Q$73:Q$101,$B$73:$B$101,"Used Car Loan")</f>
        <v>3</v>
      </c>
      <c r="R144" s="16" t="n">
        <f aca="false">SUM(F144:P144)</f>
        <v>714</v>
      </c>
      <c r="S144" s="16" t="n">
        <f aca="false">R144/11</f>
        <v>64.9090909090909</v>
      </c>
      <c r="T144" s="12" t="n">
        <f aca="false">P144/F144-1</f>
        <v>0.228070175438597</v>
      </c>
      <c r="U144" s="12" t="n">
        <f aca="false">P144/E144-1</f>
        <v>-0.113924050632911</v>
      </c>
    </row>
    <row r="146" customFormat="false" ht="15" hidden="false" customHeight="false" outlineLevel="0" collapsed="false">
      <c r="A146" s="4" t="s">
        <v>122</v>
      </c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 customFormat="false" ht="46.25" hidden="false" customHeight="false" outlineLevel="0" collapsed="false">
      <c r="A147" s="8" t="s">
        <v>35</v>
      </c>
      <c r="B147" s="8" t="s">
        <v>36</v>
      </c>
      <c r="C147" s="8" t="s">
        <v>123</v>
      </c>
      <c r="D147" s="8" t="s">
        <v>124</v>
      </c>
      <c r="E147" s="8" t="s">
        <v>125</v>
      </c>
      <c r="F147" s="8" t="s">
        <v>126</v>
      </c>
      <c r="G147" s="8" t="s">
        <v>127</v>
      </c>
      <c r="H147" s="8" t="s">
        <v>128</v>
      </c>
      <c r="I147" s="8" t="s">
        <v>129</v>
      </c>
      <c r="J147" s="8" t="s">
        <v>130</v>
      </c>
    </row>
    <row r="148" customFormat="false" ht="15" hidden="false" customHeight="false" outlineLevel="0" collapsed="false">
      <c r="A148" s="9" t="n">
        <v>1</v>
      </c>
      <c r="B148" s="9" t="s">
        <v>56</v>
      </c>
      <c r="C148" s="11" t="n">
        <f aca="false">R115</f>
        <v>34716</v>
      </c>
      <c r="D148" s="12" t="n">
        <f aca="false">C148/$R$106</f>
        <v>0.0290093647871636</v>
      </c>
      <c r="E148" s="16" t="n">
        <f aca="false">R116</f>
        <v>19916</v>
      </c>
      <c r="F148" s="12" t="n">
        <f aca="false">E148/$R$107</f>
        <v>0.245894757636368</v>
      </c>
      <c r="G148" s="14" t="n">
        <f aca="false">E148*100/C148</f>
        <v>57.3683604101855</v>
      </c>
      <c r="H148" s="12" t="n">
        <f aca="false">T115</f>
        <v>0.564032697547684</v>
      </c>
      <c r="I148" s="12" t="n">
        <f aca="false">T116</f>
        <v>0.656140350877193</v>
      </c>
      <c r="J148" s="12" t="n">
        <f aca="false">(P115-F115)/(P106-F106)</f>
        <v>0.0147022266415711</v>
      </c>
    </row>
    <row r="149" customFormat="false" ht="15" hidden="false" customHeight="false" outlineLevel="0" collapsed="false">
      <c r="A149" s="9" t="n">
        <v>2</v>
      </c>
      <c r="B149" s="9" t="s">
        <v>59</v>
      </c>
      <c r="C149" s="11" t="n">
        <f aca="false">R117</f>
        <v>22558</v>
      </c>
      <c r="D149" s="12" t="n">
        <f aca="false">C149/$R$106</f>
        <v>0.0188499035277346</v>
      </c>
      <c r="E149" s="16" t="n">
        <f aca="false">R118</f>
        <v>20932</v>
      </c>
      <c r="F149" s="12" t="n">
        <f aca="false">E149/$R$107</f>
        <v>0.258438896708398</v>
      </c>
      <c r="G149" s="14" t="n">
        <f aca="false">E149*100/C149</f>
        <v>92.7919141767887</v>
      </c>
      <c r="H149" s="12" t="n">
        <f aca="false">T117</f>
        <v>0.500341763499658</v>
      </c>
      <c r="I149" s="12" t="n">
        <f aca="false">T118</f>
        <v>0.408193123628383</v>
      </c>
      <c r="J149" s="12" t="n">
        <f aca="false">(P117-F117)/(P106-F106)</f>
        <v>0.00866508043609503</v>
      </c>
    </row>
    <row r="150" customFormat="false" ht="15" hidden="false" customHeight="false" outlineLevel="0" collapsed="false">
      <c r="A150" s="9" t="n">
        <v>3</v>
      </c>
      <c r="B150" s="9" t="s">
        <v>60</v>
      </c>
      <c r="C150" s="11" t="n">
        <f aca="false">R119</f>
        <v>208262</v>
      </c>
      <c r="D150" s="12" t="n">
        <f aca="false">C150/$R$106</f>
        <v>0.17402777766172</v>
      </c>
      <c r="E150" s="16" t="n">
        <f aca="false">R120</f>
        <v>8064</v>
      </c>
      <c r="F150" s="12" t="n">
        <f aca="false">E150/$R$107</f>
        <v>0.0995629305874509</v>
      </c>
      <c r="G150" s="14" t="n">
        <f aca="false">E150*100/C150</f>
        <v>3.87204578847798</v>
      </c>
      <c r="H150" s="12" t="n">
        <f aca="false">T119</f>
        <v>5.23414996288048</v>
      </c>
      <c r="I150" s="12" t="n">
        <f aca="false">T120</f>
        <v>11.3690476190476</v>
      </c>
      <c r="J150" s="12" t="n">
        <f aca="false">(P119-F119)/(P106-F106)</f>
        <v>0.417297015755768</v>
      </c>
    </row>
    <row r="151" customFormat="false" ht="15" hidden="false" customHeight="false" outlineLevel="0" collapsed="false">
      <c r="A151" s="9" t="n">
        <v>4</v>
      </c>
      <c r="B151" s="9" t="s">
        <v>61</v>
      </c>
      <c r="C151" s="11" t="n">
        <f aca="false">R121</f>
        <v>44276</v>
      </c>
      <c r="D151" s="12" t="n">
        <f aca="false">C151/$R$106</f>
        <v>0.0369978867184138</v>
      </c>
      <c r="E151" s="16" t="n">
        <f aca="false">R122</f>
        <v>476</v>
      </c>
      <c r="F151" s="12" t="n">
        <f aca="false">E151/$R$107</f>
        <v>0.00587697854162037</v>
      </c>
      <c r="G151" s="14" t="n">
        <f aca="false">E151*100/C151</f>
        <v>1.07507453247809</v>
      </c>
      <c r="H151" s="12" t="n">
        <f aca="false">T121</f>
        <v>-0.0785312248726883</v>
      </c>
      <c r="I151" s="12" t="n">
        <f aca="false">T122</f>
        <v>-0.0256410256410257</v>
      </c>
      <c r="J151" s="12" t="n">
        <f aca="false">(P121-F121)/(P106-F106)</f>
        <v>-0.00346839968275389</v>
      </c>
    </row>
    <row r="152" customFormat="false" ht="15" hidden="false" customHeight="false" outlineLevel="0" collapsed="false">
      <c r="A152" s="9" t="n">
        <v>5</v>
      </c>
      <c r="B152" s="9" t="s">
        <v>62</v>
      </c>
      <c r="C152" s="11" t="n">
        <f aca="false">R123</f>
        <v>27813</v>
      </c>
      <c r="D152" s="12" t="n">
        <f aca="false">C152/$R$106</f>
        <v>0.0232410837315756</v>
      </c>
      <c r="E152" s="16" t="n">
        <f aca="false">R124</f>
        <v>3596</v>
      </c>
      <c r="F152" s="12" t="n">
        <f aca="false">E152/$R$107</f>
        <v>0.0443983504950984</v>
      </c>
      <c r="G152" s="14" t="n">
        <f aca="false">E152*100/C152</f>
        <v>12.9292057670873</v>
      </c>
      <c r="H152" s="12" t="n">
        <f aca="false">T123</f>
        <v>0.128938439166263</v>
      </c>
      <c r="I152" s="12" t="n">
        <f aca="false">T124</f>
        <v>0.0711743772241993</v>
      </c>
      <c r="J152" s="12" t="n">
        <f aca="false">(P123-F123)/(P106-F106)</f>
        <v>0.00314878606011104</v>
      </c>
    </row>
    <row r="153" customFormat="false" ht="15" hidden="false" customHeight="false" outlineLevel="0" collapsed="false">
      <c r="A153" s="9" t="n">
        <v>6</v>
      </c>
      <c r="B153" s="9" t="s">
        <v>63</v>
      </c>
      <c r="C153" s="11" t="n">
        <f aca="false">R125</f>
        <v>4182</v>
      </c>
      <c r="D153" s="12" t="n">
        <f aca="false">C153/$R$106</f>
        <v>0.00349456053519754</v>
      </c>
      <c r="E153" s="16" t="n">
        <f aca="false">R126</f>
        <v>216</v>
      </c>
      <c r="F153" s="12" t="n">
        <f aca="false">E153/$R$107</f>
        <v>0.00266686421216386</v>
      </c>
      <c r="G153" s="14" t="n">
        <f aca="false">E153*100/C153</f>
        <v>5.16499282639885</v>
      </c>
      <c r="H153" s="12" t="n">
        <f aca="false">T125</f>
        <v>0.835664335664336</v>
      </c>
      <c r="I153" s="12" t="n">
        <f aca="false">T126</f>
        <v>0.666666666666667</v>
      </c>
      <c r="J153" s="12" t="n">
        <f aca="false">(P125-F125)/(P106-F106)</f>
        <v>0.00282917243746819</v>
      </c>
    </row>
    <row r="154" customFormat="false" ht="15" hidden="false" customHeight="false" outlineLevel="0" collapsed="false">
      <c r="A154" s="9" t="n">
        <v>7</v>
      </c>
      <c r="B154" s="9" t="s">
        <v>64</v>
      </c>
      <c r="C154" s="11" t="n">
        <f aca="false">R127</f>
        <v>4253</v>
      </c>
      <c r="D154" s="12" t="n">
        <f aca="false">C154/$R$106</f>
        <v>0.00355388951606771</v>
      </c>
      <c r="E154" s="16" t="n">
        <f aca="false">R128</f>
        <v>825</v>
      </c>
      <c r="F154" s="12" t="n">
        <f aca="false">E154/$R$107</f>
        <v>0.010185939699237</v>
      </c>
      <c r="G154" s="14" t="n">
        <f aca="false">E154*100/C154</f>
        <v>19.3980719492123</v>
      </c>
      <c r="H154" s="12" t="n">
        <f aca="false">T127</f>
        <v>0.232</v>
      </c>
      <c r="I154" s="12" t="n">
        <f aca="false">T128</f>
        <v>-0.191489361702128</v>
      </c>
      <c r="J154" s="12" t="n">
        <f aca="false">(P127-F127)/(P106-F106)</f>
        <v>0.000686577411603158</v>
      </c>
    </row>
    <row r="155" customFormat="false" ht="15" hidden="false" customHeight="false" outlineLevel="0" collapsed="false">
      <c r="A155" s="9" t="n">
        <v>8</v>
      </c>
      <c r="B155" s="9" t="s">
        <v>65</v>
      </c>
      <c r="C155" s="11" t="n">
        <f aca="false">R129</f>
        <v>77971</v>
      </c>
      <c r="D155" s="12" t="n">
        <f aca="false">C155/$R$106</f>
        <v>0.0651540840482754</v>
      </c>
      <c r="E155" s="16" t="n">
        <f aca="false">R130</f>
        <v>11315</v>
      </c>
      <c r="F155" s="12" t="n">
        <f aca="false">E155/$R$107</f>
        <v>0.139701706299232</v>
      </c>
      <c r="G155" s="14" t="n">
        <f aca="false">E155*100/C155</f>
        <v>14.5118056713393</v>
      </c>
      <c r="H155" s="12" t="n">
        <f aca="false">T129</f>
        <v>0.939731635205822</v>
      </c>
      <c r="I155" s="12" t="n">
        <f aca="false">T130</f>
        <v>0.379365079365079</v>
      </c>
      <c r="J155" s="12" t="n">
        <f aca="false">(P129-F129)/(P106-F106)</f>
        <v>0.0489127218059353</v>
      </c>
    </row>
    <row r="156" customFormat="false" ht="15" hidden="false" customHeight="false" outlineLevel="0" collapsed="false">
      <c r="A156" s="9" t="n">
        <v>9</v>
      </c>
      <c r="B156" s="9" t="s">
        <v>66</v>
      </c>
      <c r="C156" s="11" t="n">
        <f aca="false">R131</f>
        <v>311288</v>
      </c>
      <c r="D156" s="12" t="n">
        <f aca="false">C156/$R$106</f>
        <v>0.260118307001572</v>
      </c>
      <c r="E156" s="16" t="n">
        <f aca="false">R132</f>
        <v>6806</v>
      </c>
      <c r="F156" s="12" t="n">
        <f aca="false">E156/$R$107</f>
        <v>0.0840309158703114</v>
      </c>
      <c r="G156" s="14" t="n">
        <f aca="false">E156*100/C156</f>
        <v>2.18639973272339</v>
      </c>
      <c r="H156" s="12" t="n">
        <f aca="false">T131</f>
        <v>1.64088432003963</v>
      </c>
      <c r="I156" s="12" t="n">
        <f aca="false">T132</f>
        <v>0.92987012987013</v>
      </c>
      <c r="J156" s="12" t="n">
        <f aca="false">(P131-F131)/(P106-F106)</f>
        <v>0.313659339228429</v>
      </c>
    </row>
    <row r="157" customFormat="false" ht="15" hidden="false" customHeight="false" outlineLevel="0" collapsed="false">
      <c r="A157" s="9" t="n">
        <v>10</v>
      </c>
      <c r="B157" s="9" t="s">
        <v>67</v>
      </c>
      <c r="C157" s="11" t="n">
        <f aca="false">R133</f>
        <v>206791</v>
      </c>
      <c r="D157" s="12" t="n">
        <f aca="false">C157/$R$106</f>
        <v>0.172798581452424</v>
      </c>
      <c r="E157" s="16" t="n">
        <f aca="false">R134</f>
        <v>1151</v>
      </c>
      <c r="F157" s="12" t="n">
        <f aca="false">E157/$R$107</f>
        <v>0.0142109292046324</v>
      </c>
      <c r="G157" s="14" t="n">
        <f aca="false">E157*100/C157</f>
        <v>0.556600625752571</v>
      </c>
      <c r="H157" s="12" t="n">
        <f aca="false">T133</f>
        <v>-0.0902224336862139</v>
      </c>
      <c r="I157" s="12" t="n">
        <f aca="false">T134</f>
        <v>-0.633333333333333</v>
      </c>
      <c r="J157" s="12" t="n">
        <f aca="false">(P133-F133)/(P106-F106)</f>
        <v>-0.0179575505758964</v>
      </c>
    </row>
    <row r="158" customFormat="false" ht="15" hidden="false" customHeight="false" outlineLevel="0" collapsed="false">
      <c r="A158" s="9" t="n">
        <v>11</v>
      </c>
      <c r="B158" s="9" t="s">
        <v>68</v>
      </c>
      <c r="C158" s="11" t="n">
        <f aca="false">R135</f>
        <v>6316</v>
      </c>
      <c r="D158" s="12" t="n">
        <f aca="false">C158/$R$106</f>
        <v>0.00527777243909797</v>
      </c>
      <c r="E158" s="16" t="n">
        <f aca="false">R136</f>
        <v>430</v>
      </c>
      <c r="F158" s="12" t="n">
        <f aca="false">E158/$R$107</f>
        <v>0.00530903523717806</v>
      </c>
      <c r="G158" s="14" t="n">
        <f aca="false">E158*100/C158</f>
        <v>6.80810639645345</v>
      </c>
      <c r="H158" s="12" t="n">
        <f aca="false">T135</f>
        <v>0.0393013100436681</v>
      </c>
      <c r="I158" s="12" t="n">
        <f aca="false">T136</f>
        <v>-0.305555555555556</v>
      </c>
      <c r="J158" s="12" t="n">
        <f aca="false">(P135-F135)/(P106-F106)</f>
        <v>0.000213075748428566</v>
      </c>
    </row>
    <row r="159" customFormat="false" ht="15" hidden="false" customHeight="false" outlineLevel="0" collapsed="false">
      <c r="A159" s="9" t="n">
        <v>12</v>
      </c>
      <c r="B159" s="9" t="s">
        <v>69</v>
      </c>
      <c r="C159" s="11" t="n">
        <f aca="false">R137</f>
        <v>223613</v>
      </c>
      <c r="D159" s="12" t="n">
        <f aca="false">C159/$R$106</f>
        <v>0.186855371821408</v>
      </c>
      <c r="E159" s="16" t="n">
        <f aca="false">R138</f>
        <v>699</v>
      </c>
      <c r="F159" s="12" t="n">
        <f aca="false">E159/$R$107</f>
        <v>0.00863026890880806</v>
      </c>
      <c r="G159" s="14" t="n">
        <f aca="false">E159*100/C159</f>
        <v>0.312593632749438</v>
      </c>
      <c r="H159" s="12" t="n">
        <f aca="false">T137</f>
        <v>2.14779635258359</v>
      </c>
      <c r="I159" s="12" t="n">
        <f aca="false">T138</f>
        <v>1.27272727272727</v>
      </c>
      <c r="J159" s="12" t="n">
        <f aca="false">(P137-F137)/(P106-F106)</f>
        <v>0.200752867644448</v>
      </c>
    </row>
    <row r="160" customFormat="false" ht="15" hidden="false" customHeight="false" outlineLevel="0" collapsed="false">
      <c r="A160" s="9" t="n">
        <v>13</v>
      </c>
      <c r="B160" s="9" t="s">
        <v>70</v>
      </c>
      <c r="C160" s="11" t="n">
        <f aca="false">R139</f>
        <v>4236</v>
      </c>
      <c r="D160" s="12" t="n">
        <f aca="false">C160/$R$106</f>
        <v>0.00353968398543682</v>
      </c>
      <c r="E160" s="16" t="n">
        <f aca="false">R140</f>
        <v>1426</v>
      </c>
      <c r="F160" s="12" t="n">
        <f aca="false">E160/$R$107</f>
        <v>0.0176062424377114</v>
      </c>
      <c r="G160" s="14" t="n">
        <f aca="false">E160*100/C160</f>
        <v>33.6638338054769</v>
      </c>
      <c r="H160" s="12" t="n">
        <f aca="false">T139</f>
        <v>0.55956678700361</v>
      </c>
      <c r="I160" s="12" t="n">
        <f aca="false">T140</f>
        <v>0.65625</v>
      </c>
      <c r="J160" s="12" t="n">
        <f aca="false">(P139-F139)/(P106-F106)</f>
        <v>0.00183481894480154</v>
      </c>
    </row>
    <row r="161" customFormat="false" ht="15" hidden="false" customHeight="false" outlineLevel="0" collapsed="false">
      <c r="A161" s="9" t="n">
        <v>14</v>
      </c>
      <c r="B161" s="9" t="s">
        <v>71</v>
      </c>
      <c r="C161" s="11" t="n">
        <f aca="false">R141</f>
        <v>11793</v>
      </c>
      <c r="D161" s="12" t="n">
        <f aca="false">C161/$R$106</f>
        <v>0.00985446016058935</v>
      </c>
      <c r="E161" s="16" t="n">
        <f aca="false">R142</f>
        <v>4428</v>
      </c>
      <c r="F161" s="12" t="n">
        <f aca="false">E161/$R$107</f>
        <v>0.0546707163493592</v>
      </c>
      <c r="G161" s="14" t="n">
        <f aca="false">E161*100/C161</f>
        <v>37.5476977868227</v>
      </c>
      <c r="H161" s="12" t="n">
        <f aca="false">T141</f>
        <v>0.862666666666667</v>
      </c>
      <c r="I161" s="12" t="n">
        <f aca="false">T142</f>
        <v>1.19191919191919</v>
      </c>
      <c r="J161" s="12" t="n">
        <f aca="false">(P141-F141)/(P106-F106)</f>
        <v>0.00765888940184902</v>
      </c>
    </row>
    <row r="162" customFormat="false" ht="15" hidden="false" customHeight="false" outlineLevel="0" collapsed="false">
      <c r="A162" s="9" t="n">
        <v>15</v>
      </c>
      <c r="B162" s="9" t="s">
        <v>72</v>
      </c>
      <c r="C162" s="11" t="n">
        <f aca="false">R143</f>
        <v>8649</v>
      </c>
      <c r="D162" s="12" t="n">
        <f aca="false">C162/$R$106</f>
        <v>0.00722727261332462</v>
      </c>
      <c r="E162" s="16" t="n">
        <f aca="false">R144</f>
        <v>714</v>
      </c>
      <c r="F162" s="12" t="n">
        <f aca="false">E162/$R$107</f>
        <v>0.00881546781243055</v>
      </c>
      <c r="G162" s="14" t="n">
        <f aca="false">E162*100/C162</f>
        <v>8.25528962885883</v>
      </c>
      <c r="H162" s="12" t="n">
        <f aca="false">T143</f>
        <v>0.130057803468208</v>
      </c>
      <c r="I162" s="12" t="n">
        <f aca="false">T144</f>
        <v>0.228070175438597</v>
      </c>
      <c r="J162" s="12" t="n">
        <f aca="false">(P143-F143)/(P106-F106)</f>
        <v>0.00106537874214283</v>
      </c>
    </row>
    <row r="163" customFormat="false" ht="15" hidden="false" customHeight="false" outlineLevel="0" collapsed="false">
      <c r="B163" s="17" t="s">
        <v>131</v>
      </c>
      <c r="C163" s="11" t="n">
        <f aca="false">SUM(C148:C162)</f>
        <v>1196717</v>
      </c>
      <c r="D163" s="12" t="n">
        <f aca="false">SUM(D148:D162)</f>
        <v>1</v>
      </c>
      <c r="E163" s="16" t="n">
        <f aca="false">SUM(E148:E162)</f>
        <v>80994</v>
      </c>
      <c r="F163" s="12" t="n">
        <f aca="false">SUM(F148:F162)</f>
        <v>1</v>
      </c>
      <c r="G163" s="14" t="n">
        <f aca="false">E163*100/C163</f>
        <v>6.76801616422262</v>
      </c>
      <c r="J163" s="12" t="n">
        <f aca="false">SUM(J148:J162)</f>
        <v>1</v>
      </c>
    </row>
    <row r="166" customFormat="false" ht="15" hidden="false" customHeight="false" outlineLevel="0" collapsed="false">
      <c r="A166" s="4" t="s">
        <v>132</v>
      </c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 customFormat="false" ht="23.85" hidden="false" customHeight="false" outlineLevel="0" collapsed="false">
      <c r="A167" s="8" t="s">
        <v>35</v>
      </c>
      <c r="B167" s="8" t="s">
        <v>133</v>
      </c>
      <c r="C167" s="8" t="s">
        <v>134</v>
      </c>
      <c r="D167" s="8" t="s">
        <v>135</v>
      </c>
      <c r="E167" s="8" t="s">
        <v>136</v>
      </c>
    </row>
    <row r="168" customFormat="false" ht="79.85" hidden="false" customHeight="false" outlineLevel="0" collapsed="false">
      <c r="A168" s="9" t="n">
        <v>1</v>
      </c>
      <c r="B168" s="18" t="s">
        <v>137</v>
      </c>
      <c r="C168" s="12" t="n">
        <f aca="false">Q106/P106</f>
        <v>0.105591399296282</v>
      </c>
      <c r="D168" s="9" t="s">
        <v>138</v>
      </c>
      <c r="E168" s="19" t="s">
        <v>139</v>
      </c>
    </row>
    <row r="169" customFormat="false" ht="79.85" hidden="false" customHeight="false" outlineLevel="0" collapsed="false">
      <c r="A169" s="9" t="n">
        <v>2</v>
      </c>
      <c r="B169" s="18" t="s">
        <v>140</v>
      </c>
      <c r="C169" s="20" t="str">
        <f aca="false">"label check"</f>
        <v>label check</v>
      </c>
      <c r="D169" s="9" t="s">
        <v>141</v>
      </c>
      <c r="E169" s="19" t="s">
        <v>142</v>
      </c>
    </row>
    <row r="170" customFormat="false" ht="57.45" hidden="false" customHeight="false" outlineLevel="0" collapsed="false">
      <c r="A170" s="9" t="n">
        <v>3</v>
      </c>
      <c r="B170" s="18" t="s">
        <v>143</v>
      </c>
      <c r="C170" s="16" t="n">
        <f aca="false">MAX(U73:U101)</f>
        <v>3.57459999999992</v>
      </c>
      <c r="D170" s="9" t="s">
        <v>144</v>
      </c>
      <c r="E170" s="19" t="s">
        <v>145</v>
      </c>
    </row>
    <row r="171" customFormat="false" ht="102.2" hidden="false" customHeight="false" outlineLevel="0" collapsed="false">
      <c r="A171" s="9" t="n">
        <v>4</v>
      </c>
      <c r="B171" s="18" t="s">
        <v>146</v>
      </c>
      <c r="C171" s="12" t="n">
        <f aca="false">T119</f>
        <v>5.23414996288048</v>
      </c>
      <c r="D171" s="9" t="s">
        <v>138</v>
      </c>
      <c r="E171" s="19" t="s">
        <v>147</v>
      </c>
    </row>
    <row r="172" customFormat="false" ht="68.65" hidden="false" customHeight="false" outlineLevel="0" collapsed="false">
      <c r="A172" s="9" t="n">
        <v>5</v>
      </c>
      <c r="B172" s="18" t="s">
        <v>148</v>
      </c>
      <c r="C172" s="12" t="n">
        <f aca="false">P58/F58-1</f>
        <v>-0.616438356164384</v>
      </c>
      <c r="D172" s="9" t="s">
        <v>138</v>
      </c>
      <c r="E172" s="19" t="s">
        <v>149</v>
      </c>
    </row>
    <row r="173" customFormat="false" ht="68.65" hidden="false" customHeight="false" outlineLevel="0" collapsed="false">
      <c r="A173" s="9" t="n">
        <v>6</v>
      </c>
      <c r="B173" s="18" t="s">
        <v>150</v>
      </c>
      <c r="C173" s="21" t="n">
        <f aca="false">R55/R54</f>
        <v>8.95277644254139</v>
      </c>
      <c r="D173" s="9" t="s">
        <v>151</v>
      </c>
      <c r="E173" s="19" t="s">
        <v>152</v>
      </c>
    </row>
    <row r="175" customFormat="false" ht="15" hidden="false" customHeight="false" outlineLevel="0" collapsed="false">
      <c r="A175" s="4" t="s">
        <v>153</v>
      </c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7" customFormat="false" ht="15" hidden="false" customHeight="false" outlineLevel="0" collapsed="false">
      <c r="A177" s="4" t="s">
        <v>154</v>
      </c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 customFormat="false" ht="35.05" hidden="false" customHeight="false" outlineLevel="0" collapsed="false">
      <c r="A178" s="8" t="s">
        <v>35</v>
      </c>
      <c r="B178" s="8" t="s">
        <v>78</v>
      </c>
      <c r="C178" s="8" t="s">
        <v>155</v>
      </c>
      <c r="D178" s="8" t="s">
        <v>156</v>
      </c>
      <c r="E178" s="8" t="s">
        <v>157</v>
      </c>
      <c r="F178" s="8" t="s">
        <v>135</v>
      </c>
      <c r="G178" s="8" t="s">
        <v>158</v>
      </c>
    </row>
    <row r="179" customFormat="false" ht="79.85" hidden="false" customHeight="false" outlineLevel="0" collapsed="false">
      <c r="A179" s="9" t="n">
        <v>1</v>
      </c>
      <c r="B179" s="17" t="s">
        <v>159</v>
      </c>
      <c r="C179" s="19" t="s">
        <v>160</v>
      </c>
      <c r="D179" s="19" t="s">
        <v>161</v>
      </c>
      <c r="E179" s="11" t="n">
        <f aca="false">P11</f>
        <v>38463</v>
      </c>
      <c r="F179" s="9" t="s">
        <v>162</v>
      </c>
      <c r="G179" s="19"/>
    </row>
    <row r="180" customFormat="false" ht="57.45" hidden="false" customHeight="false" outlineLevel="0" collapsed="false">
      <c r="A180" s="9" t="n">
        <v>2</v>
      </c>
      <c r="B180" s="17" t="s">
        <v>159</v>
      </c>
      <c r="C180" s="19" t="s">
        <v>163</v>
      </c>
      <c r="D180" s="19" t="s">
        <v>161</v>
      </c>
      <c r="E180" s="16" t="n">
        <f aca="false">N73</f>
        <v>2163</v>
      </c>
      <c r="F180" s="9" t="s">
        <v>144</v>
      </c>
      <c r="G180" s="19"/>
    </row>
    <row r="181" customFormat="false" ht="57.45" hidden="false" customHeight="false" outlineLevel="0" collapsed="false">
      <c r="A181" s="9" t="n">
        <v>3</v>
      </c>
      <c r="B181" s="17" t="s">
        <v>159</v>
      </c>
      <c r="C181" s="19" t="s">
        <v>164</v>
      </c>
      <c r="D181" s="19" t="s">
        <v>165</v>
      </c>
      <c r="E181" s="16" t="n">
        <f aca="false">P107</f>
        <v>8659</v>
      </c>
      <c r="F181" s="9" t="s">
        <v>144</v>
      </c>
      <c r="G181" s="19"/>
    </row>
    <row r="182" customFormat="false" ht="68.65" hidden="false" customHeight="false" outlineLevel="0" collapsed="false">
      <c r="A182" s="9" t="n">
        <v>4</v>
      </c>
      <c r="B182" s="17" t="s">
        <v>166</v>
      </c>
      <c r="C182" s="19" t="s">
        <v>167</v>
      </c>
      <c r="D182" s="19" t="s">
        <v>168</v>
      </c>
      <c r="E182" s="12" t="n">
        <f aca="false">T106</f>
        <v>1.31662042953773</v>
      </c>
      <c r="F182" s="9" t="s">
        <v>138</v>
      </c>
      <c r="G182" s="19"/>
    </row>
    <row r="183" customFormat="false" ht="57.45" hidden="false" customHeight="false" outlineLevel="0" collapsed="false">
      <c r="A183" s="9" t="n">
        <v>5</v>
      </c>
      <c r="B183" s="17" t="s">
        <v>166</v>
      </c>
      <c r="C183" s="19" t="s">
        <v>169</v>
      </c>
      <c r="D183" s="19" t="s">
        <v>170</v>
      </c>
      <c r="E183" s="14" t="n">
        <f aca="false">P108</f>
        <v>5.82552358398536</v>
      </c>
      <c r="F183" s="9" t="s">
        <v>171</v>
      </c>
      <c r="G183" s="19"/>
    </row>
    <row r="184" customFormat="false" ht="68.65" hidden="false" customHeight="false" outlineLevel="0" collapsed="false">
      <c r="A184" s="9" t="n">
        <v>6</v>
      </c>
      <c r="B184" s="17" t="s">
        <v>166</v>
      </c>
      <c r="C184" s="19" t="s">
        <v>172</v>
      </c>
      <c r="D184" s="19" t="s">
        <v>173</v>
      </c>
      <c r="E184" s="12" t="n">
        <f aca="false">F148+F149</f>
        <v>0.504333654344766</v>
      </c>
      <c r="F184" s="9" t="s">
        <v>138</v>
      </c>
      <c r="G184" s="19"/>
    </row>
    <row r="185" customFormat="false" ht="46.25" hidden="false" customHeight="false" outlineLevel="0" collapsed="false">
      <c r="A185" s="9" t="n">
        <v>7</v>
      </c>
      <c r="B185" s="17" t="s">
        <v>166</v>
      </c>
      <c r="C185" s="19" t="s">
        <v>174</v>
      </c>
      <c r="D185" s="19" t="s">
        <v>175</v>
      </c>
      <c r="E185" s="12" t="n">
        <f aca="false">P113</f>
        <v>0.0512045963710735</v>
      </c>
      <c r="F185" s="9" t="s">
        <v>138</v>
      </c>
      <c r="G185" s="19"/>
    </row>
    <row r="186" customFormat="false" ht="113.4" hidden="false" customHeight="false" outlineLevel="0" collapsed="false">
      <c r="A186" s="9" t="n">
        <v>8</v>
      </c>
      <c r="B186" s="17" t="s">
        <v>176</v>
      </c>
      <c r="C186" s="19" t="s">
        <v>177</v>
      </c>
      <c r="D186" s="19" t="s">
        <v>178</v>
      </c>
      <c r="E186" s="12" t="n">
        <f aca="false">J150+J156</f>
        <v>0.730956354984197</v>
      </c>
      <c r="F186" s="9" t="s">
        <v>138</v>
      </c>
      <c r="G186" s="19" t="s">
        <v>179</v>
      </c>
    </row>
    <row r="187" customFormat="false" ht="113.4" hidden="false" customHeight="false" outlineLevel="0" collapsed="false">
      <c r="A187" s="9" t="n">
        <v>9</v>
      </c>
      <c r="B187" s="17" t="s">
        <v>176</v>
      </c>
      <c r="C187" s="19" t="s">
        <v>180</v>
      </c>
      <c r="D187" s="19" t="s">
        <v>181</v>
      </c>
      <c r="E187" s="12" t="n">
        <f aca="false">P108/F108-1</f>
        <v>-0.183892479922121</v>
      </c>
      <c r="F187" s="9" t="s">
        <v>138</v>
      </c>
      <c r="G187" s="19" t="s">
        <v>182</v>
      </c>
    </row>
    <row r="188" customFormat="false" ht="57.45" hidden="false" customHeight="false" outlineLevel="0" collapsed="false">
      <c r="A188" s="9" t="n">
        <v>10</v>
      </c>
      <c r="B188" s="17" t="s">
        <v>176</v>
      </c>
      <c r="C188" s="19" t="s">
        <v>183</v>
      </c>
      <c r="D188" s="19" t="s">
        <v>184</v>
      </c>
      <c r="E188" s="16" t="n">
        <f aca="false">MAX(U73:U101)</f>
        <v>3.57459999999992</v>
      </c>
      <c r="F188" s="9" t="s">
        <v>144</v>
      </c>
      <c r="G188" s="19" t="s">
        <v>185</v>
      </c>
    </row>
    <row r="190" customFormat="false" ht="15" hidden="false" customHeight="false" outlineLevel="0" collapsed="false">
      <c r="A190" s="4" t="s">
        <v>186</v>
      </c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 customFormat="false" ht="69.75" hidden="false" customHeight="true" outlineLevel="0" collapsed="false">
      <c r="A191" s="22" t="s">
        <v>187</v>
      </c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</row>
    <row r="193" customFormat="false" ht="15" hidden="false" customHeight="false" outlineLevel="0" collapsed="false">
      <c r="A193" s="3" t="s">
        <v>2</v>
      </c>
    </row>
  </sheetData>
  <mergeCells count="1">
    <mergeCell ref="A191:AF19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36"/>
    <col collapsed="false" customWidth="true" hidden="false" outlineLevel="0" max="4" min="4" style="0" width="44"/>
    <col collapsed="false" customWidth="true" hidden="false" outlineLevel="0" max="5" min="5" style="0" width="24"/>
    <col collapsed="false" customWidth="true" hidden="false" outlineLevel="0" max="6" min="6" style="0" width="78"/>
  </cols>
  <sheetData>
    <row r="1" customFormat="false" ht="17.35" hidden="false" customHeight="false" outlineLevel="0" collapsed="false">
      <c r="A1" s="1" t="s">
        <v>188</v>
      </c>
    </row>
    <row r="2" customFormat="false" ht="15" hidden="false" customHeight="false" outlineLevel="0" collapsed="false">
      <c r="A2" s="2" t="s">
        <v>189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190</v>
      </c>
      <c r="B5" s="5"/>
      <c r="C5" s="5"/>
      <c r="D5" s="5"/>
      <c r="E5" s="5"/>
      <c r="F5" s="5"/>
    </row>
    <row r="6" customFormat="false" ht="15" hidden="false" customHeight="false" outlineLevel="0" collapsed="false">
      <c r="B6" s="23" t="s">
        <v>191</v>
      </c>
      <c r="C6" s="23" t="s">
        <v>192</v>
      </c>
      <c r="D6" s="23"/>
      <c r="E6" s="23"/>
      <c r="F6" s="23"/>
    </row>
    <row r="7" customFormat="false" ht="15" hidden="false" customHeight="true" outlineLevel="0" collapsed="false">
      <c r="B7" s="17" t="s">
        <v>193</v>
      </c>
      <c r="C7" s="19" t="s">
        <v>194</v>
      </c>
      <c r="D7" s="19"/>
      <c r="E7" s="19"/>
      <c r="F7" s="19"/>
    </row>
    <row r="8" customFormat="false" ht="15" hidden="false" customHeight="true" outlineLevel="0" collapsed="false">
      <c r="B8" s="17" t="s">
        <v>195</v>
      </c>
      <c r="C8" s="19" t="s">
        <v>196</v>
      </c>
      <c r="D8" s="19"/>
      <c r="E8" s="19"/>
      <c r="F8" s="19"/>
    </row>
    <row r="9" customFormat="false" ht="15" hidden="false" customHeight="true" outlineLevel="0" collapsed="false">
      <c r="B9" s="17" t="s">
        <v>197</v>
      </c>
      <c r="C9" s="19" t="s">
        <v>198</v>
      </c>
      <c r="D9" s="19"/>
      <c r="E9" s="19"/>
      <c r="F9" s="19"/>
    </row>
    <row r="10" customFormat="false" ht="15" hidden="false" customHeight="true" outlineLevel="0" collapsed="false">
      <c r="B10" s="17" t="s">
        <v>199</v>
      </c>
      <c r="C10" s="19" t="s">
        <v>200</v>
      </c>
      <c r="D10" s="19"/>
      <c r="E10" s="19"/>
      <c r="F10" s="19"/>
    </row>
    <row r="11" customFormat="false" ht="15" hidden="false" customHeight="true" outlineLevel="0" collapsed="false">
      <c r="B11" s="17" t="s">
        <v>201</v>
      </c>
      <c r="C11" s="19" t="s">
        <v>202</v>
      </c>
      <c r="D11" s="19"/>
      <c r="E11" s="19"/>
      <c r="F11" s="19"/>
    </row>
    <row r="12" customFormat="false" ht="15" hidden="false" customHeight="true" outlineLevel="0" collapsed="false">
      <c r="B12" s="17" t="s">
        <v>203</v>
      </c>
      <c r="C12" s="19" t="s">
        <v>204</v>
      </c>
      <c r="D12" s="19"/>
      <c r="E12" s="19"/>
      <c r="F12" s="19"/>
    </row>
    <row r="13" customFormat="false" ht="15" hidden="false" customHeight="true" outlineLevel="0" collapsed="false">
      <c r="B13" s="17" t="s">
        <v>205</v>
      </c>
      <c r="C13" s="19" t="s">
        <v>206</v>
      </c>
      <c r="D13" s="19"/>
      <c r="E13" s="19"/>
      <c r="F13" s="19"/>
    </row>
    <row r="14" customFormat="false" ht="15" hidden="false" customHeight="true" outlineLevel="0" collapsed="false">
      <c r="B14" s="17" t="s">
        <v>207</v>
      </c>
      <c r="C14" s="19" t="s">
        <v>208</v>
      </c>
      <c r="D14" s="19"/>
      <c r="E14" s="19"/>
      <c r="F14" s="19"/>
    </row>
    <row r="15" customFormat="false" ht="15" hidden="false" customHeight="true" outlineLevel="0" collapsed="false">
      <c r="B15" s="17" t="s">
        <v>209</v>
      </c>
      <c r="C15" s="19" t="s">
        <v>210</v>
      </c>
      <c r="D15" s="19"/>
      <c r="E15" s="19"/>
      <c r="F15" s="19"/>
    </row>
    <row r="16" customFormat="false" ht="15" hidden="false" customHeight="true" outlineLevel="0" collapsed="false">
      <c r="B16" s="17" t="s">
        <v>211</v>
      </c>
      <c r="C16" s="19" t="s">
        <v>212</v>
      </c>
      <c r="D16" s="19"/>
      <c r="E16" s="19"/>
      <c r="F16" s="19"/>
    </row>
    <row r="17" customFormat="false" ht="15" hidden="false" customHeight="false" outlineLevel="0" collapsed="false">
      <c r="B17" s="24" t="s">
        <v>213</v>
      </c>
    </row>
    <row r="19" customFormat="false" ht="15" hidden="false" customHeight="false" outlineLevel="0" collapsed="false">
      <c r="A19" s="4" t="s">
        <v>214</v>
      </c>
      <c r="B19" s="5"/>
      <c r="C19" s="5"/>
      <c r="D19" s="5"/>
      <c r="E19" s="5"/>
      <c r="F19" s="5"/>
    </row>
    <row r="20" customFormat="false" ht="15" hidden="false" customHeight="false" outlineLevel="0" collapsed="false">
      <c r="A20" s="8" t="s">
        <v>35</v>
      </c>
      <c r="B20" s="8" t="s">
        <v>215</v>
      </c>
      <c r="C20" s="8" t="s">
        <v>216</v>
      </c>
      <c r="D20" s="8" t="s">
        <v>217</v>
      </c>
      <c r="E20" s="8" t="s">
        <v>218</v>
      </c>
      <c r="F20" s="8" t="s">
        <v>219</v>
      </c>
    </row>
    <row r="21" customFormat="false" ht="15" hidden="false" customHeight="false" outlineLevel="0" collapsed="false">
      <c r="A21" s="9" t="n">
        <v>1</v>
      </c>
      <c r="B21" s="19" t="s">
        <v>220</v>
      </c>
      <c r="C21" s="19" t="s">
        <v>221</v>
      </c>
      <c r="D21" s="19" t="s">
        <v>193</v>
      </c>
      <c r="E21" s="19" t="s">
        <v>222</v>
      </c>
      <c r="F21" s="25" t="str">
        <f aca="false">"Gold Loan OFFUS Apr-25 → Feb-26 "&amp;TEXT(B1_Originations!F11,"#,##0")&amp;" → "&amp;TEXT(B1_Originations!P11,"#,##0")&amp;"; Personal Loan OFFUS "&amp;TEXT(B1_Originations!F23,"#,##0")&amp;" → "&amp;TEXT(B1_Originations!P23,"#,##0")</f>
        <v>Gold Loan OFFUS Apr-25 → Feb-26 6,331 → 38,463; Personal Loan OFFUS 16,072 → 42,373</v>
      </c>
    </row>
    <row r="22" customFormat="false" ht="15" hidden="false" customHeight="false" outlineLevel="0" collapsed="false">
      <c r="A22" s="9" t="n">
        <v>2</v>
      </c>
      <c r="B22" s="19" t="s">
        <v>220</v>
      </c>
      <c r="C22" s="19" t="s">
        <v>223</v>
      </c>
      <c r="D22" s="19" t="s">
        <v>195</v>
      </c>
      <c r="E22" s="19" t="s">
        <v>224</v>
      </c>
      <c r="F22" s="25" t="str">
        <f aca="false">"Housing Loan OFFUS "&amp;TEXT(B1_Originations!F40,"#,##0.00")&amp;" / "&amp;TEXT(B1_Originations!I40,"#,##0.00")&amp;" / "&amp;TEXT(B1_Originations!L40,"#,##0.00")&amp;" / "&amp;TEXT(B1_Originations!P40,"#,##0.00")&amp;" (Apr / Jul / Oct / Feb)"</f>
        <v>Housing Loan OFFUS 55.30 / 57.33 / 66.53 / 58.26 (Apr / Jul / Oct / Feb)</v>
      </c>
    </row>
    <row r="23" customFormat="false" ht="15" hidden="false" customHeight="false" outlineLevel="0" collapsed="false">
      <c r="A23" s="9" t="n">
        <v>3</v>
      </c>
      <c r="B23" s="19" t="s">
        <v>220</v>
      </c>
      <c r="C23" s="19" t="s">
        <v>225</v>
      </c>
      <c r="D23" s="19" t="s">
        <v>197</v>
      </c>
      <c r="E23" s="19" t="s">
        <v>224</v>
      </c>
      <c r="F23" s="25" t="str">
        <f aca="false">"Housing Loan OFFUS "&amp;TEXT(B1_Originations!F73,"#,##0;-#,##0;0")&amp;" / "&amp;TEXT(B1_Originations!I73,"#,##0;-#,##0;0")&amp;" / "&amp;TEXT(B1_Originations!L73,"#,##0;-#,##0;0")&amp;" / "&amp;TEXT(B1_Originations!P73,"#,##0;-#,##0;0")</f>
        <v>Housing Loan OFFUS 1,047 / 1,630 / 1,716 / 1,749</v>
      </c>
    </row>
    <row r="24" customFormat="false" ht="15" hidden="false" customHeight="false" outlineLevel="0" collapsed="false">
      <c r="A24" s="9" t="n">
        <v>4</v>
      </c>
      <c r="B24" s="19" t="s">
        <v>220</v>
      </c>
      <c r="C24" s="19" t="s">
        <v>38</v>
      </c>
      <c r="D24" s="19" t="s">
        <v>226</v>
      </c>
      <c r="E24" s="19" t="s">
        <v>227</v>
      </c>
      <c r="F24" s="25" t="str">
        <f aca="false">"Personal Loan OFFUS "&amp;TEXT(B1_Originations!D23,"#,##0")&amp;"; Credit Card OFFUS "&amp;TEXT(B1_Originations!D25,"#,##0")</f>
        <v>Personal Loan OFFUS 286,830; Credit Card OFFUS 213,489</v>
      </c>
    </row>
    <row r="25" customFormat="false" ht="15" hidden="false" customHeight="false" outlineLevel="0" collapsed="false">
      <c r="A25" s="9" t="n">
        <v>5</v>
      </c>
      <c r="B25" s="19" t="s">
        <v>228</v>
      </c>
      <c r="C25" s="19" t="s">
        <v>229</v>
      </c>
      <c r="D25" s="19" t="s">
        <v>230</v>
      </c>
      <c r="E25" s="19" t="s">
        <v>227</v>
      </c>
      <c r="F25" s="25" t="str">
        <f aca="false">"max "&amp;TEXT(MAX(B1_Originations!U73:U101),"#,##0;-#,##0;0")&amp;" ₹ Cr (rounding)"</f>
        <v>max 4 ₹ Cr (rounding)</v>
      </c>
    </row>
    <row r="26" customFormat="false" ht="15" hidden="false" customHeight="false" outlineLevel="0" collapsed="false">
      <c r="A26" s="9" t="n">
        <v>6</v>
      </c>
      <c r="B26" s="19" t="s">
        <v>228</v>
      </c>
      <c r="C26" s="19" t="s">
        <v>231</v>
      </c>
      <c r="D26" s="19" t="s">
        <v>232</v>
      </c>
      <c r="E26" s="19" t="s">
        <v>227</v>
      </c>
      <c r="F26" s="25" t="str">
        <f aca="false">"PL OFFUS "&amp;TEXT(SUM(B1_Originations!E23:Q23)/B1_Originations!D23,"0.00""x""")&amp;"; Gold OFFUS "&amp;TEXT(SUM(B1_Originations!E11:Q11)/B1_Originations!D11,"0.00""x""")&amp;" (&gt;1 = repeat customers within the year)"</f>
        <v>PL OFFUS 1.16x; Gold OFFUS 1.50x (&gt;1 = repeat customers within the year)</v>
      </c>
    </row>
    <row r="27" customFormat="false" ht="23.85" hidden="false" customHeight="false" outlineLevel="0" collapsed="false">
      <c r="A27" s="9" t="n">
        <v>7</v>
      </c>
      <c r="B27" s="19" t="s">
        <v>233</v>
      </c>
      <c r="C27" s="19" t="s">
        <v>234</v>
      </c>
      <c r="D27" s="19" t="s">
        <v>235</v>
      </c>
      <c r="E27" s="19" t="s">
        <v>236</v>
      </c>
      <c r="F27" s="25" t="str">
        <f aca="false">TEXT(B1_Originations!F106,"#,##0")&amp;" / "&amp;TEXT(B1_Originations!G106,"#,##0")&amp;" / "&amp;TEXT(B1_Originations!H106,"#,##0")&amp;" / "&amp;TEXT(B1_Originations!I106,"#,##0")&amp;" / "&amp;TEXT(B1_Originations!J106,"#,##0")&amp;" / "&amp;TEXT(B1_Originations!K106,"#,##0")&amp;" / "&amp;TEXT(B1_Originations!L106,"#,##0")&amp;" / "&amp;TEXT(B1_Originations!M106,"#,##0")&amp;" / "&amp;TEXT(B1_Originations!N106,"#,##0")&amp;" / "&amp;TEXT(B1_Originations!O106,"#,##0")&amp;" / "&amp;TEXT(B1_Originations!P106,"#,##0")&amp;" (Apr-25 … Feb-26)"</f>
        <v>64,162 / 74,295 / 78,779 / 91,867 / 95,584 / 113,823 / 134,642 / 119,689 / 131,253 / 143,984 / 148,639 (Apr-25 … Feb-26)</v>
      </c>
    </row>
    <row r="28" customFormat="false" ht="15" hidden="false" customHeight="false" outlineLevel="0" collapsed="false">
      <c r="A28" s="9" t="n">
        <v>8</v>
      </c>
      <c r="B28" s="19" t="s">
        <v>233</v>
      </c>
      <c r="C28" s="19" t="s">
        <v>237</v>
      </c>
      <c r="D28" s="19" t="s">
        <v>238</v>
      </c>
      <c r="E28" s="19" t="s">
        <v>236</v>
      </c>
      <c r="F28" s="25" t="str">
        <f aca="false">TEXT(B1_Originations!F107,"#,##0;-#,##0;0")&amp;" / "&amp;TEXT(B1_Originations!G107,"#,##0;-#,##0;0")&amp;" / "&amp;TEXT(B1_Originations!H107,"#,##0;-#,##0;0")&amp;" / "&amp;TEXT(B1_Originations!I107,"#,##0;-#,##0;0")&amp;" / "&amp;TEXT(B1_Originations!J107,"#,##0;-#,##0;0")&amp;" / "&amp;TEXT(B1_Originations!K107,"#,##0;-#,##0;0")&amp;" / "&amp;TEXT(B1_Originations!L107,"#,##0;-#,##0;0")&amp;" / "&amp;TEXT(B1_Originations!M107,"#,##0;-#,##0;0")&amp;" / "&amp;TEXT(B1_Originations!N107,"#,##0;-#,##0;0")&amp;" / "&amp;TEXT(B1_Originations!O107,"#,##0;-#,##0;0")&amp;" / "&amp;TEXT(B1_Originations!P107,"#,##0;-#,##0;0")</f>
        <v>4,580 / 5,642 / 6,329 / 6,813 / 6,851 / 8,402 / 7,442 / 7,856 / 9,670 / 8,750 / 8,659</v>
      </c>
    </row>
    <row r="29" customFormat="false" ht="15" hidden="false" customHeight="false" outlineLevel="0" collapsed="false">
      <c r="A29" s="9" t="n">
        <v>9</v>
      </c>
      <c r="B29" s="19" t="s">
        <v>233</v>
      </c>
      <c r="C29" s="19" t="s">
        <v>239</v>
      </c>
      <c r="D29" s="19" t="s">
        <v>240</v>
      </c>
      <c r="E29" s="19" t="s">
        <v>82</v>
      </c>
      <c r="F29" s="25" t="str">
        <f aca="false">TEXT(B1_Originations!R106,"#,##0")&amp;" customers; "&amp;TEXT(B1_Originations!R107,"#,##0;-#,##0;0")&amp;" ₹ Cr"</f>
        <v>1,196,717 customers; 80,994 ₹ Cr</v>
      </c>
    </row>
    <row r="30" customFormat="false" ht="15" hidden="false" customHeight="false" outlineLevel="0" collapsed="false">
      <c r="A30" s="9" t="n">
        <v>10</v>
      </c>
      <c r="B30" s="19" t="s">
        <v>233</v>
      </c>
      <c r="C30" s="19" t="s">
        <v>241</v>
      </c>
      <c r="D30" s="19" t="s">
        <v>242</v>
      </c>
      <c r="E30" s="19" t="s">
        <v>82</v>
      </c>
      <c r="F30" s="25" t="str">
        <f aca="false">TEXT(B1_Originations!S106,"#,##0")&amp;" customers; "&amp;TEXT(B1_Originations!S107,"#,##0;-#,##0;0")&amp;" ₹ Cr"</f>
        <v>108,792 customers; 7,363 ₹ Cr</v>
      </c>
    </row>
    <row r="31" customFormat="false" ht="15" hidden="false" customHeight="false" outlineLevel="0" collapsed="false">
      <c r="A31" s="9" t="n">
        <v>11</v>
      </c>
      <c r="B31" s="19" t="s">
        <v>233</v>
      </c>
      <c r="C31" s="19" t="s">
        <v>243</v>
      </c>
      <c r="D31" s="19" t="s">
        <v>244</v>
      </c>
      <c r="E31" s="19" t="s">
        <v>245</v>
      </c>
      <c r="F31" s="25" t="str">
        <f aca="false">"Gold "&amp;TEXT(B1_Originations!C150,"#,##0")&amp;" / "&amp;TEXT(B1_Originations!E150,"#,##0;-#,##0;0")&amp;"; Housing "&amp;TEXT(B1_Originations!C148,"#,##0")&amp;" / "&amp;TEXT(B1_Originations!E148,"#,##0;-#,##0;0")</f>
        <v>Gold 208,262 / 8,064; Housing 34,716 / 19,916</v>
      </c>
    </row>
    <row r="32" customFormat="false" ht="15" hidden="false" customHeight="false" outlineLevel="0" collapsed="false">
      <c r="A32" s="9" t="n">
        <v>12</v>
      </c>
      <c r="B32" s="19" t="s">
        <v>246</v>
      </c>
      <c r="C32" s="19" t="s">
        <v>247</v>
      </c>
      <c r="D32" s="19" t="s">
        <v>205</v>
      </c>
      <c r="E32" s="19" t="s">
        <v>236</v>
      </c>
      <c r="F32" s="25" t="str">
        <f aca="false">TEXT(B1_Originations!F108,"#,##0.00")&amp;" / "&amp;TEXT(B1_Originations!I108,"#,##0.00")&amp;" / "&amp;TEXT(B1_Originations!L108,"#,##0.00")&amp;" / "&amp;TEXT(B1_Originations!P108,"#,##0.00")&amp;" (Apr / Jul / Oct / Feb)"</f>
        <v>7.14 / 7.42 / 5.53 / 5.83 (Apr / Jul / Oct / Feb)</v>
      </c>
    </row>
    <row r="33" customFormat="false" ht="15" hidden="false" customHeight="false" outlineLevel="0" collapsed="false">
      <c r="A33" s="9" t="n">
        <v>13</v>
      </c>
      <c r="B33" s="19" t="s">
        <v>246</v>
      </c>
      <c r="C33" s="19" t="s">
        <v>248</v>
      </c>
      <c r="D33" s="19" t="s">
        <v>249</v>
      </c>
      <c r="E33" s="19" t="s">
        <v>245</v>
      </c>
      <c r="F33" s="25" t="str">
        <f aca="false">"Housing "&amp;TEXT(B1_Originations!G148,"#,##0.00")&amp;"; Property "&amp;TEXT(B1_Originations!G149,"#,##0.00")&amp;"; Gold "&amp;TEXT(B1_Originations!G150,"#,##0.00")&amp;"; PL "&amp;TEXT(B1_Originations!G156,"#,##0.00")&amp;"; Card "&amp;TEXT(B1_Originations!G157,"#,##0.00")</f>
        <v>Housing 57.37; Property 92.79; Gold 3.87; PL 2.19; Card 0.56</v>
      </c>
    </row>
    <row r="34" customFormat="false" ht="15" hidden="false" customHeight="false" outlineLevel="0" collapsed="false">
      <c r="A34" s="9" t="n">
        <v>14</v>
      </c>
      <c r="B34" s="19" t="s">
        <v>246</v>
      </c>
      <c r="C34" s="19" t="s">
        <v>250</v>
      </c>
      <c r="D34" s="19" t="s">
        <v>251</v>
      </c>
      <c r="E34" s="19" t="s">
        <v>227</v>
      </c>
      <c r="F34" s="25" t="str">
        <f aca="false">"Business Loan OFFUS "&amp;TEXT(B1_Originations!R54,"#,##0.00")&amp;" vs ONUS "&amp;TEXT(B1_Originations!R55,"#,##0.00")</f>
        <v>Business Loan OFFUS 13.37 vs ONUS 119.69</v>
      </c>
    </row>
    <row r="35" customFormat="false" ht="15" hidden="false" customHeight="false" outlineLevel="0" collapsed="false">
      <c r="A35" s="9" t="n">
        <v>15</v>
      </c>
      <c r="B35" s="19" t="s">
        <v>246</v>
      </c>
      <c r="C35" s="19" t="s">
        <v>252</v>
      </c>
      <c r="D35" s="19" t="s">
        <v>253</v>
      </c>
      <c r="E35" s="19" t="s">
        <v>227</v>
      </c>
      <c r="F35" s="25" t="str">
        <f aca="false">"Credit Card OFFUS "&amp;TEXT(B1_Originations!S58,"+0.0%;-0.0%;0.0%")&amp;"; Gold OFFUS "&amp;TEXT(B1_Originations!S44,"+0.0%;-0.0%;0.0%")&amp;"; PL OFFUS "&amp;TEXT(B1_Originations!S56,"+0.0%;-0.0%;0.0%")</f>
        <v>Credit Card OFFUS -61.6%; Gold OFFUS +95.4%; PL OFFUS -27.3%</v>
      </c>
    </row>
    <row r="36" customFormat="false" ht="15" hidden="false" customHeight="false" outlineLevel="0" collapsed="false">
      <c r="A36" s="9" t="n">
        <v>16</v>
      </c>
      <c r="B36" s="19" t="s">
        <v>246</v>
      </c>
      <c r="C36" s="19" t="s">
        <v>254</v>
      </c>
      <c r="D36" s="19" t="s">
        <v>255</v>
      </c>
      <c r="E36" s="19" t="s">
        <v>256</v>
      </c>
      <c r="F36" s="25" t="str">
        <f aca="false">"Business Loan "&amp;TEXT(B1_Originations!R55/B1_Originations!R54,"0.00""x""")&amp;"; Gold "&amp;TEXT(B1_Originations!R45/B1_Originations!R44,"0.00""x""")</f>
        <v>Business Loan 8.95x; Gold 1.59x</v>
      </c>
    </row>
    <row r="37" customFormat="false" ht="23.85" hidden="false" customHeight="false" outlineLevel="0" collapsed="false">
      <c r="A37" s="9" t="n">
        <v>17</v>
      </c>
      <c r="B37" s="19" t="s">
        <v>257</v>
      </c>
      <c r="C37" s="19" t="s">
        <v>258</v>
      </c>
      <c r="D37" s="19" t="s">
        <v>259</v>
      </c>
      <c r="E37" s="19" t="s">
        <v>260</v>
      </c>
      <c r="F37" s="25" t="str">
        <f aca="false">"N "&amp;TEXT(B1_Originations!T106,"+0.0%;-0.0%;0.0%")&amp;" / "&amp;TEXT(B1_Originations!U106,"+0.0%;-0.0%;0.0%")&amp;"; S "&amp;TEXT(B1_Originations!T107,"+0.0%;-0.0%;0.0%")&amp;" / "&amp;TEXT(B1_Originations!U107,"+0.0%;-0.0%;0.0%")</f>
        <v>N +131.7% / +109.8%; S +89.1% / +12.3%</v>
      </c>
    </row>
    <row r="38" customFormat="false" ht="15" hidden="false" customHeight="false" outlineLevel="0" collapsed="false">
      <c r="A38" s="9" t="n">
        <v>18</v>
      </c>
      <c r="B38" s="19" t="s">
        <v>257</v>
      </c>
      <c r="C38" s="19" t="s">
        <v>261</v>
      </c>
      <c r="D38" s="19" t="s">
        <v>262</v>
      </c>
      <c r="E38" s="19" t="s">
        <v>245</v>
      </c>
      <c r="F38" s="25" t="str">
        <f aca="false">"Gold "&amp;TEXT(B1_Originations!H150,"+0.0%;-0.0%;0.0%")&amp;"; PL "&amp;TEXT(B1_Originations!H156,"+0.0%;-0.0%;0.0%")&amp;"; Consumer "&amp;TEXT(B1_Originations!H159,"+0.0%;-0.0%;0.0%")&amp;"; Housing "&amp;TEXT(B1_Originations!H148,"+0.0%;-0.0%;0.0%")&amp;"; Card "&amp;TEXT(B1_Originations!H157,"+0.0%;-0.0%;0.0%")</f>
        <v>Gold +523.4%; PL +164.1%; Consumer +214.8%; Housing +56.4%; Card -9.0%</v>
      </c>
    </row>
    <row r="39" customFormat="false" ht="15" hidden="false" customHeight="false" outlineLevel="0" collapsed="false">
      <c r="A39" s="9" t="n">
        <v>19</v>
      </c>
      <c r="B39" s="19" t="s">
        <v>257</v>
      </c>
      <c r="C39" s="19" t="s">
        <v>263</v>
      </c>
      <c r="D39" s="19" t="s">
        <v>264</v>
      </c>
      <c r="E39" s="19" t="s">
        <v>245</v>
      </c>
      <c r="F39" s="25" t="str">
        <f aca="false">"Gold "&amp;TEXT(B1_Originations!I150,"+0.0%;-0.0%;0.0%")&amp;"; PL "&amp;TEXT(B1_Originations!I156,"+0.0%;-0.0%;0.0%")&amp;"; Housing "&amp;TEXT(B1_Originations!I148,"+0.0%;-0.0%;0.0%")&amp;"; Business "&amp;TEXT(B1_Originations!I155,"+0.0%;-0.0%;0.0%")</f>
        <v>Gold +1136.9%; PL +93.0%; Housing +65.6%; Business +37.9%</v>
      </c>
    </row>
    <row r="40" customFormat="false" ht="23.85" hidden="false" customHeight="false" outlineLevel="0" collapsed="false">
      <c r="A40" s="9" t="n">
        <v>20</v>
      </c>
      <c r="B40" s="19" t="s">
        <v>257</v>
      </c>
      <c r="C40" s="19" t="s">
        <v>265</v>
      </c>
      <c r="D40" s="19" t="s">
        <v>266</v>
      </c>
      <c r="E40" s="19" t="s">
        <v>267</v>
      </c>
      <c r="F40" s="25" t="str">
        <f aca="false">TEXT(B1_Originations!G106/B1_Originations!F106-1,"+0.0%;-0.0%;0.0%")&amp;" / "&amp;TEXT(B1_Originations!H106/B1_Originations!G106-1,"+0.0%;-0.0%;0.0%")&amp;" / "&amp;TEXT(B1_Originations!I106/B1_Originations!H106-1,"+0.0%;-0.0%;0.0%")&amp;" / "&amp;TEXT(B1_Originations!J106/B1_Originations!I106-1,"+0.0%;-0.0%;0.0%")&amp;" / "&amp;TEXT(B1_Originations!K106/B1_Originations!J106-1,"+0.0%;-0.0%;0.0%")&amp;" / "&amp;TEXT(B1_Originations!L106/B1_Originations!K106-1,"+0.0%;-0.0%;0.0%")&amp;" / "&amp;TEXT(B1_Originations!M106/B1_Originations!L106-1,"+0.0%;-0.0%;0.0%")&amp;" / "&amp;TEXT(B1_Originations!N106/B1_Originations!M106-1,"+0.0%;-0.0%;0.0%")&amp;" / "&amp;TEXT(B1_Originations!O106/B1_Originations!N106-1,"+0.0%;-0.0%;0.0%")&amp;" / "&amp;TEXT(B1_Originations!P106/B1_Originations!O106-1,"+0.0%;-0.0%;0.0%")&amp;" (May-25 … Feb-26)"</f>
        <v>+15.8% / +6.0% / +16.6% / +4.0% / +19.1% / +18.3% / -11.1% / +9.7% / +9.7% / +3.2% (May-25 … Feb-26)</v>
      </c>
    </row>
    <row r="41" customFormat="false" ht="15" hidden="false" customHeight="false" outlineLevel="0" collapsed="false">
      <c r="A41" s="9" t="n">
        <v>21</v>
      </c>
      <c r="B41" s="19" t="s">
        <v>257</v>
      </c>
      <c r="C41" s="19" t="s">
        <v>268</v>
      </c>
      <c r="D41" s="19" t="s">
        <v>269</v>
      </c>
      <c r="E41" s="19" t="s">
        <v>82</v>
      </c>
      <c r="F41" s="25" t="str">
        <f aca="false">TEXT((B1_Originations!P106/B1_Originations!F106)^(1/10)-1,"+0.0%;-0.0%;0.0%")</f>
        <v>+8.8%</v>
      </c>
    </row>
    <row r="42" customFormat="false" ht="15" hidden="false" customHeight="false" outlineLevel="0" collapsed="false">
      <c r="A42" s="9" t="n">
        <v>22</v>
      </c>
      <c r="B42" s="19" t="s">
        <v>257</v>
      </c>
      <c r="C42" s="19" t="s">
        <v>270</v>
      </c>
      <c r="D42" s="19" t="s">
        <v>271</v>
      </c>
      <c r="E42" s="19" t="s">
        <v>272</v>
      </c>
      <c r="F42" s="25" t="str">
        <f aca="false">INDEX(B1_Originations!F105:P105,MATCH(MAX(B1_Originations!F106:P106),B1_Originations!F106:P106,0))&amp;" "&amp;TEXT(MAX(B1_Originations!F106:P106),"#,##0")</f>
        <v>Feb-26 148,639</v>
      </c>
    </row>
    <row r="43" customFormat="false" ht="15" hidden="false" customHeight="false" outlineLevel="0" collapsed="false">
      <c r="A43" s="9" t="n">
        <v>23</v>
      </c>
      <c r="B43" s="19" t="s">
        <v>273</v>
      </c>
      <c r="C43" s="19" t="s">
        <v>274</v>
      </c>
      <c r="D43" s="19" t="s">
        <v>275</v>
      </c>
      <c r="E43" s="19" t="s">
        <v>245</v>
      </c>
      <c r="F43" s="25" t="str">
        <f aca="false">"PL "&amp;TEXT(B1_Originations!D156,"0.0%")&amp;"; Card "&amp;TEXT(B1_Originations!D157,"0.0%")&amp;"; Consumer "&amp;TEXT(B1_Originations!D159,"0.0%")&amp;"; Gold "&amp;TEXT(B1_Originations!D150,"0.0%")</f>
        <v>PL 26.0%; Card 17.3%; Consumer 18.7%; Gold 17.4%</v>
      </c>
    </row>
    <row r="44" customFormat="false" ht="15" hidden="false" customHeight="false" outlineLevel="0" collapsed="false">
      <c r="A44" s="9" t="n">
        <v>24</v>
      </c>
      <c r="B44" s="19" t="s">
        <v>273</v>
      </c>
      <c r="C44" s="19" t="s">
        <v>276</v>
      </c>
      <c r="D44" s="19" t="s">
        <v>277</v>
      </c>
      <c r="E44" s="19" t="s">
        <v>245</v>
      </c>
      <c r="F44" s="25" t="str">
        <f aca="false">"Housing "&amp;TEXT(B1_Originations!F148,"0.0%")&amp;"; Property "&amp;TEXT(B1_Originations!F149,"0.0%")&amp;"; Business "&amp;TEXT(B1_Originations!F155,"0.0%")&amp;"; Gold "&amp;TEXT(B1_Originations!F150,"0.0%")&amp;"; PL "&amp;TEXT(B1_Originations!F156,"0.0%")</f>
        <v>Housing 24.6%; Property 25.8%; Business 14.0%; Gold 10.0%; PL 8.4%</v>
      </c>
    </row>
    <row r="45" customFormat="false" ht="15" hidden="false" customHeight="false" outlineLevel="0" collapsed="false">
      <c r="A45" s="9" t="n">
        <v>25</v>
      </c>
      <c r="B45" s="19" t="s">
        <v>273</v>
      </c>
      <c r="C45" s="19" t="s">
        <v>278</v>
      </c>
      <c r="D45" s="19" t="s">
        <v>279</v>
      </c>
      <c r="E45" s="19" t="s">
        <v>245</v>
      </c>
      <c r="F45" s="25" t="str">
        <f aca="false">"PL "&amp;TEXT((B1_Originations!D156-B1_Originations!F156)*100,"+0.0"" pp"";-0.0"" pp"";0.0"" pp""")&amp;"; Housing "&amp;TEXT((B1_Originations!D148-B1_Originations!F148)*100,"+0.0"" pp"";-0.0"" pp"";0.0"" pp""")</f>
        <v>PL +17.6 pp; Housing -21.7 pp</v>
      </c>
    </row>
    <row r="46" customFormat="false" ht="15" hidden="false" customHeight="false" outlineLevel="0" collapsed="false">
      <c r="A46" s="9" t="n">
        <v>26</v>
      </c>
      <c r="B46" s="19" t="s">
        <v>273</v>
      </c>
      <c r="C46" s="19" t="s">
        <v>280</v>
      </c>
      <c r="D46" s="19" t="s">
        <v>281</v>
      </c>
      <c r="E46" s="19" t="s">
        <v>236</v>
      </c>
      <c r="F46" s="25" t="str">
        <f aca="false">"# Apr-25 "&amp;TEXT(B1_Originations!F113,"0.0%")&amp;" → Feb-26 "&amp;TEXT(B1_Originations!P113,"0.0%")&amp;"; ₹ "&amp;TEXT(B1_Originations!F114,"0.0%")&amp;" → "&amp;TEXT(B1_Originations!P114,"0.0%")</f>
        <v># Apr-25 4.4% → Feb-26 5.1%; ₹ 9.1% → 8.3%</v>
      </c>
    </row>
    <row r="47" customFormat="false" ht="15" hidden="false" customHeight="false" outlineLevel="0" collapsed="false">
      <c r="A47" s="9" t="n">
        <v>27</v>
      </c>
      <c r="B47" s="19" t="s">
        <v>282</v>
      </c>
      <c r="C47" s="19" t="s">
        <v>283</v>
      </c>
      <c r="D47" s="19" t="s">
        <v>284</v>
      </c>
      <c r="E47" s="19" t="s">
        <v>245</v>
      </c>
      <c r="F47" s="25" t="str">
        <f aca="false">"Gold "&amp;TEXT(B1_Originations!J150,"0.0%")&amp;"; PL "&amp;TEXT(B1_Originations!J156,"0.0%")&amp;"; Consumer "&amp;TEXT(B1_Originations!J159,"0.0%")&amp;"; Card "&amp;TEXT(B1_Originations!J157,"0.0%")</f>
        <v>Gold 41.7%; PL 31.4%; Consumer 20.1%; Card -1.8%</v>
      </c>
    </row>
    <row r="48" customFormat="false" ht="15" hidden="false" customHeight="false" outlineLevel="0" collapsed="false">
      <c r="A48" s="9" t="n">
        <v>28</v>
      </c>
      <c r="B48" s="19" t="s">
        <v>285</v>
      </c>
      <c r="C48" s="19" t="s">
        <v>286</v>
      </c>
      <c r="D48" s="19" t="s">
        <v>287</v>
      </c>
      <c r="E48" s="19" t="s">
        <v>245</v>
      </c>
      <c r="F48" s="25" t="str">
        <f aca="false">TEXT(SUMPRODUCT(LARGE(B1_Originations!D148:D162,{1,2,3})),"0.0%")</f>
        <v>62.1%</v>
      </c>
    </row>
    <row r="49" customFormat="false" ht="15" hidden="false" customHeight="false" outlineLevel="0" collapsed="false">
      <c r="A49" s="9" t="n">
        <v>29</v>
      </c>
      <c r="B49" s="19" t="s">
        <v>285</v>
      </c>
      <c r="C49" s="19" t="s">
        <v>288</v>
      </c>
      <c r="D49" s="19" t="s">
        <v>289</v>
      </c>
      <c r="E49" s="19" t="s">
        <v>245</v>
      </c>
      <c r="F49" s="25" t="str">
        <f aca="false">TEXT(SUMPRODUCT(LARGE(B1_Originations!F148:F162,{1,2,3})),"0.0%")</f>
        <v>64.4%</v>
      </c>
    </row>
    <row r="50" customFormat="false" ht="15" hidden="false" customHeight="false" outlineLevel="0" collapsed="false">
      <c r="A50" s="9" t="n">
        <v>30</v>
      </c>
      <c r="B50" s="19" t="s">
        <v>290</v>
      </c>
      <c r="C50" s="19" t="s">
        <v>291</v>
      </c>
      <c r="D50" s="19" t="s">
        <v>292</v>
      </c>
      <c r="E50" s="19" t="s">
        <v>293</v>
      </c>
      <c r="F50" s="25" t="str">
        <f aca="false">TEXT(B1_Originations!L13/AVERAGE(B1_Originations!F13:K13,B1_Originations!M13:P13),"0.00""x""")&amp;" (festive season)"</f>
        <v>1.93x (festive season)</v>
      </c>
    </row>
    <row r="51" customFormat="false" ht="15" hidden="false" customHeight="false" outlineLevel="0" collapsed="false">
      <c r="A51" s="9" t="n">
        <v>31</v>
      </c>
      <c r="B51" s="19" t="s">
        <v>290</v>
      </c>
      <c r="C51" s="19" t="s">
        <v>294</v>
      </c>
      <c r="D51" s="19" t="s">
        <v>295</v>
      </c>
      <c r="E51" s="19" t="s">
        <v>293</v>
      </c>
      <c r="F51" s="25" t="str">
        <f aca="false">TEXT(B1_Originations!L29/B1_Originations!K29-1,"+0.0%;-0.0%;0.0%")</f>
        <v>+55.6%</v>
      </c>
    </row>
    <row r="52" customFormat="false" ht="15" hidden="false" customHeight="false" outlineLevel="0" collapsed="false">
      <c r="A52" s="9" t="n">
        <v>32</v>
      </c>
      <c r="B52" s="19" t="s">
        <v>296</v>
      </c>
      <c r="C52" s="19" t="s">
        <v>297</v>
      </c>
      <c r="D52" s="19" t="s">
        <v>298</v>
      </c>
      <c r="E52" s="19" t="s">
        <v>82</v>
      </c>
      <c r="F52" s="25" t="str">
        <f aca="false">TEXT(B1_Originations!Q106/B1_Originations!P106,"0.0%")&amp;" — exclude Mar-26 from trends"</f>
        <v>10.6% — exclude Mar-26 from trends</v>
      </c>
    </row>
    <row r="53" customFormat="false" ht="23.85" hidden="false" customHeight="false" outlineLevel="0" collapsed="false">
      <c r="A53" s="9" t="n">
        <v>33</v>
      </c>
      <c r="B53" s="19" t="s">
        <v>296</v>
      </c>
      <c r="C53" s="19" t="s">
        <v>299</v>
      </c>
      <c r="D53" s="19" t="s">
        <v>300</v>
      </c>
      <c r="E53" s="19" t="s">
        <v>301</v>
      </c>
      <c r="F53" s="19" t="s">
        <v>302</v>
      </c>
    </row>
    <row r="54" customFormat="false" ht="15" hidden="false" customHeight="false" outlineLevel="0" collapsed="false">
      <c r="A54" s="9" t="n">
        <v>34</v>
      </c>
      <c r="B54" s="19" t="s">
        <v>296</v>
      </c>
      <c r="C54" s="19" t="s">
        <v>303</v>
      </c>
      <c r="D54" s="19" t="s">
        <v>304</v>
      </c>
      <c r="E54" s="19" t="s">
        <v>305</v>
      </c>
      <c r="F54" s="25" t="str">
        <f aca="false">TEXT(COUNTIF(B1_Originations!E40:Q68,0),"#,##0")&amp;" zero cells (mostly Mar-26 ONUS)"</f>
        <v>15 zero cells (mostly Mar-26 ONUS)</v>
      </c>
    </row>
    <row r="56" customFormat="false" ht="15" hidden="false" customHeight="false" outlineLevel="0" collapsed="false">
      <c r="A56" s="3" t="s">
        <v>2</v>
      </c>
    </row>
  </sheetData>
  <mergeCells count="11">
    <mergeCell ref="C6:F6"/>
    <mergeCell ref="C7:F7"/>
    <mergeCell ref="C8:F8"/>
    <mergeCell ref="C9:F9"/>
    <mergeCell ref="C10:F10"/>
    <mergeCell ref="C11:F11"/>
    <mergeCell ref="C12:F12"/>
    <mergeCell ref="C13:F13"/>
    <mergeCell ref="C14:F14"/>
    <mergeCell ref="C15:F15"/>
    <mergeCell ref="C16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2026-10-09T21:17:22Z</dcterms:created>
  <dc:creator>openpyxl</dc:creator>
  <dc:description/>
  <dc:language>en-US</dc:language>
  <cp:lastModifiedBy/>
  <dcterms:modified xsi:type="dcterms:W3CDTF">2026-10-09T21:17:22Z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