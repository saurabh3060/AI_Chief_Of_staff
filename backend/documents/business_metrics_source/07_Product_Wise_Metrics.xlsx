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1_Product_Wise" sheetId="2" state="visible" r:id="rId4"/>
    <sheet name="B1_Metr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<sst xmlns="http://schemas.openxmlformats.org/spreadsheetml/2006/main" count="602" uniqueCount="363">
  <si>
    <t xml:space="preserve">RBL Bank — Portfolio Monitoring: Product-wise SMA / NPA weekly data — page-wise metric extraction</t>
  </si>
  <si>
    <t xml:space="preserve">Source: 07_Product_Wise.pdf (1 page, Product Summary table; data to 29-Aug-2026) | accounts and advances ₹ Cr at 5 dates</t>
  </si>
  <si>
    <t xml:space="preserve">⚠ DRAFT ONLY — Requires review and approval by a qualified Alvarez and Marsal professional before use.</t>
  </si>
  <si>
    <t xml:space="preserve">Sheet map</t>
  </si>
  <si>
    <t xml:space="preserve">B1_Product_Wise</t>
  </si>
  <si>
    <t xml:space="preserve">Leaf rows (product × type × sub-group × norm) with accounts and advances at five dates (re-ordered chronologically), ATS, movements, shares; group roll-ups vs printed totals; comparable total excluding anomalous rows</t>
  </si>
  <si>
    <t xml:space="preserve">B1_Metrics</t>
  </si>
  <si>
    <t xml:space="preserve">Notation + exhaustive metrics</t>
  </si>
  <si>
    <t xml:space="preserve">Colour legend</t>
  </si>
  <si>
    <t xml:space="preserve">Blue text</t>
  </si>
  <si>
    <t xml:space="preserve">Hard-coded input transcribed from the PDF</t>
  </si>
  <si>
    <t xml:space="preserve">Blue italic on grey</t>
  </si>
  <si>
    <t xml:space="preserve">Budget / projected value (ᴾ) transcribed from the PDF</t>
  </si>
  <si>
    <t xml:space="preserve">Black text</t>
  </si>
  <si>
    <t xml:space="preserve">Formula on the same sheet</t>
  </si>
  <si>
    <t xml:space="preserve">Green text</t>
  </si>
  <si>
    <t xml:space="preserve">Link to another sheet</t>
  </si>
  <si>
    <t xml:space="preserve">Yellow fill</t>
  </si>
  <si>
    <t xml:space="preserve">Data flag to review</t>
  </si>
  <si>
    <t xml:space="preserve">Key assumptions (confirm with client)</t>
  </si>
  <si>
    <t xml:space="preserve">1</t>
  </si>
  <si>
    <t xml:space="preserve">Dates re-ordered chronologically: 29-Jun (CM2), 29-Jul (CM1), 31-Jul (last month last day), 04-Aug (first week), 29-Aug (current).</t>
  </si>
  <si>
    <t xml:space="preserve">2</t>
  </si>
  <si>
    <t xml:space="preserve">Partially filled rows placed by column reconciliation to Grand Total: Credit Card ₹21,373.54 Cr / 612 accounts sits in the 29-Jul column (its total is ~₹21k Cr above the others); Null ₹985.72 Cr in 29-Jul (ties to the Credit Portfolio Overview Jul-26 Null row); Null ₹0.12 Cr assumed in 29-Aug; HL Co-Lending ₹0.11 Cr only on 29-Aug.</t>
  </si>
  <si>
    <t xml:space="preserve">3</t>
  </si>
  <si>
    <t xml:space="preserve">'Norms' 90 / 365 are the NPA recognition norms (365 for agri-linked); 'Ganaseva' is the micro-banking product (~4M accounts).</t>
  </si>
  <si>
    <t xml:space="preserve">4</t>
  </si>
  <si>
    <t xml:space="preserve">A 'comparable total' is computed excluding Credit Card, Null and Gift City Loans, which make the printed Grand Total jump between dates.</t>
  </si>
  <si>
    <t xml:space="preserve">5</t>
  </si>
  <si>
    <t xml:space="preserve">Cross-page: this page's Grand Total (~₹99k Cr) is below the Net Advances page (~₹117k Cr) mainly because Credit Cards are missing on most dates; Gift City is included here.</t>
  </si>
  <si>
    <t xml:space="preserve">Confidentiality</t>
  </si>
  <si>
    <t xml:space="preserve">Client-confidential RBL Bank data.</t>
  </si>
  <si>
    <t xml:space="preserve">Block 1 — Product-wise accounts and advances at five dates</t>
  </si>
  <si>
    <t xml:space="preserve">Source: Product Wise.pdf | Accounts (count) and Advances ₹ Cr | columns re-ordered chronologically</t>
  </si>
  <si>
    <t xml:space="preserve">A. Leaf rows (blue) with live calculations</t>
  </si>
  <si>
    <t xml:space="preserve">#</t>
  </si>
  <si>
    <t xml:space="preserve">Group</t>
  </si>
  <si>
    <t xml:space="preserve">Product type</t>
  </si>
  <si>
    <t xml:space="preserve">Sub group / Norm</t>
  </si>
  <si>
    <t xml:space="preserve">29 Jun 2026 (CM2) Accounts</t>
  </si>
  <si>
    <t xml:space="preserve">29 Jun 2026 (CM2) Advances ₹ Cr</t>
  </si>
  <si>
    <t xml:space="preserve">29 Jul 2026 (CM1) Accounts</t>
  </si>
  <si>
    <t xml:space="preserve">29 Jul 2026 (CM1) Advances ₹ Cr</t>
  </si>
  <si>
    <t xml:space="preserve">31 Jul 2026 (LM last day) Accounts</t>
  </si>
  <si>
    <t xml:space="preserve">31 Jul 2026 (LM last day) Advances ₹ Cr</t>
  </si>
  <si>
    <t xml:space="preserve">04 Aug 2026 (first week) Accounts</t>
  </si>
  <si>
    <t xml:space="preserve">04 Aug 2026 (first week) Advances ₹ Cr</t>
  </si>
  <si>
    <t xml:space="preserve">29 Aug 2026 (current) Accounts</t>
  </si>
  <si>
    <t xml:space="preserve">29 Aug 2026 (current) Advances ₹ Cr</t>
  </si>
  <si>
    <t xml:space="preserve">ATS 29-Aug (₹ lakh)</t>
  </si>
  <si>
    <t xml:space="preserve">Δ Adv 29-Aug vs 29-Jul (₹ Cr)</t>
  </si>
  <si>
    <t xml:space="preserve">MoM % (29-Aug vs 29-Jul)</t>
  </si>
  <si>
    <t xml:space="preserve">2M % (29-Aug vs 29-Jun)</t>
  </si>
  <si>
    <t xml:space="preserve">WoW-type % (29-Aug vs 04-Aug)</t>
  </si>
  <si>
    <t xml:space="preserve">Month-end effect % (31-Jul vs 29-Jul)</t>
  </si>
  <si>
    <t xml:space="preserve">Share of GT 29-Aug</t>
  </si>
  <si>
    <t xml:space="preserve">Δ accounts 29-Aug vs 29-Jul</t>
  </si>
  <si>
    <t xml:space="preserve">Auto-flag</t>
  </si>
  <si>
    <t xml:space="preserve">Excluded from comparable total</t>
  </si>
  <si>
    <t xml:space="preserve">Agri</t>
  </si>
  <si>
    <t xml:space="preserve">New Book / 90</t>
  </si>
  <si>
    <t xml:space="preserve">New Book / 365</t>
  </si>
  <si>
    <t xml:space="preserve">Old Book / 90</t>
  </si>
  <si>
    <t xml:space="preserve">Old Book / 365</t>
  </si>
  <si>
    <t xml:space="preserve">BBG</t>
  </si>
  <si>
    <t xml:space="preserve">HL</t>
  </si>
  <si>
    <t xml:space="preserve">AHL</t>
  </si>
  <si>
    <t xml:space="preserve">AHL / 90</t>
  </si>
  <si>
    <t xml:space="preserve">AHL (High Yield) / 90</t>
  </si>
  <si>
    <t xml:space="preserve">HL CL</t>
  </si>
  <si>
    <t xml:space="preserve">HL CL / 90</t>
  </si>
  <si>
    <t xml:space="preserve">HL Co-Lending</t>
  </si>
  <si>
    <t xml:space="preserve">HL Co-Lending / 90</t>
  </si>
  <si>
    <t xml:space="preserve">HL DA</t>
  </si>
  <si>
    <t xml:space="preserve">HL DA / 90</t>
  </si>
  <si>
    <t xml:space="preserve">Housing Loan</t>
  </si>
  <si>
    <t xml:space="preserve">Housing Loan / 90</t>
  </si>
  <si>
    <t xml:space="preserve">PHL</t>
  </si>
  <si>
    <t xml:space="preserve">PHL (Low Yield) / 90</t>
  </si>
  <si>
    <t xml:space="preserve">LAP</t>
  </si>
  <si>
    <t xml:space="preserve">HL - LAP Team</t>
  </si>
  <si>
    <t xml:space="preserve">HL - LAP Team RSTR</t>
  </si>
  <si>
    <t xml:space="preserve">LAP Co-Lending</t>
  </si>
  <si>
    <t xml:space="preserve">LAP Direct Assignment</t>
  </si>
  <si>
    <t xml:space="preserve">LAP ECL</t>
  </si>
  <si>
    <t xml:space="preserve">LAP ECL RSTR</t>
  </si>
  <si>
    <t xml:space="preserve">LAP RSTR</t>
  </si>
  <si>
    <t xml:space="preserve">Micro LAP</t>
  </si>
  <si>
    <t xml:space="preserve">Mini LAP</t>
  </si>
  <si>
    <t xml:space="preserve">Small LAP</t>
  </si>
  <si>
    <t xml:space="preserve">Two Wheeler Loan</t>
  </si>
  <si>
    <t xml:space="preserve">Two Wheeler Loan / 90</t>
  </si>
  <si>
    <t xml:space="preserve">Two Wheeler Loan - TA</t>
  </si>
  <si>
    <t xml:space="preserve">Two Wheeler Loan - TA / 90</t>
  </si>
  <si>
    <t xml:space="preserve">OTHERS</t>
  </si>
  <si>
    <t xml:space="preserve">Null</t>
  </si>
  <si>
    <t xml:space="preserve">Null / 90</t>
  </si>
  <si>
    <t xml:space="preserve">Yes</t>
  </si>
  <si>
    <t xml:space="preserve">Agri / 90</t>
  </si>
  <si>
    <t xml:space="preserve">Agri / 365</t>
  </si>
  <si>
    <t xml:space="preserve">Bills</t>
  </si>
  <si>
    <t xml:space="preserve">Bills / 90</t>
  </si>
  <si>
    <t xml:space="preserve">Bullion</t>
  </si>
  <si>
    <t xml:space="preserve">Bullion / 90</t>
  </si>
  <si>
    <t xml:space="preserve">Business Loans</t>
  </si>
  <si>
    <t xml:space="preserve">Business Loans / 90</t>
  </si>
  <si>
    <t xml:space="preserve">Business Loans / 365</t>
  </si>
  <si>
    <t xml:space="preserve">Cash Credit</t>
  </si>
  <si>
    <t xml:space="preserve">Cash Credit / 90</t>
  </si>
  <si>
    <t xml:space="preserve">Consumer Durable</t>
  </si>
  <si>
    <t xml:space="preserve">Consumer Durable / 90</t>
  </si>
  <si>
    <t xml:space="preserve">Credit Card</t>
  </si>
  <si>
    <t xml:space="preserve">Credit Card / 90</t>
  </si>
  <si>
    <t xml:space="preserve">Education Loan</t>
  </si>
  <si>
    <t xml:space="preserve">Education Loan / 90</t>
  </si>
  <si>
    <t xml:space="preserve">FCY Loans</t>
  </si>
  <si>
    <t xml:space="preserve">FCY Loans / 90</t>
  </si>
  <si>
    <t xml:space="preserve">Ganaseva</t>
  </si>
  <si>
    <t xml:space="preserve">Ganaseva / 90</t>
  </si>
  <si>
    <t xml:space="preserve">Gift City Loans</t>
  </si>
  <si>
    <t xml:space="preserve">Gift City Loans / 90</t>
  </si>
  <si>
    <t xml:space="preserve">Gold DA</t>
  </si>
  <si>
    <t xml:space="preserve">Gold DA / 90</t>
  </si>
  <si>
    <t xml:space="preserve">GoldLoans</t>
  </si>
  <si>
    <t xml:space="preserve">GoldLoans / 90</t>
  </si>
  <si>
    <t xml:space="preserve">Loan ag deposits / securities</t>
  </si>
  <si>
    <t xml:space="preserve">Loan ag deposits / securities / 90</t>
  </si>
  <si>
    <t xml:space="preserve">Loan Against Car</t>
  </si>
  <si>
    <t xml:space="preserve">Loan Against Car / 90</t>
  </si>
  <si>
    <t xml:space="preserve">Misc</t>
  </si>
  <si>
    <t xml:space="preserve">Misc / 90</t>
  </si>
  <si>
    <t xml:space="preserve">Misc / 365</t>
  </si>
  <si>
    <t xml:space="preserve">MSME Loans</t>
  </si>
  <si>
    <t xml:space="preserve">MSME Loans / 90</t>
  </si>
  <si>
    <t xml:space="preserve">New Car Loan</t>
  </si>
  <si>
    <t xml:space="preserve">New Car Loan / 90</t>
  </si>
  <si>
    <t xml:space="preserve">Overdraft</t>
  </si>
  <si>
    <t xml:space="preserve">Overdraft / 90</t>
  </si>
  <si>
    <t xml:space="preserve">PCA</t>
  </si>
  <si>
    <t xml:space="preserve">PCA / 90</t>
  </si>
  <si>
    <t xml:space="preserve">Personal Loan</t>
  </si>
  <si>
    <t xml:space="preserve">Personal Loan / 90</t>
  </si>
  <si>
    <t xml:space="preserve">PIL</t>
  </si>
  <si>
    <t xml:space="preserve">PIL / 90</t>
  </si>
  <si>
    <t xml:space="preserve">Small Business Loan</t>
  </si>
  <si>
    <t xml:space="preserve">Small Business Loan / 90</t>
  </si>
  <si>
    <t xml:space="preserve">Staff Home Loan</t>
  </si>
  <si>
    <t xml:space="preserve">Staff Home Loan / 90</t>
  </si>
  <si>
    <t xml:space="preserve">Term Loan</t>
  </si>
  <si>
    <t xml:space="preserve">Term Loan / 90</t>
  </si>
  <si>
    <t xml:space="preserve">Used Car Loan</t>
  </si>
  <si>
    <t xml:space="preserve">Used Car Loan / 90</t>
  </si>
  <si>
    <t xml:space="preserve">Vehicle Loan</t>
  </si>
  <si>
    <t xml:space="preserve">Vehicle Loan / 90</t>
  </si>
  <si>
    <t xml:space="preserve">Working Capital Loans</t>
  </si>
  <si>
    <t xml:space="preserve">Working Capital Loans / 90</t>
  </si>
  <si>
    <t xml:space="preserve">RVF</t>
  </si>
  <si>
    <t xml:space="preserve">RVF / 90</t>
  </si>
  <si>
    <t xml:space="preserve">RVF / 365</t>
  </si>
  <si>
    <t xml:space="preserve">B. Roll-ups (SUMIFS) vs printed group totals; comparable total</t>
  </si>
  <si>
    <t xml:space="preserve">29 Jun 2026 (CM2) Advances</t>
  </si>
  <si>
    <t xml:space="preserve">29 Jul 2026 (CM1) Advances</t>
  </si>
  <si>
    <t xml:space="preserve">31 Jul 2026 (LM last day) Advances</t>
  </si>
  <si>
    <t xml:space="preserve">04 Aug 2026 (first week) Advances</t>
  </si>
  <si>
    <t xml:space="preserve">29 Aug 2026 (current) Advances</t>
  </si>
  <si>
    <t xml:space="preserve">Δ Adv 29-Aug vs 29-Jul</t>
  </si>
  <si>
    <t xml:space="preserve">MoM %</t>
  </si>
  <si>
    <t xml:space="preserve">2M %</t>
  </si>
  <si>
    <t xml:space="preserve">Σ leaf rows</t>
  </si>
  <si>
    <t xml:space="preserve">Grand Total (Σ groups)</t>
  </si>
  <si>
    <t xml:space="preserve">Printed total</t>
  </si>
  <si>
    <t xml:space="preserve">Gap Adv (printed − Σ) 29-Jun</t>
  </si>
  <si>
    <t xml:space="preserve">29-Jul</t>
  </si>
  <si>
    <t xml:space="preserve">31-Jul</t>
  </si>
  <si>
    <t xml:space="preserve">04-Aug</t>
  </si>
  <si>
    <t xml:space="preserve">29-Aug</t>
  </si>
  <si>
    <t xml:space="preserve">as printed</t>
  </si>
  <si>
    <t xml:space="preserve">Grand Total</t>
  </si>
  <si>
    <t xml:space="preserve">C. Comparable total — Grand Total excluding Credit Card, Null and Gift City Loans (volatile / partial rows)</t>
  </si>
  <si>
    <t xml:space="preserve">Series</t>
  </si>
  <si>
    <t xml:space="preserve">WoW-type %</t>
  </si>
  <si>
    <t xml:space="preserve">Month-end %</t>
  </si>
  <si>
    <t xml:space="preserve">Comparable total (Σ leaf rows not excluded)</t>
  </si>
  <si>
    <t xml:space="preserve">Excluded rows (Credit Card + Null + Gift City)</t>
  </si>
  <si>
    <t xml:space="preserve">Comparable total ex-Ganaseva (micro banking)</t>
  </si>
  <si>
    <t xml:space="preserve">Data points to flag before metrics (live checks)</t>
  </si>
  <si>
    <t xml:space="preserve">Flag</t>
  </si>
  <si>
    <t xml:space="preserve">Check value (live)</t>
  </si>
  <si>
    <t xml:space="preserve">Unit</t>
  </si>
  <si>
    <t xml:space="preserve">Implication / action</t>
  </si>
  <si>
    <t xml:space="preserve">Printed Grand Total swings 94.5k → 118.6k → 99.1k → 98.0k → 108.6k across the five dates because Credit Card (₹21,374 Cr) appears only on 29-Jul, Null (₹986 Cr) only on 29-Jul, and Gift City doubles on 29-Aug. Comparable-total MoM growth instead:</t>
  </si>
  <si>
    <t xml:space="preserve">%</t>
  </si>
  <si>
    <t xml:space="preserve">Never trend the printed Grand Total; use the comparable series.</t>
  </si>
  <si>
    <t xml:space="preserve">Gift City Loans: ₹9,892 Cr (29-Jul) → ₹19,783 Cr (29-Aug), +100% MoM, with accounts 413 → 636.</t>
  </si>
  <si>
    <t xml:space="preserve">Confirm whether this is real growth, a reclassification, or an FX / data issue.</t>
  </si>
  <si>
    <t xml:space="preserve">Credit Card row populated only at 29-Jul (612 accounts, ₹21,374 Cr — account count implausible vs 4.3M cards on the Credit Portfolio page).</t>
  </si>
  <si>
    <t xml:space="preserve">₹ Cr</t>
  </si>
  <si>
    <t xml:space="preserve">Treat as a data artefact in this extract.</t>
  </si>
  <si>
    <t xml:space="preserve">Σ leaf rows vs printed group totals — max |gap| across groups and dates (₹ Cr):</t>
  </si>
  <si>
    <t xml:space="preserve">Placement of partial rows reconciles.</t>
  </si>
  <si>
    <t xml:space="preserve">Ganaseva (micro banking) is 90% of all accounts but 8–9% of advances.</t>
  </si>
  <si>
    <t xml:space="preserve">Account-based metrics are dominated by micro banking; use advances for mix.</t>
  </si>
  <si>
    <t xml:space="preserve">Working Capital Loans jump +₹1.6k Cr (+11%) between 29-Jul and 31-Jul and fall back by 04-Aug — a month-end utilisation spike.</t>
  </si>
  <si>
    <t xml:space="preserve">Month-end balances overstate average utilisation.</t>
  </si>
  <si>
    <t xml:space="preserve">Notation and exhaustive metrics table for this block: see sheet B1_Metrics</t>
  </si>
  <si>
    <t xml:space="preserve">10-question test set (3 Low / 4 Medium / 3 High) — expected answers are live formulas</t>
  </si>
  <si>
    <t xml:space="preserve">Level</t>
  </si>
  <si>
    <t xml:space="preserve">Question</t>
  </si>
  <si>
    <t xml:space="preserve">Calculation</t>
  </si>
  <si>
    <t xml:space="preserve">Expected answer (live)</t>
  </si>
  <si>
    <t xml:space="preserve">So what</t>
  </si>
  <si>
    <t xml:space="preserve">Low</t>
  </si>
  <si>
    <t xml:space="preserve">What is the Term Loan balance at 29-Aug-2026?</t>
  </si>
  <si>
    <t xml:space="preserve">Lookup</t>
  </si>
  <si>
    <t xml:space="preserve">How many Ganaseva accounts were there at 29-Aug?</t>
  </si>
  <si>
    <t xml:space="preserve">count</t>
  </si>
  <si>
    <t xml:space="preserve">What is the printed Grand Total advances at 29-Jul?</t>
  </si>
  <si>
    <t xml:space="preserve">Medium</t>
  </si>
  <si>
    <t xml:space="preserve">What is the LAP group MoM growth (29-Aug vs 29-Jul)?</t>
  </si>
  <si>
    <t xml:space="preserve">Σ LAP 29-Aug ÷ 29-Jul − 1</t>
  </si>
  <si>
    <t xml:space="preserve">What is the ATS of Gift City Loans at 29-Aug (₹ lakh)?</t>
  </si>
  <si>
    <t xml:space="preserve">Adv × 100 ÷ accounts</t>
  </si>
  <si>
    <t xml:space="preserve">₹ lakh</t>
  </si>
  <si>
    <t xml:space="preserve">What share of 29-Aug advances is the OTHERS group?</t>
  </si>
  <si>
    <t xml:space="preserve">OTHERS ÷ GT</t>
  </si>
  <si>
    <t xml:space="preserve">How did HL (High Yield AHL) advances move over two months?</t>
  </si>
  <si>
    <t xml:space="preserve">29-Aug ÷ 29-Jun − 1</t>
  </si>
  <si>
    <t xml:space="preserve">High</t>
  </si>
  <si>
    <t xml:space="preserve">What is the comparable (ex Credit Card / Null / Gift City) MoM growth vs the printed Grand Total MoM?</t>
  </si>
  <si>
    <t xml:space="preserve">Comparable MoM − printed MoM</t>
  </si>
  <si>
    <t xml:space="preserve">pp</t>
  </si>
  <si>
    <t xml:space="preserve">Printed total shows a ~8% fall; the comparable book grew ~2.9% — the fall is an artefact.</t>
  </si>
  <si>
    <t xml:space="preserve">Which single row explains most of the 29-Aug jump vs 04-Aug in the printed total?</t>
  </si>
  <si>
    <t xml:space="preserve">ΔGift City ÷ ΔGT (29-Aug − 04-Aug)</t>
  </si>
  <si>
    <t xml:space="preserve">Gift City alone is ~88% of the ₹10.6k Cr jump.</t>
  </si>
  <si>
    <t xml:space="preserve">Is the Credit Card account count consistent with the Credit Portfolio page (4.3M card accounts)?</t>
  </si>
  <si>
    <t xml:space="preserve">Accounts at 29-Jul</t>
  </si>
  <si>
    <t xml:space="preserve">612 accounts for ₹21k Cr — not a card-account count; likely a product-level roll-up artefact.</t>
  </si>
  <si>
    <t xml:space="preserve">What this page cannot support (feeds the data request)</t>
  </si>
  <si>
    <t xml:space="preserve">Not derivable: SMA / NPA amounts by product (this table is the 'Product Summary' tab only), DPD buckets, daily series between the five dates, disbursement vs repayment behind moves, yields, the identity of 'Misc' (₹3.9k Cr) and 'Null', and the reason for the Gift City jump.</t>
  </si>
  <si>
    <t xml:space="preserve">Product-wise weekly portfolio table: notation and metrics</t>
  </si>
  <si>
    <t xml:space="preserve">Format: Notation → Exhaustive metrics table | Example column = live Excel formula on the block sheet (green = cross-sheet)</t>
  </si>
  <si>
    <t xml:space="preserve">Notation</t>
  </si>
  <si>
    <t xml:space="preserve">Symbol</t>
  </si>
  <si>
    <t xml:space="preserve">Meaning</t>
  </si>
  <si>
    <t xml:space="preserve">N(x,d) / A(x,d)</t>
  </si>
  <si>
    <t xml:space="preserve">Accounts and advances (₹ Cr) of leaf row x at date d</t>
  </si>
  <si>
    <t xml:space="preserve">d</t>
  </si>
  <si>
    <t xml:space="preserve">29-Jun (CM2), 29-Jul (CM1), 31-Jul (LM last day), 04-Aug (first week), 29-Aug (current)</t>
  </si>
  <si>
    <t xml:space="preserve">G(d)</t>
  </si>
  <si>
    <t xml:space="preserve">Group total = Σ leaf rows in group; GT = Grand Total</t>
  </si>
  <si>
    <t xml:space="preserve">GT*(d)</t>
  </si>
  <si>
    <t xml:space="preserve">Comparable total = GT excluding Credit Card, Null and Gift City Loans</t>
  </si>
  <si>
    <t xml:space="preserve">ATS</t>
  </si>
  <si>
    <t xml:space="preserve">A × 100 ÷ N, ₹ lakh</t>
  </si>
  <si>
    <t xml:space="preserve">MoM</t>
  </si>
  <si>
    <t xml:space="preserve">29-Aug ÷ 29-Jul − 1</t>
  </si>
  <si>
    <t xml:space="preserve">2M</t>
  </si>
  <si>
    <t xml:space="preserve">WoW*</t>
  </si>
  <si>
    <t xml:space="preserve">29-Aug ÷ 04-Aug − 1 (3.5 weeks)</t>
  </si>
  <si>
    <t xml:space="preserve">ME</t>
  </si>
  <si>
    <t xml:space="preserve">Month-end effect = 31-Jul ÷ 29-Jul − 1</t>
  </si>
  <si>
    <t xml:space="preserve">sh</t>
  </si>
  <si>
    <t xml:space="preserve">A(x, 29-Aug) ÷ GT(29-Aug)</t>
  </si>
  <si>
    <t xml:space="preserve">Norm</t>
  </si>
  <si>
    <t xml:space="preserve">NPA norm days (90 / 365)</t>
  </si>
  <si>
    <t xml:space="preserve">Accounts are counts; advances in ₹ Cr; ATS in ₹ lakh; growth in %; dates re-ordered chronologically.</t>
  </si>
  <si>
    <t xml:space="preserve">Exhaustive metrics table</t>
  </si>
  <si>
    <t xml:space="preserve">Metric family</t>
  </si>
  <si>
    <t xml:space="preserve">Pipeline-ready metric</t>
  </si>
  <si>
    <t xml:space="preserve">Definition / formula</t>
  </si>
  <si>
    <t xml:space="preserve">Applies to</t>
  </si>
  <si>
    <t xml:space="preserve">Example</t>
  </si>
  <si>
    <t xml:space="preserve">Fact lookup</t>
  </si>
  <si>
    <t xml:space="preserve">Leaf advances</t>
  </si>
  <si>
    <t xml:space="preserve">A(x,d)</t>
  </si>
  <si>
    <t xml:space="preserve">67 rows × 5 dates</t>
  </si>
  <si>
    <t xml:space="preserve">Leaf accounts</t>
  </si>
  <si>
    <t xml:space="preserve">N(x,d)</t>
  </si>
  <si>
    <t xml:space="preserve">67 × 5</t>
  </si>
  <si>
    <t xml:space="preserve">Printed group totals</t>
  </si>
  <si>
    <t xml:space="preserve">G(d) as printed</t>
  </si>
  <si>
    <t xml:space="preserve">7 groups + GT × 5</t>
  </si>
  <si>
    <t xml:space="preserve">Roll-up check</t>
  </si>
  <si>
    <t xml:space="preserve">Leaf rows to group totals</t>
  </si>
  <si>
    <t xml:space="preserve">G(d) printed − Σ leaf</t>
  </si>
  <si>
    <t xml:space="preserve">7 groups × 5</t>
  </si>
  <si>
    <t xml:space="preserve">Groups to Grand Total</t>
  </si>
  <si>
    <t xml:space="preserve">GT printed − Σ groups</t>
  </si>
  <si>
    <t xml:space="preserve">5 dates</t>
  </si>
  <si>
    <t xml:space="preserve">Volume aggregates</t>
  </si>
  <si>
    <t xml:space="preserve">Comparable total</t>
  </si>
  <si>
    <t xml:space="preserve">Excluded rows</t>
  </si>
  <si>
    <t xml:space="preserve">GT − GT*</t>
  </si>
  <si>
    <t xml:space="preserve">Group advances</t>
  </si>
  <si>
    <t xml:space="preserve">7 groups</t>
  </si>
  <si>
    <t xml:space="preserve">Group accounts</t>
  </si>
  <si>
    <t xml:space="preserve">Σ N</t>
  </si>
  <si>
    <t xml:space="preserve">Growth &amp; momentum</t>
  </si>
  <si>
    <t xml:space="preserve">MoM growth (29-Aug vs 29-Jul)</t>
  </si>
  <si>
    <t xml:space="preserve">MoM by group</t>
  </si>
  <si>
    <t xml:space="preserve">7 groups + GT + GT*</t>
  </si>
  <si>
    <t xml:space="preserve">Two-month growth (29-Aug vs 29-Jun)</t>
  </si>
  <si>
    <t xml:space="preserve">2M by group</t>
  </si>
  <si>
    <t xml:space="preserve">7 groups + GT*</t>
  </si>
  <si>
    <t xml:space="preserve">Leaf MoM growth</t>
  </si>
  <si>
    <t xml:space="preserve">MoM by leaf row</t>
  </si>
  <si>
    <t xml:space="preserve">67 rows</t>
  </si>
  <si>
    <t xml:space="preserve">Absolute MoM change</t>
  </si>
  <si>
    <t xml:space="preserve">A(29-Aug) − A(29-Jul)</t>
  </si>
  <si>
    <t xml:space="preserve">67 rows + groups</t>
  </si>
  <si>
    <t xml:space="preserve">Comparable growth ex micro banking</t>
  </si>
  <si>
    <t xml:space="preserve">(GT* − Ganaseva) MoM / 2M</t>
  </si>
  <si>
    <t xml:space="preserve">Window</t>
  </si>
  <si>
    <t xml:space="preserve">Rows growing / declining MoM</t>
  </si>
  <si>
    <t xml:space="preserve">COUNT Δ &gt; 0 / &lt; 0</t>
  </si>
  <si>
    <t xml:space="preserve">Account growth MoM</t>
  </si>
  <si>
    <t xml:space="preserve">N(29-Aug) − N(29-Jul)</t>
  </si>
  <si>
    <t xml:space="preserve">Intra-month</t>
  </si>
  <si>
    <t xml:space="preserve">Month-end effect</t>
  </si>
  <si>
    <t xml:space="preserve">ME = 31-Jul ÷ 29-Jul − 1</t>
  </si>
  <si>
    <t xml:space="preserve">67 rows + GT*</t>
  </si>
  <si>
    <t xml:space="preserve">First-week to month-end move</t>
  </si>
  <si>
    <t xml:space="preserve">29-Aug ÷ 04-Aug − 1</t>
  </si>
  <si>
    <t xml:space="preserve">Ticket size</t>
  </si>
  <si>
    <t xml:space="preserve">ATS by leaf row (29-Aug)</t>
  </si>
  <si>
    <t xml:space="preserve">ATS(x)</t>
  </si>
  <si>
    <t xml:space="preserve">ATS by group (29-Aug)</t>
  </si>
  <si>
    <t xml:space="preserve">G adv × 100 ÷ G accounts</t>
  </si>
  <si>
    <t xml:space="preserve">Mix &amp; share</t>
  </si>
  <si>
    <t xml:space="preserve">Group share of GT (29-Aug)</t>
  </si>
  <si>
    <t xml:space="preserve">sh(G)</t>
  </si>
  <si>
    <t xml:space="preserve">Leaf share of GT (29-Aug)</t>
  </si>
  <si>
    <t xml:space="preserve">sh(x)</t>
  </si>
  <si>
    <t xml:space="preserve">Account share of GT (29-Aug)</t>
  </si>
  <si>
    <t xml:space="preserve">N(x) ÷ Σ N</t>
  </si>
  <si>
    <t xml:space="preserve">New vs Old book (LAP group)</t>
  </si>
  <si>
    <t xml:space="preserve">Σ New Book ÷ LAP group</t>
  </si>
  <si>
    <t xml:space="preserve">LAP, Agri, BBG</t>
  </si>
  <si>
    <t xml:space="preserve">365-norm share (agri-linked)</t>
  </si>
  <si>
    <t xml:space="preserve">Σ A(norm 365) ÷ GT*</t>
  </si>
  <si>
    <t xml:space="preserve">All rows</t>
  </si>
  <si>
    <t xml:space="preserve">Concentration</t>
  </si>
  <si>
    <t xml:space="preserve">Top-5 leaf rows share (29-Aug)</t>
  </si>
  <si>
    <t xml:space="preserve">Σ LARGE(A,5) ÷ GT</t>
  </si>
  <si>
    <t xml:space="preserve">HHI (leaf rows, 29-Aug)</t>
  </si>
  <si>
    <t xml:space="preserve">Σ (100 × sh)²</t>
  </si>
  <si>
    <t xml:space="preserve">Attribution</t>
  </si>
  <si>
    <t xml:space="preserve">Share of 29-Aug vs 04-Aug jump from Gift City</t>
  </si>
  <si>
    <t xml:space="preserve">ΔGift City ÷ ΔGT</t>
  </si>
  <si>
    <t xml:space="preserve">Event</t>
  </si>
  <si>
    <t xml:space="preserve">Share of 29-Jul inflation from Credit Card + Null</t>
  </si>
  <si>
    <t xml:space="preserve">(CC + Null) ÷ GT(29-Jul)</t>
  </si>
  <si>
    <t xml:space="preserve">Data integrity</t>
  </si>
  <si>
    <t xml:space="preserve">Partial-period rows</t>
  </si>
  <si>
    <t xml:space="preserve">Rows with &lt; 5 dates populated</t>
  </si>
  <si>
    <t xml:space="preserve">Large MoM movers</t>
  </si>
  <si>
    <t xml:space="preserve">|MoM| &gt; 10%</t>
  </si>
  <si>
    <t xml:space="preserve">Credit Card account count</t>
  </si>
  <si>
    <t xml:space="preserve">N(CC, 29-Jul)</t>
  </si>
  <si>
    <t xml:space="preserve">1 row</t>
  </si>
  <si>
    <t xml:space="preserve">Printed GT volatility</t>
  </si>
  <si>
    <t xml:space="preserve">max GT ÷ min GT across dates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</si>
</sst>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;\(#,##0.00\);\-"/>
    <numFmt numFmtId="167" formatCode="#,##0.00"/>
    <numFmt numFmtId="168" formatCode="0.0%;\-0.0%;0.0%"/>
    <numFmt numFmtId="169" formatCode="\+0.0&quot; pp&quot;;\-0.0&quot; pp&quot;;0.0&quot; pp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</row>
    <row r="6" customFormat="false" ht="23.85" hidden="false" customHeight="false" outlineLevel="0" collapsed="false">
      <c r="A6" s="6" t="s">
        <v>4</v>
      </c>
      <c r="B6" s="7" t="s">
        <v>5</v>
      </c>
    </row>
    <row r="7" customFormat="false" ht="15" hidden="false" customHeight="false" outlineLevel="0" collapsed="false">
      <c r="A7" s="6" t="s">
        <v>6</v>
      </c>
      <c r="B7" s="7" t="s">
        <v>7</v>
      </c>
    </row>
    <row r="8" customFormat="false" ht="15" hidden="false" customHeight="false" outlineLevel="0" collapsed="false">
      <c r="A8" s="6"/>
      <c r="B8" s="7"/>
    </row>
    <row r="9" customFormat="false" ht="15" hidden="false" customHeight="false" outlineLevel="0" collapsed="false">
      <c r="A9" s="4" t="s">
        <v>8</v>
      </c>
      <c r="B9" s="5"/>
    </row>
    <row r="10" customFormat="false" ht="15" hidden="false" customHeight="false" outlineLevel="0" collapsed="false">
      <c r="A10" s="6" t="s">
        <v>9</v>
      </c>
      <c r="B10" s="7" t="s">
        <v>10</v>
      </c>
    </row>
    <row r="11" customFormat="false" ht="15" hidden="false" customHeight="false" outlineLevel="0" collapsed="false">
      <c r="A11" s="6" t="s">
        <v>11</v>
      </c>
      <c r="B11" s="7" t="s">
        <v>12</v>
      </c>
    </row>
    <row r="12" customFormat="false" ht="15" hidden="false" customHeight="false" outlineLevel="0" collapsed="false">
      <c r="A12" s="6" t="s">
        <v>13</v>
      </c>
      <c r="B12" s="7" t="s">
        <v>14</v>
      </c>
    </row>
    <row r="13" customFormat="false" ht="15" hidden="false" customHeight="false" outlineLevel="0" collapsed="false">
      <c r="A13" s="6" t="s">
        <v>15</v>
      </c>
      <c r="B13" s="7" t="s">
        <v>16</v>
      </c>
    </row>
    <row r="14" customFormat="false" ht="15" hidden="false" customHeight="false" outlineLevel="0" collapsed="false">
      <c r="A14" s="6" t="s">
        <v>17</v>
      </c>
      <c r="B14" s="7" t="s">
        <v>18</v>
      </c>
    </row>
    <row r="15" customFormat="false" ht="15" hidden="false" customHeight="false" outlineLevel="0" collapsed="false">
      <c r="A15" s="6"/>
      <c r="B15" s="7"/>
    </row>
    <row r="16" customFormat="false" ht="15" hidden="false" customHeight="false" outlineLevel="0" collapsed="false">
      <c r="A16" s="4" t="s">
        <v>19</v>
      </c>
      <c r="B16" s="5"/>
    </row>
    <row r="17" customFormat="false" ht="15" hidden="false" customHeight="false" outlineLevel="0" collapsed="false">
      <c r="A17" s="6" t="s">
        <v>20</v>
      </c>
      <c r="B17" s="7" t="s">
        <v>21</v>
      </c>
    </row>
    <row r="18" customFormat="false" ht="35.05" hidden="false" customHeight="false" outlineLevel="0" collapsed="false">
      <c r="A18" s="6" t="s">
        <v>22</v>
      </c>
      <c r="B18" s="7" t="s">
        <v>23</v>
      </c>
    </row>
    <row r="19" customFormat="false" ht="15" hidden="false" customHeight="false" outlineLevel="0" collapsed="false">
      <c r="A19" s="6" t="s">
        <v>24</v>
      </c>
      <c r="B19" s="7" t="s">
        <v>25</v>
      </c>
    </row>
    <row r="20" customFormat="false" ht="23.85" hidden="false" customHeight="false" outlineLevel="0" collapsed="false">
      <c r="A20" s="6" t="s">
        <v>26</v>
      </c>
      <c r="B20" s="7" t="s">
        <v>27</v>
      </c>
    </row>
    <row r="21" customFormat="false" ht="23.85" hidden="false" customHeight="false" outlineLevel="0" collapsed="false">
      <c r="A21" s="6" t="s">
        <v>28</v>
      </c>
      <c r="B21" s="7" t="s">
        <v>29</v>
      </c>
    </row>
    <row r="22" customFormat="false" ht="15" hidden="false" customHeight="false" outlineLevel="0" collapsed="false">
      <c r="A22" s="6" t="s">
        <v>30</v>
      </c>
      <c r="B22" s="7" t="s">
        <v>31</v>
      </c>
    </row>
    <row r="24" customFormat="false" ht="15" hidden="false" customHeight="false" outlineLevel="0" collapsed="false">
      <c r="A24" s="3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22" min="5" style="0" width="12"/>
    <col collapsed="false" customWidth="true" hidden="false" outlineLevel="0" max="23" min="23" style="0" width="22"/>
    <col collapsed="false" customWidth="true" hidden="false" outlineLevel="0" max="24" min="24" style="0" width="10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Format="false" ht="46.25" hidden="false" customHeight="false" outlineLevel="0" collapsed="false">
      <c r="A6" s="8" t="s">
        <v>35</v>
      </c>
      <c r="B6" s="8" t="s">
        <v>36</v>
      </c>
      <c r="C6" s="8" t="s">
        <v>37</v>
      </c>
      <c r="D6" s="8" t="s">
        <v>38</v>
      </c>
      <c r="E6" s="8" t="s">
        <v>39</v>
      </c>
      <c r="F6" s="8" t="s">
        <v>40</v>
      </c>
      <c r="G6" s="8" t="s">
        <v>41</v>
      </c>
      <c r="H6" s="8" t="s">
        <v>42</v>
      </c>
      <c r="I6" s="8" t="s">
        <v>43</v>
      </c>
      <c r="J6" s="8" t="s">
        <v>44</v>
      </c>
      <c r="K6" s="8" t="s">
        <v>45</v>
      </c>
      <c r="L6" s="8" t="s">
        <v>46</v>
      </c>
      <c r="M6" s="8" t="s">
        <v>47</v>
      </c>
      <c r="N6" s="8" t="s">
        <v>48</v>
      </c>
      <c r="O6" s="8" t="s">
        <v>49</v>
      </c>
      <c r="P6" s="8" t="s">
        <v>50</v>
      </c>
      <c r="Q6" s="8" t="s">
        <v>51</v>
      </c>
      <c r="R6" s="8" t="s">
        <v>52</v>
      </c>
      <c r="S6" s="8" t="s">
        <v>53</v>
      </c>
      <c r="T6" s="8" t="s">
        <v>54</v>
      </c>
      <c r="U6" s="8" t="s">
        <v>55</v>
      </c>
      <c r="V6" s="8" t="s">
        <v>56</v>
      </c>
      <c r="W6" s="8" t="s">
        <v>57</v>
      </c>
      <c r="X6" s="8" t="s">
        <v>58</v>
      </c>
    </row>
    <row r="7" customFormat="false" ht="15" hidden="false" customHeight="false" outlineLevel="0" collapsed="false">
      <c r="A7" s="9" t="n">
        <v>1</v>
      </c>
      <c r="B7" s="9" t="s">
        <v>59</v>
      </c>
      <c r="C7" s="9" t="s">
        <v>59</v>
      </c>
      <c r="D7" s="9" t="s">
        <v>60</v>
      </c>
      <c r="E7" s="10" t="n">
        <v>3442</v>
      </c>
      <c r="F7" s="11" t="n">
        <v>350.06</v>
      </c>
      <c r="G7" s="10" t="n">
        <v>3348</v>
      </c>
      <c r="H7" s="11" t="n">
        <v>351.97</v>
      </c>
      <c r="I7" s="10" t="n">
        <v>3376</v>
      </c>
      <c r="J7" s="11" t="n">
        <v>357.77</v>
      </c>
      <c r="K7" s="10" t="n">
        <v>3361</v>
      </c>
      <c r="L7" s="11" t="n">
        <v>355.63</v>
      </c>
      <c r="M7" s="10" t="n">
        <v>3333</v>
      </c>
      <c r="N7" s="11" t="n">
        <v>357.89</v>
      </c>
      <c r="O7" s="12" t="n">
        <f aca="false">IF(OR(M7="",M7=0),"",N7*100/M7)</f>
        <v>10.7377737773777</v>
      </c>
      <c r="P7" s="13" t="n">
        <f aca="false">IF(OR(N7="",H7=""),"",N7-H7)</f>
        <v>5.91999999999996</v>
      </c>
      <c r="Q7" s="14" t="n">
        <f aca="false">IF(OR(N7="",H7="",H7=0),"n/a",N7/H7-1)</f>
        <v>0.0168196153081228</v>
      </c>
      <c r="R7" s="14" t="n">
        <f aca="false">IF(OR(N7="",F7="",F7=0),"n/a",N7/F7-1)</f>
        <v>0.0223675941267212</v>
      </c>
      <c r="S7" s="14" t="n">
        <f aca="false">IF(OR(N7="",L7="",L7=0),"n/a",N7/L7-1)</f>
        <v>0.00635491943874245</v>
      </c>
      <c r="T7" s="14" t="n">
        <f aca="false">IF(OR(J7="",H7="",H7=0),"n/a",J7/H7-1)</f>
        <v>0.0164786771599852</v>
      </c>
      <c r="U7" s="14" t="n">
        <f aca="false">IF(N7="","",N7/$N$94)</f>
        <v>0.00329406151277214</v>
      </c>
      <c r="V7" s="15" t="n">
        <f aca="false">IF(OR(M7="",G7=""),"",M7-G7)</f>
        <v>-15</v>
      </c>
      <c r="W7" s="9" t="str">
        <f aca="false">IF(COUNT(F7,H7,J7,L7,N7)&lt;5,"Partial-period row",IF(ISNUMBER(Q7),IF(ABS(Q7)&gt;0.1,"MoM move &gt; ±10%",""),""))</f>
        <v/>
      </c>
      <c r="X7" s="9"/>
    </row>
    <row r="8" customFormat="false" ht="15" hidden="false" customHeight="false" outlineLevel="0" collapsed="false">
      <c r="A8" s="9" t="n">
        <v>2</v>
      </c>
      <c r="B8" s="9" t="s">
        <v>59</v>
      </c>
      <c r="C8" s="9" t="s">
        <v>59</v>
      </c>
      <c r="D8" s="9" t="s">
        <v>61</v>
      </c>
      <c r="E8" s="10" t="n">
        <v>19364</v>
      </c>
      <c r="F8" s="11" t="n">
        <v>1111.7</v>
      </c>
      <c r="G8" s="10" t="n">
        <v>19524</v>
      </c>
      <c r="H8" s="11" t="n">
        <v>1109.42</v>
      </c>
      <c r="I8" s="10" t="n">
        <v>19562</v>
      </c>
      <c r="J8" s="11" t="n">
        <v>1113.55</v>
      </c>
      <c r="K8" s="10" t="n">
        <v>19548</v>
      </c>
      <c r="L8" s="11" t="n">
        <v>1112.21</v>
      </c>
      <c r="M8" s="10" t="n">
        <v>19589</v>
      </c>
      <c r="N8" s="11" t="n">
        <v>1114.22</v>
      </c>
      <c r="O8" s="12" t="n">
        <f aca="false">IF(OR(M8="",M8=0),"",N8*100/M8)</f>
        <v>5.68798815661851</v>
      </c>
      <c r="P8" s="13" t="n">
        <f aca="false">IF(OR(N8="",H8=""),"",N8-H8)</f>
        <v>4.79999999999995</v>
      </c>
      <c r="Q8" s="14" t="n">
        <f aca="false">IF(OR(N8="",H8="",H8=0),"n/a",N8/H8-1)</f>
        <v>0.00432658506246497</v>
      </c>
      <c r="R8" s="14" t="n">
        <f aca="false">IF(OR(N8="",F8="",F8=0),"n/a",N8/F8-1)</f>
        <v>0.00226679859674372</v>
      </c>
      <c r="S8" s="14" t="n">
        <f aca="false">IF(OR(N8="",L8="",L8=0),"n/a",N8/L8-1)</f>
        <v>0.00180721266667261</v>
      </c>
      <c r="T8" s="14" t="n">
        <f aca="false">IF(OR(J8="",H8="",H8=0),"n/a",J8/H8-1)</f>
        <v>0.00372266589749581</v>
      </c>
      <c r="U8" s="14" t="n">
        <f aca="false">IF(N8="","",N8/$N$94)</f>
        <v>0.0102554114916901</v>
      </c>
      <c r="V8" s="15" t="n">
        <f aca="false">IF(OR(M8="",G8=""),"",M8-G8)</f>
        <v>65</v>
      </c>
      <c r="W8" s="9" t="str">
        <f aca="false">IF(COUNT(F8,H8,J8,L8,N8)&lt;5,"Partial-period row",IF(ISNUMBER(Q8),IF(ABS(Q8)&gt;0.1,"MoM move &gt; ±10%",""),""))</f>
        <v/>
      </c>
      <c r="X8" s="9"/>
    </row>
    <row r="9" customFormat="false" ht="15" hidden="false" customHeight="false" outlineLevel="0" collapsed="false">
      <c r="A9" s="9" t="n">
        <v>3</v>
      </c>
      <c r="B9" s="9" t="s">
        <v>59</v>
      </c>
      <c r="C9" s="9" t="s">
        <v>59</v>
      </c>
      <c r="D9" s="9" t="s">
        <v>62</v>
      </c>
      <c r="E9" s="10" t="n">
        <v>559</v>
      </c>
      <c r="F9" s="11" t="n">
        <v>6.54</v>
      </c>
      <c r="G9" s="10" t="n">
        <v>554</v>
      </c>
      <c r="H9" s="11" t="n">
        <v>6.53</v>
      </c>
      <c r="I9" s="10" t="n">
        <v>554</v>
      </c>
      <c r="J9" s="11" t="n">
        <v>6.21</v>
      </c>
      <c r="K9" s="10" t="n">
        <v>553</v>
      </c>
      <c r="L9" s="11" t="n">
        <v>5.17</v>
      </c>
      <c r="M9" s="10" t="n">
        <v>552</v>
      </c>
      <c r="N9" s="11" t="n">
        <v>5.3</v>
      </c>
      <c r="O9" s="12" t="n">
        <f aca="false">IF(OR(M9="",M9=0),"",N9*100/M9)</f>
        <v>0.960144927536232</v>
      </c>
      <c r="P9" s="13" t="n">
        <f aca="false">IF(OR(N9="",H9=""),"",N9-H9)</f>
        <v>-1.23</v>
      </c>
      <c r="Q9" s="14" t="n">
        <f aca="false">IF(OR(N9="",H9="",H9=0),"n/a",N9/H9-1)</f>
        <v>-0.188361408882083</v>
      </c>
      <c r="R9" s="14" t="n">
        <f aca="false">IF(OR(N9="",F9="",F9=0),"n/a",N9/F9-1)</f>
        <v>-0.18960244648318</v>
      </c>
      <c r="S9" s="14" t="n">
        <f aca="false">IF(OR(N9="",L9="",L9=0),"n/a",N9/L9-1)</f>
        <v>0.0251450676982592</v>
      </c>
      <c r="T9" s="14" t="n">
        <f aca="false">IF(OR(J9="",H9="",H9=0),"n/a",J9/H9-1)</f>
        <v>-0.0490045941807045</v>
      </c>
      <c r="U9" s="14" t="n">
        <f aca="false">IF(N9="","",N9/$N$94)</f>
        <v>4.8781821279422E-005</v>
      </c>
      <c r="V9" s="15" t="n">
        <f aca="false">IF(OR(M9="",G9=""),"",M9-G9)</f>
        <v>-2</v>
      </c>
      <c r="W9" s="9" t="str">
        <f aca="false">IF(COUNT(F9,H9,J9,L9,N9)&lt;5,"Partial-period row",IF(ISNUMBER(Q9),IF(ABS(Q9)&gt;0.1,"MoM move &gt; ±10%",""),""))</f>
        <v>MoM move &gt; ±10%</v>
      </c>
      <c r="X9" s="9"/>
    </row>
    <row r="10" customFormat="false" ht="15" hidden="false" customHeight="false" outlineLevel="0" collapsed="false">
      <c r="A10" s="9" t="n">
        <v>4</v>
      </c>
      <c r="B10" s="9" t="s">
        <v>59</v>
      </c>
      <c r="C10" s="9" t="s">
        <v>59</v>
      </c>
      <c r="D10" s="9" t="s">
        <v>63</v>
      </c>
      <c r="E10" s="10" t="n">
        <v>11336</v>
      </c>
      <c r="F10" s="11" t="n">
        <v>241.9</v>
      </c>
      <c r="G10" s="10" t="n">
        <v>11280</v>
      </c>
      <c r="H10" s="11" t="n">
        <v>240.31</v>
      </c>
      <c r="I10" s="10" t="n">
        <v>11284</v>
      </c>
      <c r="J10" s="11" t="n">
        <v>240.32</v>
      </c>
      <c r="K10" s="10" t="n">
        <v>11268</v>
      </c>
      <c r="L10" s="11" t="n">
        <v>240.06</v>
      </c>
      <c r="M10" s="10" t="n">
        <v>11148</v>
      </c>
      <c r="N10" s="11" t="n">
        <v>237.53</v>
      </c>
      <c r="O10" s="12" t="n">
        <f aca="false">IF(OR(M10="",M10=0),"",N10*100/M10)</f>
        <v>2.13069608898457</v>
      </c>
      <c r="P10" s="13" t="n">
        <f aca="false">IF(OR(N10="",H10=""),"",N10-H10)</f>
        <v>-2.78</v>
      </c>
      <c r="Q10" s="14" t="n">
        <f aca="false">IF(OR(N10="",H10="",H10=0),"n/a",N10/H10-1)</f>
        <v>-0.0115683908285131</v>
      </c>
      <c r="R10" s="14" t="n">
        <f aca="false">IF(OR(N10="",F10="",F10=0),"n/a",N10/F10-1)</f>
        <v>-0.0180653162463829</v>
      </c>
      <c r="S10" s="14" t="n">
        <f aca="false">IF(OR(N10="",L10="",L10=0),"n/a",N10/L10-1)</f>
        <v>-0.0105390319086895</v>
      </c>
      <c r="T10" s="14" t="n">
        <f aca="false">IF(OR(J10="",H10="",H10=0),"n/a",J10/H10-1)</f>
        <v>4.16129166493917E-005</v>
      </c>
      <c r="U10" s="14" t="n">
        <f aca="false">IF(N10="","",N10/$N$94)</f>
        <v>0.00218625396386813</v>
      </c>
      <c r="V10" s="15" t="n">
        <f aca="false">IF(OR(M10="",G10=""),"",M10-G10)</f>
        <v>-132</v>
      </c>
      <c r="W10" s="9" t="str">
        <f aca="false">IF(COUNT(F10,H10,J10,L10,N10)&lt;5,"Partial-period row",IF(ISNUMBER(Q10),IF(ABS(Q10)&gt;0.1,"MoM move &gt; ±10%",""),""))</f>
        <v/>
      </c>
      <c r="X10" s="9"/>
    </row>
    <row r="11" customFormat="false" ht="15" hidden="false" customHeight="false" outlineLevel="0" collapsed="false">
      <c r="A11" s="9" t="n">
        <v>5</v>
      </c>
      <c r="B11" s="9" t="s">
        <v>64</v>
      </c>
      <c r="C11" s="9" t="s">
        <v>64</v>
      </c>
      <c r="D11" s="9" t="s">
        <v>60</v>
      </c>
      <c r="E11" s="10" t="n">
        <v>1449</v>
      </c>
      <c r="F11" s="11" t="n">
        <v>2750.96</v>
      </c>
      <c r="G11" s="10" t="n">
        <v>1654</v>
      </c>
      <c r="H11" s="11" t="n">
        <v>2865.3</v>
      </c>
      <c r="I11" s="10" t="n">
        <v>1693</v>
      </c>
      <c r="J11" s="11" t="n">
        <v>2953.38</v>
      </c>
      <c r="K11" s="10" t="n">
        <v>1699</v>
      </c>
      <c r="L11" s="11" t="n">
        <v>2940.12</v>
      </c>
      <c r="M11" s="10" t="n">
        <v>1754</v>
      </c>
      <c r="N11" s="11" t="n">
        <v>3016.48</v>
      </c>
      <c r="O11" s="12" t="n">
        <f aca="false">IF(OR(M11="",M11=0),"",N11*100/M11)</f>
        <v>171.977194982896</v>
      </c>
      <c r="P11" s="13" t="n">
        <f aca="false">IF(OR(N11="",H11=""),"",N11-H11)</f>
        <v>151.18</v>
      </c>
      <c r="Q11" s="14" t="n">
        <f aca="false">IF(OR(N11="",H11="",H11=0),"n/a",N11/H11-1)</f>
        <v>0.0527623634523435</v>
      </c>
      <c r="R11" s="14" t="n">
        <f aca="false">IF(OR(N11="",F11="",F11=0),"n/a",N11/F11-1)</f>
        <v>0.0965190333556285</v>
      </c>
      <c r="S11" s="14" t="n">
        <f aca="false">IF(OR(N11="",L11="",L11=0),"n/a",N11/L11-1)</f>
        <v>0.0259717290450729</v>
      </c>
      <c r="T11" s="14" t="n">
        <f aca="false">IF(OR(J11="",H11="",H11=0),"n/a",J11/H11-1)</f>
        <v>0.0307402366244371</v>
      </c>
      <c r="U11" s="14" t="n">
        <f aca="false">IF(N11="","",N11/$N$94)</f>
        <v>0.0277640355194247</v>
      </c>
      <c r="V11" s="15" t="n">
        <f aca="false">IF(OR(M11="",G11=""),"",M11-G11)</f>
        <v>100</v>
      </c>
      <c r="W11" s="9" t="str">
        <f aca="false">IF(COUNT(F11,H11,J11,L11,N11)&lt;5,"Partial-period row",IF(ISNUMBER(Q11),IF(ABS(Q11)&gt;0.1,"MoM move &gt; ±10%",""),""))</f>
        <v/>
      </c>
      <c r="X11" s="9"/>
    </row>
    <row r="12" customFormat="false" ht="15" hidden="false" customHeight="false" outlineLevel="0" collapsed="false">
      <c r="A12" s="9" t="n">
        <v>6</v>
      </c>
      <c r="B12" s="9" t="s">
        <v>64</v>
      </c>
      <c r="C12" s="9" t="s">
        <v>64</v>
      </c>
      <c r="D12" s="9" t="s">
        <v>62</v>
      </c>
      <c r="E12" s="10" t="n">
        <v>274</v>
      </c>
      <c r="F12" s="11" t="n">
        <v>241.23</v>
      </c>
      <c r="G12" s="10" t="n">
        <v>268</v>
      </c>
      <c r="H12" s="11" t="n">
        <v>238.83</v>
      </c>
      <c r="I12" s="10" t="n">
        <v>265</v>
      </c>
      <c r="J12" s="11" t="n">
        <v>239.91</v>
      </c>
      <c r="K12" s="10" t="n">
        <v>267</v>
      </c>
      <c r="L12" s="11" t="n">
        <v>237.01</v>
      </c>
      <c r="M12" s="10" t="n">
        <v>272</v>
      </c>
      <c r="N12" s="11" t="n">
        <v>244.46</v>
      </c>
      <c r="O12" s="12" t="n">
        <f aca="false">IF(OR(M12="",M12=0),"",N12*100/M12)</f>
        <v>89.875</v>
      </c>
      <c r="P12" s="13" t="n">
        <f aca="false">IF(OR(N12="",H12=""),"",N12-H12)</f>
        <v>5.63</v>
      </c>
      <c r="Q12" s="14" t="n">
        <f aca="false">IF(OR(N12="",H12="",H12=0),"n/a",N12/H12-1)</f>
        <v>0.0235732529414228</v>
      </c>
      <c r="R12" s="14" t="n">
        <f aca="false">IF(OR(N12="",F12="",F12=0),"n/a",N12/F12-1)</f>
        <v>0.0133897110641297</v>
      </c>
      <c r="S12" s="14" t="n">
        <f aca="false">IF(OR(N12="",L12="",L12=0),"n/a",N12/L12-1)</f>
        <v>0.0314332728576854</v>
      </c>
      <c r="T12" s="14" t="n">
        <f aca="false">IF(OR(J12="",H12="",H12=0),"n/a",J12/H12-1)</f>
        <v>0.00452204496922493</v>
      </c>
      <c r="U12" s="14" t="n">
        <f aca="false">IF(N12="","",N12/$N$94)</f>
        <v>0.00225003849622028</v>
      </c>
      <c r="V12" s="15" t="n">
        <f aca="false">IF(OR(M12="",G12=""),"",M12-G12)</f>
        <v>4</v>
      </c>
      <c r="W12" s="9" t="str">
        <f aca="false">IF(COUNT(F12,H12,J12,L12,N12)&lt;5,"Partial-period row",IF(ISNUMBER(Q12),IF(ABS(Q12)&gt;0.1,"MoM move &gt; ±10%",""),""))</f>
        <v/>
      </c>
      <c r="X12" s="9"/>
    </row>
    <row r="13" customFormat="false" ht="15" hidden="false" customHeight="false" outlineLevel="0" collapsed="false">
      <c r="A13" s="9" t="n">
        <v>7</v>
      </c>
      <c r="B13" s="9" t="s">
        <v>64</v>
      </c>
      <c r="C13" s="9" t="s">
        <v>64</v>
      </c>
      <c r="D13" s="9" t="s">
        <v>63</v>
      </c>
      <c r="E13" s="10" t="n">
        <v>1</v>
      </c>
      <c r="F13" s="11" t="n">
        <v>0</v>
      </c>
      <c r="G13" s="10" t="n">
        <v>1</v>
      </c>
      <c r="H13" s="11" t="n">
        <v>0</v>
      </c>
      <c r="I13" s="10" t="n">
        <v>1</v>
      </c>
      <c r="J13" s="11" t="n">
        <v>0</v>
      </c>
      <c r="K13" s="10" t="n">
        <v>1</v>
      </c>
      <c r="L13" s="11" t="n">
        <v>0</v>
      </c>
      <c r="M13" s="10" t="n">
        <v>1</v>
      </c>
      <c r="N13" s="11" t="n">
        <v>0</v>
      </c>
      <c r="O13" s="12" t="n">
        <f aca="false">IF(OR(M13="",M13=0),"",N13*100/M13)</f>
        <v>0</v>
      </c>
      <c r="P13" s="13" t="n">
        <f aca="false">IF(OR(N13="",H13=""),"",N13-H13)</f>
        <v>0</v>
      </c>
      <c r="Q13" s="14" t="str">
        <f aca="false">IF(OR(N13="",H13="",H13=0),"n/a",N13/H13-1)</f>
        <v>n/a</v>
      </c>
      <c r="R13" s="14" t="str">
        <f aca="false">IF(OR(N13="",F13="",F13=0),"n/a",N13/F13-1)</f>
        <v>n/a</v>
      </c>
      <c r="S13" s="14" t="str">
        <f aca="false">IF(OR(N13="",L13="",L13=0),"n/a",N13/L13-1)</f>
        <v>n/a</v>
      </c>
      <c r="T13" s="14" t="str">
        <f aca="false">IF(OR(J13="",H13="",H13=0),"n/a",J13/H13-1)</f>
        <v>n/a</v>
      </c>
      <c r="U13" s="14" t="n">
        <f aca="false">IF(N13="","",N13/$N$94)</f>
        <v>0</v>
      </c>
      <c r="V13" s="15" t="n">
        <f aca="false">IF(OR(M13="",G13=""),"",M13-G13)</f>
        <v>0</v>
      </c>
      <c r="W13" s="9" t="str">
        <f aca="false">IF(COUNT(F13,H13,J13,L13,N13)&lt;5,"Partial-period row",IF(ISNUMBER(Q13),IF(ABS(Q13)&gt;0.1,"MoM move &gt; ±10%",""),""))</f>
        <v/>
      </c>
      <c r="X13" s="9"/>
    </row>
    <row r="14" customFormat="false" ht="15" hidden="false" customHeight="false" outlineLevel="0" collapsed="false">
      <c r="A14" s="9" t="n">
        <v>8</v>
      </c>
      <c r="B14" s="9" t="s">
        <v>65</v>
      </c>
      <c r="C14" s="9" t="s">
        <v>66</v>
      </c>
      <c r="D14" s="9" t="s">
        <v>67</v>
      </c>
      <c r="E14" s="10" t="n">
        <v>9</v>
      </c>
      <c r="F14" s="11" t="n">
        <v>0.02</v>
      </c>
      <c r="G14" s="10" t="n">
        <v>8</v>
      </c>
      <c r="H14" s="11" t="n">
        <v>0.02</v>
      </c>
      <c r="I14" s="10" t="n">
        <v>8</v>
      </c>
      <c r="J14" s="11" t="n">
        <v>0.02</v>
      </c>
      <c r="K14" s="10" t="n">
        <v>8</v>
      </c>
      <c r="L14" s="11" t="n">
        <v>0.02</v>
      </c>
      <c r="M14" s="10" t="n">
        <v>8</v>
      </c>
      <c r="N14" s="11" t="n">
        <v>0.02</v>
      </c>
      <c r="O14" s="12" t="n">
        <f aca="false">IF(OR(M14="",M14=0),"",N14*100/M14)</f>
        <v>0.25</v>
      </c>
      <c r="P14" s="13" t="n">
        <f aca="false">IF(OR(N14="",H14=""),"",N14-H14)</f>
        <v>0</v>
      </c>
      <c r="Q14" s="14" t="n">
        <f aca="false">IF(OR(N14="",H14="",H14=0),"n/a",N14/H14-1)</f>
        <v>0</v>
      </c>
      <c r="R14" s="14" t="n">
        <f aca="false">IF(OR(N14="",F14="",F14=0),"n/a",N14/F14-1)</f>
        <v>0</v>
      </c>
      <c r="S14" s="14" t="n">
        <f aca="false">IF(OR(N14="",L14="",L14=0),"n/a",N14/L14-1)</f>
        <v>0</v>
      </c>
      <c r="T14" s="14" t="n">
        <f aca="false">IF(OR(J14="",H14="",H14=0),"n/a",J14/H14-1)</f>
        <v>0</v>
      </c>
      <c r="U14" s="14" t="n">
        <f aca="false">IF(N14="","",N14/$N$94)</f>
        <v>1.84082344450649E-007</v>
      </c>
      <c r="V14" s="15" t="n">
        <f aca="false">IF(OR(M14="",G14=""),"",M14-G14)</f>
        <v>0</v>
      </c>
      <c r="W14" s="9" t="str">
        <f aca="false">IF(COUNT(F14,H14,J14,L14,N14)&lt;5,"Partial-period row",IF(ISNUMBER(Q14),IF(ABS(Q14)&gt;0.1,"MoM move &gt; ±10%",""),""))</f>
        <v/>
      </c>
      <c r="X14" s="9"/>
    </row>
    <row r="15" customFormat="false" ht="15" hidden="false" customHeight="false" outlineLevel="0" collapsed="false">
      <c r="A15" s="9" t="n">
        <v>9</v>
      </c>
      <c r="B15" s="9" t="s">
        <v>65</v>
      </c>
      <c r="C15" s="9" t="s">
        <v>66</v>
      </c>
      <c r="D15" s="9" t="s">
        <v>68</v>
      </c>
      <c r="E15" s="10" t="n">
        <v>16704</v>
      </c>
      <c r="F15" s="11" t="n">
        <v>2506.17</v>
      </c>
      <c r="G15" s="10" t="n">
        <v>17223</v>
      </c>
      <c r="H15" s="11" t="n">
        <v>2571.04</v>
      </c>
      <c r="I15" s="10" t="n">
        <v>17360</v>
      </c>
      <c r="J15" s="11" t="n">
        <v>2603.03</v>
      </c>
      <c r="K15" s="10" t="n">
        <v>17395</v>
      </c>
      <c r="L15" s="11" t="n">
        <v>2607.11</v>
      </c>
      <c r="M15" s="10" t="n">
        <v>17704</v>
      </c>
      <c r="N15" s="11" t="n">
        <v>2633.22</v>
      </c>
      <c r="O15" s="12" t="n">
        <f aca="false">IF(OR(M15="",M15=0),"",N15*100/M15)</f>
        <v>14.8735878897424</v>
      </c>
      <c r="P15" s="13" t="n">
        <f aca="false">IF(OR(N15="",H15=""),"",N15-H15)</f>
        <v>62.1799999999998</v>
      </c>
      <c r="Q15" s="14" t="n">
        <f aca="false">IF(OR(N15="",H15="",H15=0),"n/a",N15/H15-1)</f>
        <v>0.0241847656979277</v>
      </c>
      <c r="R15" s="14" t="n">
        <f aca="false">IF(OR(N15="",F15="",F15=0),"n/a",N15/F15-1)</f>
        <v>0.0506948850237612</v>
      </c>
      <c r="S15" s="14" t="n">
        <f aca="false">IF(OR(N15="",L15="",L15=0),"n/a",N15/L15-1)</f>
        <v>0.0100149207359872</v>
      </c>
      <c r="T15" s="14" t="n">
        <f aca="false">IF(OR(J15="",H15="",H15=0),"n/a",J15/H15-1)</f>
        <v>0.0124424357458461</v>
      </c>
      <c r="U15" s="14" t="n">
        <f aca="false">IF(N15="","",N15/$N$94)</f>
        <v>0.0242364655527169</v>
      </c>
      <c r="V15" s="15" t="n">
        <f aca="false">IF(OR(M15="",G15=""),"",M15-G15)</f>
        <v>481</v>
      </c>
      <c r="W15" s="9" t="str">
        <f aca="false">IF(COUNT(F15,H15,J15,L15,N15)&lt;5,"Partial-period row",IF(ISNUMBER(Q15),IF(ABS(Q15)&gt;0.1,"MoM move &gt; ±10%",""),""))</f>
        <v/>
      </c>
      <c r="X15" s="9"/>
    </row>
    <row r="16" customFormat="false" ht="15" hidden="false" customHeight="false" outlineLevel="0" collapsed="false">
      <c r="A16" s="9" t="n">
        <v>10</v>
      </c>
      <c r="B16" s="9" t="s">
        <v>65</v>
      </c>
      <c r="C16" s="9" t="s">
        <v>69</v>
      </c>
      <c r="D16" s="9" t="s">
        <v>70</v>
      </c>
      <c r="E16" s="10" t="n">
        <v>3978</v>
      </c>
      <c r="F16" s="11" t="n">
        <v>1216.48</v>
      </c>
      <c r="G16" s="10" t="n">
        <v>4025</v>
      </c>
      <c r="H16" s="11" t="n">
        <v>1218.53</v>
      </c>
      <c r="I16" s="10" t="n">
        <v>4060</v>
      </c>
      <c r="J16" s="11" t="n">
        <v>1232.04</v>
      </c>
      <c r="K16" s="10" t="n">
        <v>4066</v>
      </c>
      <c r="L16" s="11" t="n">
        <v>1234.15</v>
      </c>
      <c r="M16" s="10" t="n">
        <v>4078</v>
      </c>
      <c r="N16" s="11" t="n">
        <v>1234.75</v>
      </c>
      <c r="O16" s="12" t="n">
        <f aca="false">IF(OR(M16="",M16=0),"",N16*100/M16)</f>
        <v>30.2783227072094</v>
      </c>
      <c r="P16" s="13" t="n">
        <f aca="false">IF(OR(N16="",H16=""),"",N16-H16)</f>
        <v>16.22</v>
      </c>
      <c r="Q16" s="14" t="n">
        <f aca="false">IF(OR(N16="",H16="",H16=0),"n/a",N16/H16-1)</f>
        <v>0.0133111207766736</v>
      </c>
      <c r="R16" s="14" t="n">
        <f aca="false">IF(OR(N16="",F16="",F16=0),"n/a",N16/F16-1)</f>
        <v>0.0150187426016046</v>
      </c>
      <c r="S16" s="14" t="n">
        <f aca="false">IF(OR(N16="",L16="",L16=0),"n/a",N16/L16-1)</f>
        <v>0.000486164566705805</v>
      </c>
      <c r="T16" s="14" t="n">
        <f aca="false">IF(OR(J16="",H16="",H16=0),"n/a",J16/H16-1)</f>
        <v>0.011087129574159</v>
      </c>
      <c r="U16" s="14" t="n">
        <f aca="false">IF(N16="","",N16/$N$94)</f>
        <v>0.0113647837405219</v>
      </c>
      <c r="V16" s="15" t="n">
        <f aca="false">IF(OR(M16="",G16=""),"",M16-G16)</f>
        <v>53</v>
      </c>
      <c r="W16" s="9" t="str">
        <f aca="false">IF(COUNT(F16,H16,J16,L16,N16)&lt;5,"Partial-period row",IF(ISNUMBER(Q16),IF(ABS(Q16)&gt;0.1,"MoM move &gt; ±10%",""),""))</f>
        <v/>
      </c>
      <c r="X16" s="9"/>
    </row>
    <row r="17" customFormat="false" ht="15" hidden="false" customHeight="false" outlineLevel="0" collapsed="false">
      <c r="A17" s="9" t="n">
        <v>11</v>
      </c>
      <c r="B17" s="9" t="s">
        <v>65</v>
      </c>
      <c r="C17" s="9" t="s">
        <v>71</v>
      </c>
      <c r="D17" s="9" t="s">
        <v>72</v>
      </c>
      <c r="E17" s="10"/>
      <c r="F17" s="11"/>
      <c r="G17" s="10"/>
      <c r="H17" s="11"/>
      <c r="I17" s="10"/>
      <c r="J17" s="11"/>
      <c r="K17" s="10"/>
      <c r="L17" s="11"/>
      <c r="M17" s="10" t="n">
        <v>1</v>
      </c>
      <c r="N17" s="11" t="n">
        <v>0.11</v>
      </c>
      <c r="O17" s="12" t="n">
        <f aca="false">IF(OR(M17="",M17=0),"",N17*100/M17)</f>
        <v>11</v>
      </c>
      <c r="P17" s="13" t="str">
        <f aca="false">IF(OR(N17="",H17=""),"",N17-H17)</f>
        <v/>
      </c>
      <c r="Q17" s="14" t="str">
        <f aca="false">IF(OR(N17="",H17="",H17=0),"n/a",N17/H17-1)</f>
        <v>n/a</v>
      </c>
      <c r="R17" s="14" t="str">
        <f aca="false">IF(OR(N17="",F17="",F17=0),"n/a",N17/F17-1)</f>
        <v>n/a</v>
      </c>
      <c r="S17" s="14" t="str">
        <f aca="false">IF(OR(N17="",L17="",L17=0),"n/a",N17/L17-1)</f>
        <v>n/a</v>
      </c>
      <c r="T17" s="14" t="str">
        <f aca="false">IF(OR(J17="",H17="",H17=0),"n/a",J17/H17-1)</f>
        <v>n/a</v>
      </c>
      <c r="U17" s="14" t="n">
        <f aca="false">IF(N17="","",N17/$N$94)</f>
        <v>1.01245289447857E-006</v>
      </c>
      <c r="V17" s="15" t="str">
        <f aca="false">IF(OR(M17="",G17=""),"",M17-G17)</f>
        <v/>
      </c>
      <c r="W17" s="9" t="str">
        <f aca="false">IF(COUNT(F17,H17,J17,L17,N17)&lt;5,"Partial-period row",IF(ISNUMBER(Q17),IF(ABS(Q17)&gt;0.1,"MoM move &gt; ±10%",""),""))</f>
        <v>Partial-period row</v>
      </c>
      <c r="X17" s="9"/>
    </row>
    <row r="18" customFormat="false" ht="15" hidden="false" customHeight="false" outlineLevel="0" collapsed="false">
      <c r="A18" s="9" t="n">
        <v>12</v>
      </c>
      <c r="B18" s="9" t="s">
        <v>65</v>
      </c>
      <c r="C18" s="9" t="s">
        <v>73</v>
      </c>
      <c r="D18" s="9" t="s">
        <v>74</v>
      </c>
      <c r="E18" s="10" t="n">
        <v>6879</v>
      </c>
      <c r="F18" s="11" t="n">
        <v>913.5</v>
      </c>
      <c r="G18" s="10" t="n">
        <v>6815</v>
      </c>
      <c r="H18" s="11" t="n">
        <v>898.3</v>
      </c>
      <c r="I18" s="10" t="n">
        <v>6798</v>
      </c>
      <c r="J18" s="11" t="n">
        <v>954.73</v>
      </c>
      <c r="K18" s="10" t="n">
        <v>6797</v>
      </c>
      <c r="L18" s="11" t="n">
        <v>954.73</v>
      </c>
      <c r="M18" s="10" t="n">
        <v>6920</v>
      </c>
      <c r="N18" s="11" t="n">
        <v>938.53</v>
      </c>
      <c r="O18" s="12" t="n">
        <f aca="false">IF(OR(M18="",M18=0),"",N18*100/M18)</f>
        <v>13.5625722543353</v>
      </c>
      <c r="P18" s="13" t="n">
        <f aca="false">IF(OR(N18="",H18=""),"",N18-H18)</f>
        <v>40.23</v>
      </c>
      <c r="Q18" s="14" t="n">
        <f aca="false">IF(OR(N18="",H18="",H18=0),"n/a",N18/H18-1)</f>
        <v>0.0447845931203383</v>
      </c>
      <c r="R18" s="14" t="n">
        <f aca="false">IF(OR(N18="",F18="",F18=0),"n/a",N18/F18-1)</f>
        <v>0.027400109469075</v>
      </c>
      <c r="S18" s="14" t="n">
        <f aca="false">IF(OR(N18="",L18="",L18=0),"n/a",N18/L18-1)</f>
        <v>-0.0169681480628031</v>
      </c>
      <c r="T18" s="14" t="n">
        <f aca="false">IF(OR(J18="",H18="",H18=0),"n/a",J18/H18-1)</f>
        <v>0.062818657464099</v>
      </c>
      <c r="U18" s="14" t="n">
        <f aca="false">IF(N18="","",N18/$N$94)</f>
        <v>0.00863834013686338</v>
      </c>
      <c r="V18" s="15" t="n">
        <f aca="false">IF(OR(M18="",G18=""),"",M18-G18)</f>
        <v>105</v>
      </c>
      <c r="W18" s="9" t="str">
        <f aca="false">IF(COUNT(F18,H18,J18,L18,N18)&lt;5,"Partial-period row",IF(ISNUMBER(Q18),IF(ABS(Q18)&gt;0.1,"MoM move &gt; ±10%",""),""))</f>
        <v/>
      </c>
      <c r="X18" s="9"/>
    </row>
    <row r="19" customFormat="false" ht="15" hidden="false" customHeight="false" outlineLevel="0" collapsed="false">
      <c r="A19" s="9" t="n">
        <v>13</v>
      </c>
      <c r="B19" s="9" t="s">
        <v>65</v>
      </c>
      <c r="C19" s="9" t="s">
        <v>75</v>
      </c>
      <c r="D19" s="9" t="s">
        <v>76</v>
      </c>
      <c r="E19" s="10" t="n">
        <v>5</v>
      </c>
      <c r="F19" s="11" t="n">
        <v>1.11</v>
      </c>
      <c r="G19" s="10" t="n">
        <v>5</v>
      </c>
      <c r="H19" s="11" t="n">
        <v>1.11</v>
      </c>
      <c r="I19" s="10" t="n">
        <v>5</v>
      </c>
      <c r="J19" s="11" t="n">
        <v>1.11</v>
      </c>
      <c r="K19" s="10" t="n">
        <v>5</v>
      </c>
      <c r="L19" s="11" t="n">
        <v>1.11</v>
      </c>
      <c r="M19" s="10" t="n">
        <v>4</v>
      </c>
      <c r="N19" s="11" t="n">
        <v>1.1</v>
      </c>
      <c r="O19" s="12" t="n">
        <f aca="false">IF(OR(M19="",M19=0),"",N19*100/M19)</f>
        <v>27.5</v>
      </c>
      <c r="P19" s="13" t="n">
        <f aca="false">IF(OR(N19="",H19=""),"",N19-H19)</f>
        <v>-0.01</v>
      </c>
      <c r="Q19" s="14" t="n">
        <f aca="false">IF(OR(N19="",H19="",H19=0),"n/a",N19/H19-1)</f>
        <v>-0.00900900900900903</v>
      </c>
      <c r="R19" s="14" t="n">
        <f aca="false">IF(OR(N19="",F19="",F19=0),"n/a",N19/F19-1)</f>
        <v>-0.00900900900900903</v>
      </c>
      <c r="S19" s="14" t="n">
        <f aca="false">IF(OR(N19="",L19="",L19=0),"n/a",N19/L19-1)</f>
        <v>-0.00900900900900903</v>
      </c>
      <c r="T19" s="14" t="n">
        <f aca="false">IF(OR(J19="",H19="",H19=0),"n/a",J19/H19-1)</f>
        <v>0</v>
      </c>
      <c r="U19" s="14" t="n">
        <f aca="false">IF(N19="","",N19/$N$94)</f>
        <v>1.01245289447857E-005</v>
      </c>
      <c r="V19" s="15" t="n">
        <f aca="false">IF(OR(M19="",G19=""),"",M19-G19)</f>
        <v>-1</v>
      </c>
      <c r="W19" s="9" t="str">
        <f aca="false">IF(COUNT(F19,H19,J19,L19,N19)&lt;5,"Partial-period row",IF(ISNUMBER(Q19),IF(ABS(Q19)&gt;0.1,"MoM move &gt; ±10%",""),""))</f>
        <v/>
      </c>
      <c r="X19" s="9"/>
    </row>
    <row r="20" customFormat="false" ht="15" hidden="false" customHeight="false" outlineLevel="0" collapsed="false">
      <c r="A20" s="9" t="n">
        <v>14</v>
      </c>
      <c r="B20" s="9" t="s">
        <v>65</v>
      </c>
      <c r="C20" s="9" t="s">
        <v>75</v>
      </c>
      <c r="D20" s="9" t="s">
        <v>68</v>
      </c>
      <c r="E20" s="10" t="n">
        <v>25</v>
      </c>
      <c r="F20" s="11" t="n">
        <v>1.4</v>
      </c>
      <c r="G20" s="10" t="n">
        <v>25</v>
      </c>
      <c r="H20" s="11" t="n">
        <v>1.4</v>
      </c>
      <c r="I20" s="10" t="n">
        <v>25</v>
      </c>
      <c r="J20" s="11" t="n">
        <v>1.4</v>
      </c>
      <c r="K20" s="10" t="n">
        <v>25</v>
      </c>
      <c r="L20" s="11" t="n">
        <v>1.4</v>
      </c>
      <c r="M20" s="10" t="n">
        <v>25</v>
      </c>
      <c r="N20" s="11" t="n">
        <v>1.34</v>
      </c>
      <c r="O20" s="12" t="n">
        <f aca="false">IF(OR(M20="",M20=0),"",N20*100/M20)</f>
        <v>5.36</v>
      </c>
      <c r="P20" s="13" t="n">
        <f aca="false">IF(OR(N20="",H20=""),"",N20-H20)</f>
        <v>-0.0599999999999998</v>
      </c>
      <c r="Q20" s="14" t="n">
        <f aca="false">IF(OR(N20="",H20="",H20=0),"n/a",N20/H20-1)</f>
        <v>-0.0428571428571427</v>
      </c>
      <c r="R20" s="14" t="n">
        <f aca="false">IF(OR(N20="",F20="",F20=0),"n/a",N20/F20-1)</f>
        <v>-0.0428571428571427</v>
      </c>
      <c r="S20" s="14" t="n">
        <f aca="false">IF(OR(N20="",L20="",L20=0),"n/a",N20/L20-1)</f>
        <v>-0.0428571428571427</v>
      </c>
      <c r="T20" s="14" t="n">
        <f aca="false">IF(OR(J20="",H20="",H20=0),"n/a",J20/H20-1)</f>
        <v>0</v>
      </c>
      <c r="U20" s="14" t="n">
        <f aca="false">IF(N20="","",N20/$N$94)</f>
        <v>1.23335170781935E-005</v>
      </c>
      <c r="V20" s="15" t="n">
        <f aca="false">IF(OR(M20="",G20=""),"",M20-G20)</f>
        <v>0</v>
      </c>
      <c r="W20" s="9" t="str">
        <f aca="false">IF(COUNT(F20,H20,J20,L20,N20)&lt;5,"Partial-period row",IF(ISNUMBER(Q20),IF(ABS(Q20)&gt;0.1,"MoM move &gt; ±10%",""),""))</f>
        <v/>
      </c>
      <c r="X20" s="9"/>
    </row>
    <row r="21" customFormat="false" ht="15" hidden="false" customHeight="false" outlineLevel="0" collapsed="false">
      <c r="A21" s="9" t="n">
        <v>15</v>
      </c>
      <c r="B21" s="9" t="s">
        <v>65</v>
      </c>
      <c r="C21" s="9" t="s">
        <v>77</v>
      </c>
      <c r="D21" s="9" t="s">
        <v>78</v>
      </c>
      <c r="E21" s="10" t="n">
        <v>7887</v>
      </c>
      <c r="F21" s="11" t="n">
        <v>4303</v>
      </c>
      <c r="G21" s="10" t="n">
        <v>7877</v>
      </c>
      <c r="H21" s="11" t="n">
        <v>4273.33</v>
      </c>
      <c r="I21" s="10" t="n">
        <v>7883</v>
      </c>
      <c r="J21" s="11" t="n">
        <v>4293.31</v>
      </c>
      <c r="K21" s="10" t="n">
        <v>7884</v>
      </c>
      <c r="L21" s="11" t="n">
        <v>4289.46</v>
      </c>
      <c r="M21" s="10" t="n">
        <v>7892</v>
      </c>
      <c r="N21" s="11" t="n">
        <v>4268.24</v>
      </c>
      <c r="O21" s="12" t="n">
        <f aca="false">IF(OR(M21="",M21=0),"",N21*100/M21)</f>
        <v>54.0831221490117</v>
      </c>
      <c r="P21" s="13" t="n">
        <f aca="false">IF(OR(N21="",H21=""),"",N21-H21)</f>
        <v>-5.09000000000015</v>
      </c>
      <c r="Q21" s="14" t="n">
        <f aca="false">IF(OR(N21="",H21="",H21=0),"n/a",N21/H21-1)</f>
        <v>-0.00119110857340765</v>
      </c>
      <c r="R21" s="14" t="n">
        <f aca="false">IF(OR(N21="",F21="",F21=0),"n/a",N21/F21-1)</f>
        <v>-0.00807808505693708</v>
      </c>
      <c r="S21" s="14" t="n">
        <f aca="false">IF(OR(N21="",L21="",L21=0),"n/a",N21/L21-1)</f>
        <v>-0.00494700964690198</v>
      </c>
      <c r="T21" s="14" t="n">
        <f aca="false">IF(OR(J21="",H21="",H21=0),"n/a",J21/H21-1)</f>
        <v>0.00467551066732508</v>
      </c>
      <c r="U21" s="14" t="n">
        <f aca="false">IF(N21="","",N21/$N$94)</f>
        <v>0.0392853812939019</v>
      </c>
      <c r="V21" s="15" t="n">
        <f aca="false">IF(OR(M21="",G21=""),"",M21-G21)</f>
        <v>15</v>
      </c>
      <c r="W21" s="9" t="str">
        <f aca="false">IF(COUNT(F21,H21,J21,L21,N21)&lt;5,"Partial-period row",IF(ISNUMBER(Q21),IF(ABS(Q21)&gt;0.1,"MoM move &gt; ±10%",""),""))</f>
        <v/>
      </c>
      <c r="X21" s="9"/>
    </row>
    <row r="22" customFormat="false" ht="15" hidden="false" customHeight="false" outlineLevel="0" collapsed="false">
      <c r="A22" s="9" t="n">
        <v>16</v>
      </c>
      <c r="B22" s="9" t="s">
        <v>79</v>
      </c>
      <c r="C22" s="9" t="s">
        <v>80</v>
      </c>
      <c r="D22" s="9" t="s">
        <v>60</v>
      </c>
      <c r="E22" s="10" t="n">
        <v>203</v>
      </c>
      <c r="F22" s="11" t="n">
        <v>152.99</v>
      </c>
      <c r="G22" s="10" t="n">
        <v>201</v>
      </c>
      <c r="H22" s="11" t="n">
        <v>151.99</v>
      </c>
      <c r="I22" s="10" t="n">
        <v>202</v>
      </c>
      <c r="J22" s="11" t="n">
        <v>152.46</v>
      </c>
      <c r="K22" s="10" t="n">
        <v>202</v>
      </c>
      <c r="L22" s="11" t="n">
        <v>150.97</v>
      </c>
      <c r="M22" s="10" t="n">
        <v>199</v>
      </c>
      <c r="N22" s="11" t="n">
        <v>154.2</v>
      </c>
      <c r="O22" s="12" t="n">
        <f aca="false">IF(OR(M22="",M22=0),"",N22*100/M22)</f>
        <v>77.4874371859296</v>
      </c>
      <c r="P22" s="13" t="n">
        <f aca="false">IF(OR(N22="",H22=""),"",N22-H22)</f>
        <v>2.20999999999998</v>
      </c>
      <c r="Q22" s="14" t="n">
        <f aca="false">IF(OR(N22="",H22="",H22=0),"n/a",N22/H22-1)</f>
        <v>0.0145404302914665</v>
      </c>
      <c r="R22" s="14" t="n">
        <f aca="false">IF(OR(N22="",F22="",F22=0),"n/a",N22/F22-1)</f>
        <v>0.00790901366102337</v>
      </c>
      <c r="S22" s="14" t="n">
        <f aca="false">IF(OR(N22="",L22="",L22=0),"n/a",N22/L22-1)</f>
        <v>0.0213949791349275</v>
      </c>
      <c r="T22" s="14" t="n">
        <f aca="false">IF(OR(J22="",H22="",H22=0),"n/a",J22/H22-1)</f>
        <v>0.00309230870452004</v>
      </c>
      <c r="U22" s="14" t="n">
        <f aca="false">IF(N22="","",N22/$N$94)</f>
        <v>0.0014192748757145</v>
      </c>
      <c r="V22" s="15" t="n">
        <f aca="false">IF(OR(M22="",G22=""),"",M22-G22)</f>
        <v>-2</v>
      </c>
      <c r="W22" s="9" t="str">
        <f aca="false">IF(COUNT(F22,H22,J22,L22,N22)&lt;5,"Partial-period row",IF(ISNUMBER(Q22),IF(ABS(Q22)&gt;0.1,"MoM move &gt; ±10%",""),""))</f>
        <v/>
      </c>
      <c r="X22" s="9"/>
    </row>
    <row r="23" customFormat="false" ht="15" hidden="false" customHeight="false" outlineLevel="0" collapsed="false">
      <c r="A23" s="9" t="n">
        <v>17</v>
      </c>
      <c r="B23" s="9" t="s">
        <v>79</v>
      </c>
      <c r="C23" s="9" t="s">
        <v>80</v>
      </c>
      <c r="D23" s="9" t="s">
        <v>62</v>
      </c>
      <c r="E23" s="10" t="n">
        <v>112</v>
      </c>
      <c r="F23" s="11" t="n">
        <v>16.13</v>
      </c>
      <c r="G23" s="10" t="n">
        <v>111</v>
      </c>
      <c r="H23" s="11" t="n">
        <v>15.98</v>
      </c>
      <c r="I23" s="10" t="n">
        <v>111</v>
      </c>
      <c r="J23" s="11" t="n">
        <v>15.98</v>
      </c>
      <c r="K23" s="10" t="n">
        <v>111</v>
      </c>
      <c r="L23" s="11" t="n">
        <v>15.96</v>
      </c>
      <c r="M23" s="10" t="n">
        <v>110</v>
      </c>
      <c r="N23" s="11" t="n">
        <v>15.88</v>
      </c>
      <c r="O23" s="12" t="n">
        <f aca="false">IF(OR(M23="",M23=0),"",N23*100/M23)</f>
        <v>14.4363636363636</v>
      </c>
      <c r="P23" s="13" t="n">
        <f aca="false">IF(OR(N23="",H23=""),"",N23-H23)</f>
        <v>-0.0999999999999996</v>
      </c>
      <c r="Q23" s="14" t="n">
        <f aca="false">IF(OR(N23="",H23="",H23=0),"n/a",N23/H23-1)</f>
        <v>-0.00625782227784733</v>
      </c>
      <c r="R23" s="14" t="n">
        <f aca="false">IF(OR(N23="",F23="",F23=0),"n/a",N23/F23-1)</f>
        <v>-0.0154990700557965</v>
      </c>
      <c r="S23" s="14" t="n">
        <f aca="false">IF(OR(N23="",L23="",L23=0),"n/a",N23/L23-1)</f>
        <v>-0.0050125313283208</v>
      </c>
      <c r="T23" s="14" t="n">
        <f aca="false">IF(OR(J23="",H23="",H23=0),"n/a",J23/H23-1)</f>
        <v>0</v>
      </c>
      <c r="U23" s="14" t="n">
        <f aca="false">IF(N23="","",N23/$N$94)</f>
        <v>0.000146161381493815</v>
      </c>
      <c r="V23" s="15" t="n">
        <f aca="false">IF(OR(M23="",G23=""),"",M23-G23)</f>
        <v>-1</v>
      </c>
      <c r="W23" s="9" t="str">
        <f aca="false">IF(COUNT(F23,H23,J23,L23,N23)&lt;5,"Partial-period row",IF(ISNUMBER(Q23),IF(ABS(Q23)&gt;0.1,"MoM move &gt; ±10%",""),""))</f>
        <v/>
      </c>
      <c r="X23" s="9"/>
    </row>
    <row r="24" customFormat="false" ht="15" hidden="false" customHeight="false" outlineLevel="0" collapsed="false">
      <c r="A24" s="9" t="n">
        <v>18</v>
      </c>
      <c r="B24" s="9" t="s">
        <v>79</v>
      </c>
      <c r="C24" s="9" t="s">
        <v>81</v>
      </c>
      <c r="D24" s="9" t="s">
        <v>62</v>
      </c>
      <c r="E24" s="10" t="n">
        <v>5</v>
      </c>
      <c r="F24" s="11" t="n">
        <v>2.79</v>
      </c>
      <c r="G24" s="10" t="n">
        <v>5</v>
      </c>
      <c r="H24" s="11" t="n">
        <v>2.78</v>
      </c>
      <c r="I24" s="10" t="n">
        <v>5</v>
      </c>
      <c r="J24" s="11" t="n">
        <v>2.78</v>
      </c>
      <c r="K24" s="10" t="n">
        <v>5</v>
      </c>
      <c r="L24" s="11" t="n">
        <v>2.78</v>
      </c>
      <c r="M24" s="10" t="n">
        <v>5</v>
      </c>
      <c r="N24" s="11" t="n">
        <v>2.77</v>
      </c>
      <c r="O24" s="12" t="n">
        <f aca="false">IF(OR(M24="",M24=0),"",N24*100/M24)</f>
        <v>55.4</v>
      </c>
      <c r="P24" s="13" t="n">
        <f aca="false">IF(OR(N24="",H24=""),"",N24-H24)</f>
        <v>-0.00999999999999979</v>
      </c>
      <c r="Q24" s="14" t="n">
        <f aca="false">IF(OR(N24="",H24="",H24=0),"n/a",N24/H24-1)</f>
        <v>-0.00359712230215825</v>
      </c>
      <c r="R24" s="14" t="n">
        <f aca="false">IF(OR(N24="",F24="",F24=0),"n/a",N24/F24-1)</f>
        <v>-0.00716845878136196</v>
      </c>
      <c r="S24" s="14" t="n">
        <f aca="false">IF(OR(N24="",L24="",L24=0),"n/a",N24/L24-1)</f>
        <v>-0.00359712230215825</v>
      </c>
      <c r="T24" s="14" t="n">
        <f aca="false">IF(OR(J24="",H24="",H24=0),"n/a",J24/H24-1)</f>
        <v>0</v>
      </c>
      <c r="U24" s="14" t="n">
        <f aca="false">IF(N24="","",N24/$N$94)</f>
        <v>2.54954047064149E-005</v>
      </c>
      <c r="V24" s="15" t="n">
        <f aca="false">IF(OR(M24="",G24=""),"",M24-G24)</f>
        <v>0</v>
      </c>
      <c r="W24" s="9" t="str">
        <f aca="false">IF(COUNT(F24,H24,J24,L24,N24)&lt;5,"Partial-period row",IF(ISNUMBER(Q24),IF(ABS(Q24)&gt;0.1,"MoM move &gt; ±10%",""),""))</f>
        <v/>
      </c>
      <c r="X24" s="9"/>
    </row>
    <row r="25" customFormat="false" ht="15" hidden="false" customHeight="false" outlineLevel="0" collapsed="false">
      <c r="A25" s="9" t="n">
        <v>19</v>
      </c>
      <c r="B25" s="9" t="s">
        <v>79</v>
      </c>
      <c r="C25" s="9" t="s">
        <v>79</v>
      </c>
      <c r="D25" s="9" t="s">
        <v>60</v>
      </c>
      <c r="E25" s="10" t="n">
        <v>4922</v>
      </c>
      <c r="F25" s="11" t="n">
        <v>8758.33</v>
      </c>
      <c r="G25" s="10" t="n">
        <v>5015</v>
      </c>
      <c r="H25" s="11" t="n">
        <v>8930.04</v>
      </c>
      <c r="I25" s="10" t="n">
        <v>5109</v>
      </c>
      <c r="J25" s="11" t="n">
        <v>9173.53</v>
      </c>
      <c r="K25" s="10" t="n">
        <v>5106</v>
      </c>
      <c r="L25" s="11" t="n">
        <v>9159.17</v>
      </c>
      <c r="M25" s="10" t="n">
        <v>5154</v>
      </c>
      <c r="N25" s="11" t="n">
        <v>9205.58</v>
      </c>
      <c r="O25" s="12" t="n">
        <f aca="false">IF(OR(M25="",M25=0),"",N25*100/M25)</f>
        <v>178.610399689562</v>
      </c>
      <c r="P25" s="13" t="n">
        <f aca="false">IF(OR(N25="",H25=""),"",N25-H25)</f>
        <v>275.539999999999</v>
      </c>
      <c r="Q25" s="14" t="n">
        <f aca="false">IF(OR(N25="",H25="",H25=0),"n/a",N25/H25-1)</f>
        <v>0.0308554049030014</v>
      </c>
      <c r="R25" s="14" t="n">
        <f aca="false">IF(OR(N25="",F25="",F25=0),"n/a",N25/F25-1)</f>
        <v>0.0510656711953077</v>
      </c>
      <c r="S25" s="14" t="n">
        <f aca="false">IF(OR(N25="",L25="",L25=0),"n/a",N25/L25-1)</f>
        <v>0.00506705301899624</v>
      </c>
      <c r="T25" s="14" t="n">
        <f aca="false">IF(OR(J25="",H25="",H25=0),"n/a",J25/H25-1)</f>
        <v>0.0272663952233136</v>
      </c>
      <c r="U25" s="14" t="n">
        <f aca="false">IF(N25="","",N25/$N$94)</f>
        <v>0.0847292374214003</v>
      </c>
      <c r="V25" s="15" t="n">
        <f aca="false">IF(OR(M25="",G25=""),"",M25-G25)</f>
        <v>139</v>
      </c>
      <c r="W25" s="9" t="str">
        <f aca="false">IF(COUNT(F25,H25,J25,L25,N25)&lt;5,"Partial-period row",IF(ISNUMBER(Q25),IF(ABS(Q25)&gt;0.1,"MoM move &gt; ±10%",""),""))</f>
        <v/>
      </c>
      <c r="X25" s="9"/>
    </row>
    <row r="26" customFormat="false" ht="15" hidden="false" customHeight="false" outlineLevel="0" collapsed="false">
      <c r="A26" s="9" t="n">
        <v>20</v>
      </c>
      <c r="B26" s="9" t="s">
        <v>79</v>
      </c>
      <c r="C26" s="9" t="s">
        <v>79</v>
      </c>
      <c r="D26" s="9" t="s">
        <v>62</v>
      </c>
      <c r="E26" s="10" t="n">
        <v>1710</v>
      </c>
      <c r="F26" s="11" t="n">
        <v>922.84</v>
      </c>
      <c r="G26" s="10" t="n">
        <v>1683</v>
      </c>
      <c r="H26" s="11" t="n">
        <v>899.27</v>
      </c>
      <c r="I26" s="10" t="n">
        <v>1680</v>
      </c>
      <c r="J26" s="11" t="n">
        <v>895.83</v>
      </c>
      <c r="K26" s="10" t="n">
        <v>1672</v>
      </c>
      <c r="L26" s="11" t="n">
        <v>892</v>
      </c>
      <c r="M26" s="10" t="n">
        <v>1645</v>
      </c>
      <c r="N26" s="11" t="n">
        <v>865.13</v>
      </c>
      <c r="O26" s="12" t="n">
        <f aca="false">IF(OR(M26="",M26=0),"",N26*100/M26)</f>
        <v>52.5914893617021</v>
      </c>
      <c r="P26" s="13" t="n">
        <f aca="false">IF(OR(N26="",H26=""),"",N26-H26)</f>
        <v>-34.14</v>
      </c>
      <c r="Q26" s="14" t="n">
        <f aca="false">IF(OR(N26="",H26="",H26=0),"n/a",N26/H26-1)</f>
        <v>-0.0379641264581271</v>
      </c>
      <c r="R26" s="14" t="n">
        <f aca="false">IF(OR(N26="",F26="",F26=0),"n/a",N26/F26-1)</f>
        <v>-0.0625352173724589</v>
      </c>
      <c r="S26" s="14" t="n">
        <f aca="false">IF(OR(N26="",L26="",L26=0),"n/a",N26/L26-1)</f>
        <v>-0.0301233183856502</v>
      </c>
      <c r="T26" s="14" t="n">
        <f aca="false">IF(OR(J26="",H26="",H26=0),"n/a",J26/H26-1)</f>
        <v>-0.00382532498582178</v>
      </c>
      <c r="U26" s="14" t="n">
        <f aca="false">IF(N26="","",N26/$N$94)</f>
        <v>0.0079627579327295</v>
      </c>
      <c r="V26" s="15" t="n">
        <f aca="false">IF(OR(M26="",G26=""),"",M26-G26)</f>
        <v>-38</v>
      </c>
      <c r="W26" s="9" t="str">
        <f aca="false">IF(COUNT(F26,H26,J26,L26,N26)&lt;5,"Partial-period row",IF(ISNUMBER(Q26),IF(ABS(Q26)&gt;0.1,"MoM move &gt; ±10%",""),""))</f>
        <v/>
      </c>
      <c r="X26" s="9"/>
    </row>
    <row r="27" customFormat="false" ht="15" hidden="false" customHeight="false" outlineLevel="0" collapsed="false">
      <c r="A27" s="9" t="n">
        <v>21</v>
      </c>
      <c r="B27" s="9" t="s">
        <v>79</v>
      </c>
      <c r="C27" s="9" t="s">
        <v>82</v>
      </c>
      <c r="D27" s="9" t="s">
        <v>60</v>
      </c>
      <c r="E27" s="10" t="n">
        <v>1225</v>
      </c>
      <c r="F27" s="11" t="n">
        <v>458.47</v>
      </c>
      <c r="G27" s="10" t="n">
        <v>1213</v>
      </c>
      <c r="H27" s="11" t="n">
        <v>453.84</v>
      </c>
      <c r="I27" s="10" t="n">
        <v>1217</v>
      </c>
      <c r="J27" s="11" t="n">
        <v>454.62</v>
      </c>
      <c r="K27" s="10" t="n">
        <v>1217</v>
      </c>
      <c r="L27" s="11" t="n">
        <v>454.62</v>
      </c>
      <c r="M27" s="10" t="n">
        <v>1207</v>
      </c>
      <c r="N27" s="11" t="n">
        <v>451.35</v>
      </c>
      <c r="O27" s="12" t="n">
        <f aca="false">IF(OR(M27="",M27=0),"",N27*100/M27)</f>
        <v>37.3943661971831</v>
      </c>
      <c r="P27" s="13" t="n">
        <f aca="false">IF(OR(N27="",H27=""),"",N27-H27)</f>
        <v>-2.48999999999995</v>
      </c>
      <c r="Q27" s="14" t="n">
        <f aca="false">IF(OR(N27="",H27="",H27=0),"n/a",N27/H27-1)</f>
        <v>-0.00548651507139064</v>
      </c>
      <c r="R27" s="14" t="n">
        <f aca="false">IF(OR(N27="",F27="",F27=0),"n/a",N27/F27-1)</f>
        <v>-0.0155299147163391</v>
      </c>
      <c r="S27" s="14" t="n">
        <f aca="false">IF(OR(N27="",L27="",L27=0),"n/a",N27/L27-1)</f>
        <v>-0.00719282037745805</v>
      </c>
      <c r="T27" s="14" t="n">
        <f aca="false">IF(OR(J27="",H27="",H27=0),"n/a",J27/H27-1)</f>
        <v>0.00171866737176107</v>
      </c>
      <c r="U27" s="14" t="n">
        <f aca="false">IF(N27="","",N27/$N$94)</f>
        <v>0.00415427830839002</v>
      </c>
      <c r="V27" s="15" t="n">
        <f aca="false">IF(OR(M27="",G27=""),"",M27-G27)</f>
        <v>-6</v>
      </c>
      <c r="W27" s="9" t="str">
        <f aca="false">IF(COUNT(F27,H27,J27,L27,N27)&lt;5,"Partial-period row",IF(ISNUMBER(Q27),IF(ABS(Q27)&gt;0.1,"MoM move &gt; ±10%",""),""))</f>
        <v/>
      </c>
      <c r="X27" s="9"/>
    </row>
    <row r="28" customFormat="false" ht="15" hidden="false" customHeight="false" outlineLevel="0" collapsed="false">
      <c r="A28" s="9" t="n">
        <v>22</v>
      </c>
      <c r="B28" s="9" t="s">
        <v>79</v>
      </c>
      <c r="C28" s="9" t="s">
        <v>82</v>
      </c>
      <c r="D28" s="9" t="s">
        <v>62</v>
      </c>
      <c r="E28" s="10" t="n">
        <v>52</v>
      </c>
      <c r="F28" s="11" t="n">
        <v>16.83</v>
      </c>
      <c r="G28" s="10" t="n">
        <v>51</v>
      </c>
      <c r="H28" s="11" t="n">
        <v>16.74</v>
      </c>
      <c r="I28" s="10" t="n">
        <v>50</v>
      </c>
      <c r="J28" s="11" t="n">
        <v>15.55</v>
      </c>
      <c r="K28" s="10" t="n">
        <v>50</v>
      </c>
      <c r="L28" s="11" t="n">
        <v>15.55</v>
      </c>
      <c r="M28" s="10" t="n">
        <v>50</v>
      </c>
      <c r="N28" s="11" t="n">
        <v>16.03</v>
      </c>
      <c r="O28" s="12" t="n">
        <f aca="false">IF(OR(M28="",M28=0),"",N28*100/M28)</f>
        <v>32.06</v>
      </c>
      <c r="P28" s="13" t="n">
        <f aca="false">IF(OR(N28="",H28=""),"",N28-H28)</f>
        <v>-0.709999999999997</v>
      </c>
      <c r="Q28" s="14" t="n">
        <f aca="false">IF(OR(N28="",H28="",H28=0),"n/a",N28/H28-1)</f>
        <v>-0.0424133811230584</v>
      </c>
      <c r="R28" s="14" t="n">
        <f aca="false">IF(OR(N28="",F28="",F28=0),"n/a",N28/F28-1)</f>
        <v>-0.0475341651812239</v>
      </c>
      <c r="S28" s="14" t="n">
        <f aca="false">IF(OR(N28="",L28="",L28=0),"n/a",N28/L28-1)</f>
        <v>0.0308681672025724</v>
      </c>
      <c r="T28" s="14" t="n">
        <f aca="false">IF(OR(J28="",H28="",H28=0),"n/a",J28/H28-1)</f>
        <v>-0.0710872162485065</v>
      </c>
      <c r="U28" s="14" t="n">
        <f aca="false">IF(N28="","",N28/$N$94)</f>
        <v>0.000147541999077195</v>
      </c>
      <c r="V28" s="15" t="n">
        <f aca="false">IF(OR(M28="",G28=""),"",M28-G28)</f>
        <v>-1</v>
      </c>
      <c r="W28" s="9" t="str">
        <f aca="false">IF(COUNT(F28,H28,J28,L28,N28)&lt;5,"Partial-period row",IF(ISNUMBER(Q28),IF(ABS(Q28)&gt;0.1,"MoM move &gt; ±10%",""),""))</f>
        <v/>
      </c>
      <c r="X28" s="9"/>
    </row>
    <row r="29" customFormat="false" ht="15" hidden="false" customHeight="false" outlineLevel="0" collapsed="false">
      <c r="A29" s="9" t="n">
        <v>23</v>
      </c>
      <c r="B29" s="9" t="s">
        <v>79</v>
      </c>
      <c r="C29" s="9" t="s">
        <v>83</v>
      </c>
      <c r="D29" s="9" t="s">
        <v>60</v>
      </c>
      <c r="E29" s="10" t="n">
        <v>5142</v>
      </c>
      <c r="F29" s="11" t="n">
        <v>1868.57</v>
      </c>
      <c r="G29" s="10" t="n">
        <v>5101</v>
      </c>
      <c r="H29" s="11" t="n">
        <v>1848.01</v>
      </c>
      <c r="I29" s="10" t="n">
        <v>5070</v>
      </c>
      <c r="J29" s="11" t="n">
        <v>1877.73</v>
      </c>
      <c r="K29" s="10" t="n">
        <v>5070</v>
      </c>
      <c r="L29" s="11" t="n">
        <v>1877.65</v>
      </c>
      <c r="M29" s="10" t="n">
        <v>5084</v>
      </c>
      <c r="N29" s="11" t="n">
        <v>1835.36</v>
      </c>
      <c r="O29" s="12" t="n">
        <f aca="false">IF(OR(M29="",M29=0),"",N29*100/M29)</f>
        <v>36.1007081038552</v>
      </c>
      <c r="P29" s="13" t="n">
        <f aca="false">IF(OR(N29="",H29=""),"",N29-H29)</f>
        <v>-12.6500000000001</v>
      </c>
      <c r="Q29" s="14" t="n">
        <f aca="false">IF(OR(N29="",H29="",H29=0),"n/a",N29/H29-1)</f>
        <v>-0.00684520105410691</v>
      </c>
      <c r="R29" s="14" t="n">
        <f aca="false">IF(OR(N29="",F29="",F29=0),"n/a",N29/F29-1)</f>
        <v>-0.0177729493676984</v>
      </c>
      <c r="S29" s="14" t="n">
        <f aca="false">IF(OR(N29="",L29="",L29=0),"n/a",N29/L29-1)</f>
        <v>-0.0225228343940564</v>
      </c>
      <c r="T29" s="14" t="n">
        <f aca="false">IF(OR(J29="",H29="",H29=0),"n/a",J29/H29-1)</f>
        <v>0.0160821640575539</v>
      </c>
      <c r="U29" s="14" t="n">
        <f aca="false">IF(N29="","",N29/$N$94)</f>
        <v>0.0168928685855472</v>
      </c>
      <c r="V29" s="15" t="n">
        <f aca="false">IF(OR(M29="",G29=""),"",M29-G29)</f>
        <v>-17</v>
      </c>
      <c r="W29" s="9" t="str">
        <f aca="false">IF(COUNT(F29,H29,J29,L29,N29)&lt;5,"Partial-period row",IF(ISNUMBER(Q29),IF(ABS(Q29)&gt;0.1,"MoM move &gt; ±10%",""),""))</f>
        <v/>
      </c>
      <c r="X29" s="9"/>
    </row>
    <row r="30" customFormat="false" ht="15" hidden="false" customHeight="false" outlineLevel="0" collapsed="false">
      <c r="A30" s="9" t="n">
        <v>24</v>
      </c>
      <c r="B30" s="9" t="s">
        <v>79</v>
      </c>
      <c r="C30" s="9" t="s">
        <v>83</v>
      </c>
      <c r="D30" s="9" t="s">
        <v>62</v>
      </c>
      <c r="E30" s="10" t="n">
        <v>409</v>
      </c>
      <c r="F30" s="11" t="n">
        <v>125.11</v>
      </c>
      <c r="G30" s="10" t="n">
        <v>408</v>
      </c>
      <c r="H30" s="11" t="n">
        <v>122.44</v>
      </c>
      <c r="I30" s="10" t="n">
        <v>408</v>
      </c>
      <c r="J30" s="11" t="n">
        <v>122.15</v>
      </c>
      <c r="K30" s="10" t="n">
        <v>407</v>
      </c>
      <c r="L30" s="11" t="n">
        <v>122.15</v>
      </c>
      <c r="M30" s="10" t="n">
        <v>406</v>
      </c>
      <c r="N30" s="11" t="n">
        <v>119.35</v>
      </c>
      <c r="O30" s="12" t="n">
        <f aca="false">IF(OR(M30="",M30=0),"",N30*100/M30)</f>
        <v>29.3965517241379</v>
      </c>
      <c r="P30" s="13" t="n">
        <f aca="false">IF(OR(N30="",H30=""),"",N30-H30)</f>
        <v>-3.09</v>
      </c>
      <c r="Q30" s="14" t="n">
        <f aca="false">IF(OR(N30="",H30="",H30=0),"n/a",N30/H30-1)</f>
        <v>-0.0252368507023849</v>
      </c>
      <c r="R30" s="14" t="n">
        <f aca="false">IF(OR(N30="",F30="",F30=0),"n/a",N30/F30-1)</f>
        <v>-0.0460394852529774</v>
      </c>
      <c r="S30" s="14" t="n">
        <f aca="false">IF(OR(N30="",L30="",L30=0),"n/a",N30/L30-1)</f>
        <v>-0.0229226361031519</v>
      </c>
      <c r="T30" s="14" t="n">
        <f aca="false">IF(OR(J30="",H30="",H30=0),"n/a",J30/H30-1)</f>
        <v>-0.00236850702384839</v>
      </c>
      <c r="U30" s="14" t="n">
        <f aca="false">IF(N30="","",N30/$N$94)</f>
        <v>0.00109851139050925</v>
      </c>
      <c r="V30" s="15" t="n">
        <f aca="false">IF(OR(M30="",G30=""),"",M30-G30)</f>
        <v>-2</v>
      </c>
      <c r="W30" s="9" t="str">
        <f aca="false">IF(COUNT(F30,H30,J30,L30,N30)&lt;5,"Partial-period row",IF(ISNUMBER(Q30),IF(ABS(Q30)&gt;0.1,"MoM move &gt; ±10%",""),""))</f>
        <v/>
      </c>
      <c r="X30" s="9"/>
    </row>
    <row r="31" customFormat="false" ht="15" hidden="false" customHeight="false" outlineLevel="0" collapsed="false">
      <c r="A31" s="9" t="n">
        <v>25</v>
      </c>
      <c r="B31" s="9" t="s">
        <v>79</v>
      </c>
      <c r="C31" s="9" t="s">
        <v>84</v>
      </c>
      <c r="D31" s="9" t="s">
        <v>60</v>
      </c>
      <c r="E31" s="10" t="n">
        <v>29</v>
      </c>
      <c r="F31" s="11" t="n">
        <v>3.55</v>
      </c>
      <c r="G31" s="10" t="n">
        <v>28</v>
      </c>
      <c r="H31" s="11" t="n">
        <v>3.29</v>
      </c>
      <c r="I31" s="10" t="n">
        <v>28</v>
      </c>
      <c r="J31" s="11" t="n">
        <v>3.16</v>
      </c>
      <c r="K31" s="10" t="n">
        <v>26</v>
      </c>
      <c r="L31" s="11" t="n">
        <v>3.09</v>
      </c>
      <c r="M31" s="10" t="n">
        <v>23</v>
      </c>
      <c r="N31" s="11" t="n">
        <v>2.65</v>
      </c>
      <c r="O31" s="12" t="n">
        <f aca="false">IF(OR(M31="",M31=0),"",N31*100/M31)</f>
        <v>11.5217391304348</v>
      </c>
      <c r="P31" s="13" t="n">
        <f aca="false">IF(OR(N31="",H31=""),"",N31-H31)</f>
        <v>-0.64</v>
      </c>
      <c r="Q31" s="14" t="n">
        <f aca="false">IF(OR(N31="",H31="",H31=0),"n/a",N31/H31-1)</f>
        <v>-0.194528875379939</v>
      </c>
      <c r="R31" s="14" t="n">
        <f aca="false">IF(OR(N31="",F31="",F31=0),"n/a",N31/F31-1)</f>
        <v>-0.253521126760563</v>
      </c>
      <c r="S31" s="14" t="n">
        <f aca="false">IF(OR(N31="",L31="",L31=0),"n/a",N31/L31-1)</f>
        <v>-0.142394822006472</v>
      </c>
      <c r="T31" s="14" t="n">
        <f aca="false">IF(OR(J31="",H31="",H31=0),"n/a",J31/H31-1)</f>
        <v>-0.0395136778115501</v>
      </c>
      <c r="U31" s="14" t="n">
        <f aca="false">IF(N31="","",N31/$N$94)</f>
        <v>2.4390910639711E-005</v>
      </c>
      <c r="V31" s="15" t="n">
        <f aca="false">IF(OR(M31="",G31=""),"",M31-G31)</f>
        <v>-5</v>
      </c>
      <c r="W31" s="9" t="str">
        <f aca="false">IF(COUNT(F31,H31,J31,L31,N31)&lt;5,"Partial-period row",IF(ISNUMBER(Q31),IF(ABS(Q31)&gt;0.1,"MoM move &gt; ±10%",""),""))</f>
        <v>MoM move &gt; ±10%</v>
      </c>
      <c r="X31" s="9"/>
    </row>
    <row r="32" customFormat="false" ht="15" hidden="false" customHeight="false" outlineLevel="0" collapsed="false">
      <c r="A32" s="9" t="n">
        <v>26</v>
      </c>
      <c r="B32" s="9" t="s">
        <v>79</v>
      </c>
      <c r="C32" s="9" t="s">
        <v>84</v>
      </c>
      <c r="D32" s="9" t="s">
        <v>62</v>
      </c>
      <c r="E32" s="10" t="n">
        <v>32</v>
      </c>
      <c r="F32" s="11" t="n">
        <v>1.7</v>
      </c>
      <c r="G32" s="10" t="n">
        <v>30</v>
      </c>
      <c r="H32" s="11" t="n">
        <v>1.7</v>
      </c>
      <c r="I32" s="10" t="n">
        <v>30</v>
      </c>
      <c r="J32" s="11" t="n">
        <v>1.7</v>
      </c>
      <c r="K32" s="10" t="n">
        <v>29</v>
      </c>
      <c r="L32" s="11" t="n">
        <v>1.7</v>
      </c>
      <c r="M32" s="10" t="n">
        <v>29</v>
      </c>
      <c r="N32" s="11" t="n">
        <v>1.7</v>
      </c>
      <c r="O32" s="12" t="n">
        <f aca="false">IF(OR(M32="",M32=0),"",N32*100/M32)</f>
        <v>5.86206896551724</v>
      </c>
      <c r="P32" s="13" t="n">
        <f aca="false">IF(OR(N32="",H32=""),"",N32-H32)</f>
        <v>0</v>
      </c>
      <c r="Q32" s="14" t="n">
        <f aca="false">IF(OR(N32="",H32="",H32=0),"n/a",N32/H32-1)</f>
        <v>0</v>
      </c>
      <c r="R32" s="14" t="n">
        <f aca="false">IF(OR(N32="",F32="",F32=0),"n/a",N32/F32-1)</f>
        <v>0</v>
      </c>
      <c r="S32" s="14" t="n">
        <f aca="false">IF(OR(N32="",L32="",L32=0),"n/a",N32/L32-1)</f>
        <v>0</v>
      </c>
      <c r="T32" s="14" t="n">
        <f aca="false">IF(OR(J32="",H32="",H32=0),"n/a",J32/H32-1)</f>
        <v>0</v>
      </c>
      <c r="U32" s="14" t="n">
        <f aca="false">IF(N32="","",N32/$N$94)</f>
        <v>1.56469992783052E-005</v>
      </c>
      <c r="V32" s="15" t="n">
        <f aca="false">IF(OR(M32="",G32=""),"",M32-G32)</f>
        <v>-1</v>
      </c>
      <c r="W32" s="9" t="str">
        <f aca="false">IF(COUNT(F32,H32,J32,L32,N32)&lt;5,"Partial-period row",IF(ISNUMBER(Q32),IF(ABS(Q32)&gt;0.1,"MoM move &gt; ±10%",""),""))</f>
        <v/>
      </c>
      <c r="X32" s="9"/>
    </row>
    <row r="33" customFormat="false" ht="15" hidden="false" customHeight="false" outlineLevel="0" collapsed="false">
      <c r="A33" s="9" t="n">
        <v>27</v>
      </c>
      <c r="B33" s="9" t="s">
        <v>79</v>
      </c>
      <c r="C33" s="9" t="s">
        <v>85</v>
      </c>
      <c r="D33" s="9" t="s">
        <v>62</v>
      </c>
      <c r="E33" s="10" t="n">
        <v>17</v>
      </c>
      <c r="F33" s="11" t="n">
        <v>2.3</v>
      </c>
      <c r="G33" s="10" t="n">
        <v>15</v>
      </c>
      <c r="H33" s="11" t="n">
        <v>2.3</v>
      </c>
      <c r="I33" s="10" t="n">
        <v>15</v>
      </c>
      <c r="J33" s="11" t="n">
        <v>2.3</v>
      </c>
      <c r="K33" s="10" t="n">
        <v>15</v>
      </c>
      <c r="L33" s="11" t="n">
        <v>2.3</v>
      </c>
      <c r="M33" s="10" t="n">
        <v>15</v>
      </c>
      <c r="N33" s="11" t="n">
        <v>2.3</v>
      </c>
      <c r="O33" s="12" t="n">
        <f aca="false">IF(OR(M33="",M33=0),"",N33*100/M33)</f>
        <v>15.3333333333333</v>
      </c>
      <c r="P33" s="13" t="n">
        <f aca="false">IF(OR(N33="",H33=""),"",N33-H33)</f>
        <v>0</v>
      </c>
      <c r="Q33" s="14" t="n">
        <f aca="false">IF(OR(N33="",H33="",H33=0),"n/a",N33/H33-1)</f>
        <v>0</v>
      </c>
      <c r="R33" s="14" t="n">
        <f aca="false">IF(OR(N33="",F33="",F33=0),"n/a",N33/F33-1)</f>
        <v>0</v>
      </c>
      <c r="S33" s="14" t="n">
        <f aca="false">IF(OR(N33="",L33="",L33=0),"n/a",N33/L33-1)</f>
        <v>0</v>
      </c>
      <c r="T33" s="14" t="n">
        <f aca="false">IF(OR(J33="",H33="",H33=0),"n/a",J33/H33-1)</f>
        <v>0</v>
      </c>
      <c r="U33" s="14" t="n">
        <f aca="false">IF(N33="","",N33/$N$94)</f>
        <v>2.11694696118246E-005</v>
      </c>
      <c r="V33" s="15" t="n">
        <f aca="false">IF(OR(M33="",G33=""),"",M33-G33)</f>
        <v>0</v>
      </c>
      <c r="W33" s="9" t="str">
        <f aca="false">IF(COUNT(F33,H33,J33,L33,N33)&lt;5,"Partial-period row",IF(ISNUMBER(Q33),IF(ABS(Q33)&gt;0.1,"MoM move &gt; ±10%",""),""))</f>
        <v/>
      </c>
      <c r="X33" s="9"/>
    </row>
    <row r="34" customFormat="false" ht="15" hidden="false" customHeight="false" outlineLevel="0" collapsed="false">
      <c r="A34" s="9" t="n">
        <v>28</v>
      </c>
      <c r="B34" s="9" t="s">
        <v>79</v>
      </c>
      <c r="C34" s="9" t="s">
        <v>86</v>
      </c>
      <c r="D34" s="9" t="s">
        <v>60</v>
      </c>
      <c r="E34" s="10" t="n">
        <v>27</v>
      </c>
      <c r="F34" s="11" t="n">
        <v>40.72</v>
      </c>
      <c r="G34" s="10" t="n">
        <v>27</v>
      </c>
      <c r="H34" s="11" t="n">
        <v>40.55</v>
      </c>
      <c r="I34" s="10" t="n">
        <v>27</v>
      </c>
      <c r="J34" s="11" t="n">
        <v>40.49</v>
      </c>
      <c r="K34" s="10" t="n">
        <v>26</v>
      </c>
      <c r="L34" s="11" t="n">
        <v>40.47</v>
      </c>
      <c r="M34" s="10" t="n">
        <v>26</v>
      </c>
      <c r="N34" s="11" t="n">
        <v>40.39</v>
      </c>
      <c r="O34" s="12" t="n">
        <f aca="false">IF(OR(M34="",M34=0),"",N34*100/M34)</f>
        <v>155.346153846154</v>
      </c>
      <c r="P34" s="13" t="n">
        <f aca="false">IF(OR(N34="",H34=""),"",N34-H34)</f>
        <v>-0.159999999999997</v>
      </c>
      <c r="Q34" s="14" t="n">
        <f aca="false">IF(OR(N34="",H34="",H34=0),"n/a",N34/H34-1)</f>
        <v>-0.00394574599260167</v>
      </c>
      <c r="R34" s="14" t="n">
        <f aca="false">IF(OR(N34="",F34="",F34=0),"n/a",N34/F34-1)</f>
        <v>-0.00810412573673869</v>
      </c>
      <c r="S34" s="14" t="n">
        <f aca="false">IF(OR(N34="",L34="",L34=0),"n/a",N34/L34-1)</f>
        <v>-0.00197677291821097</v>
      </c>
      <c r="T34" s="14" t="n">
        <f aca="false">IF(OR(J34="",H34="",H34=0),"n/a",J34/H34-1)</f>
        <v>-0.00147965474722556</v>
      </c>
      <c r="U34" s="14" t="n">
        <f aca="false">IF(N34="","",N34/$N$94)</f>
        <v>0.000371754294618086</v>
      </c>
      <c r="V34" s="15" t="n">
        <f aca="false">IF(OR(M34="",G34=""),"",M34-G34)</f>
        <v>-1</v>
      </c>
      <c r="W34" s="9" t="str">
        <f aca="false">IF(COUNT(F34,H34,J34,L34,N34)&lt;5,"Partial-period row",IF(ISNUMBER(Q34),IF(ABS(Q34)&gt;0.1,"MoM move &gt; ±10%",""),""))</f>
        <v/>
      </c>
      <c r="X34" s="9"/>
    </row>
    <row r="35" customFormat="false" ht="15" hidden="false" customHeight="false" outlineLevel="0" collapsed="false">
      <c r="A35" s="9" t="n">
        <v>29</v>
      </c>
      <c r="B35" s="9" t="s">
        <v>79</v>
      </c>
      <c r="C35" s="9" t="s">
        <v>86</v>
      </c>
      <c r="D35" s="9" t="s">
        <v>62</v>
      </c>
      <c r="E35" s="10" t="n">
        <v>210</v>
      </c>
      <c r="F35" s="11" t="n">
        <v>240.37</v>
      </c>
      <c r="G35" s="10" t="n">
        <v>207</v>
      </c>
      <c r="H35" s="11" t="n">
        <v>238.89</v>
      </c>
      <c r="I35" s="10" t="n">
        <v>207</v>
      </c>
      <c r="J35" s="11" t="n">
        <v>238.51</v>
      </c>
      <c r="K35" s="10" t="n">
        <v>206</v>
      </c>
      <c r="L35" s="11" t="n">
        <v>236.76</v>
      </c>
      <c r="M35" s="10" t="n">
        <v>204</v>
      </c>
      <c r="N35" s="11" t="n">
        <v>236.18</v>
      </c>
      <c r="O35" s="12" t="n">
        <f aca="false">IF(OR(M35="",M35=0),"",N35*100/M35)</f>
        <v>115.774509803922</v>
      </c>
      <c r="P35" s="13" t="n">
        <f aca="false">IF(OR(N35="",H35=""),"",N35-H35)</f>
        <v>-2.70999999999998</v>
      </c>
      <c r="Q35" s="14" t="n">
        <f aca="false">IF(OR(N35="",H35="",H35=0),"n/a",N35/H35-1)</f>
        <v>-0.0113441332831009</v>
      </c>
      <c r="R35" s="14" t="n">
        <f aca="false">IF(OR(N35="",F35="",F35=0),"n/a",N35/F35-1)</f>
        <v>-0.0174314598327578</v>
      </c>
      <c r="S35" s="14" t="n">
        <f aca="false">IF(OR(N35="",L35="",L35=0),"n/a",N35/L35-1)</f>
        <v>-0.002449738131441</v>
      </c>
      <c r="T35" s="14" t="n">
        <f aca="false">IF(OR(J35="",H35="",H35=0),"n/a",J35/H35-1)</f>
        <v>-0.00159069027585912</v>
      </c>
      <c r="U35" s="14" t="n">
        <f aca="false">IF(N35="","",N35/$N$94)</f>
        <v>0.00217382840561772</v>
      </c>
      <c r="V35" s="15" t="n">
        <f aca="false">IF(OR(M35="",G35=""),"",M35-G35)</f>
        <v>-3</v>
      </c>
      <c r="W35" s="9" t="str">
        <f aca="false">IF(COUNT(F35,H35,J35,L35,N35)&lt;5,"Partial-period row",IF(ISNUMBER(Q35),IF(ABS(Q35)&gt;0.1,"MoM move &gt; ±10%",""),""))</f>
        <v/>
      </c>
      <c r="X35" s="9"/>
    </row>
    <row r="36" customFormat="false" ht="15" hidden="false" customHeight="false" outlineLevel="0" collapsed="false">
      <c r="A36" s="9" t="n">
        <v>30</v>
      </c>
      <c r="B36" s="9" t="s">
        <v>79</v>
      </c>
      <c r="C36" s="9" t="s">
        <v>87</v>
      </c>
      <c r="D36" s="9" t="s">
        <v>60</v>
      </c>
      <c r="E36" s="10" t="n">
        <v>1674</v>
      </c>
      <c r="F36" s="11" t="n">
        <v>256.71</v>
      </c>
      <c r="G36" s="10" t="n">
        <v>1698</v>
      </c>
      <c r="H36" s="11" t="n">
        <v>260.43</v>
      </c>
      <c r="I36" s="10" t="n">
        <v>1719</v>
      </c>
      <c r="J36" s="11" t="n">
        <v>264.52</v>
      </c>
      <c r="K36" s="10" t="n">
        <v>1723</v>
      </c>
      <c r="L36" s="11" t="n">
        <v>265.05</v>
      </c>
      <c r="M36" s="10" t="n">
        <v>1726</v>
      </c>
      <c r="N36" s="11" t="n">
        <v>265.09</v>
      </c>
      <c r="O36" s="12" t="n">
        <f aca="false">IF(OR(M36="",M36=0),"",N36*100/M36)</f>
        <v>15.3586326767092</v>
      </c>
      <c r="P36" s="13" t="n">
        <f aca="false">IF(OR(N36="",H36=""),"",N36-H36)</f>
        <v>4.65999999999997</v>
      </c>
      <c r="Q36" s="14" t="n">
        <f aca="false">IF(OR(N36="",H36="",H36=0),"n/a",N36/H36-1)</f>
        <v>0.0178934838536267</v>
      </c>
      <c r="R36" s="14" t="n">
        <f aca="false">IF(OR(N36="",F36="",F36=0),"n/a",N36/F36-1)</f>
        <v>0.0326438393517978</v>
      </c>
      <c r="S36" s="14" t="n">
        <f aca="false">IF(OR(N36="",L36="",L36=0),"n/a",N36/L36-1)</f>
        <v>0.000150914921712708</v>
      </c>
      <c r="T36" s="14" t="n">
        <f aca="false">IF(OR(J36="",H36="",H36=0),"n/a",J36/H36-1)</f>
        <v>0.0157047959144492</v>
      </c>
      <c r="U36" s="14" t="n">
        <f aca="false">IF(N36="","",N36/$N$94)</f>
        <v>0.00243991943452113</v>
      </c>
      <c r="V36" s="15" t="n">
        <f aca="false">IF(OR(M36="",G36=""),"",M36-G36)</f>
        <v>28</v>
      </c>
      <c r="W36" s="9" t="str">
        <f aca="false">IF(COUNT(F36,H36,J36,L36,N36)&lt;5,"Partial-period row",IF(ISNUMBER(Q36),IF(ABS(Q36)&gt;0.1,"MoM move &gt; ±10%",""),""))</f>
        <v/>
      </c>
      <c r="X36" s="9"/>
    </row>
    <row r="37" customFormat="false" ht="15" hidden="false" customHeight="false" outlineLevel="0" collapsed="false">
      <c r="A37" s="9" t="n">
        <v>31</v>
      </c>
      <c r="B37" s="9" t="s">
        <v>79</v>
      </c>
      <c r="C37" s="9" t="s">
        <v>88</v>
      </c>
      <c r="D37" s="9" t="s">
        <v>60</v>
      </c>
      <c r="E37" s="10" t="n">
        <v>804</v>
      </c>
      <c r="F37" s="11" t="n">
        <v>182.41</v>
      </c>
      <c r="G37" s="10" t="n">
        <v>812</v>
      </c>
      <c r="H37" s="11" t="n">
        <v>183.71</v>
      </c>
      <c r="I37" s="10" t="n">
        <v>824</v>
      </c>
      <c r="J37" s="11" t="n">
        <v>186.32</v>
      </c>
      <c r="K37" s="10" t="n">
        <v>826</v>
      </c>
      <c r="L37" s="11" t="n">
        <v>186.47</v>
      </c>
      <c r="M37" s="10" t="n">
        <v>828</v>
      </c>
      <c r="N37" s="11" t="n">
        <v>187.02</v>
      </c>
      <c r="O37" s="12" t="n">
        <f aca="false">IF(OR(M37="",M37=0),"",N37*100/M37)</f>
        <v>22.5869565217391</v>
      </c>
      <c r="P37" s="13" t="n">
        <f aca="false">IF(OR(N37="",H37=""),"",N37-H37)</f>
        <v>3.31</v>
      </c>
      <c r="Q37" s="14" t="n">
        <f aca="false">IF(OR(N37="",H37="",H37=0),"n/a",N37/H37-1)</f>
        <v>0.0180175276250611</v>
      </c>
      <c r="R37" s="14" t="n">
        <f aca="false">IF(OR(N37="",F37="",F37=0),"n/a",N37/F37-1)</f>
        <v>0.025272737240283</v>
      </c>
      <c r="S37" s="14" t="n">
        <f aca="false">IF(OR(N37="",L37="",L37=0),"n/a",N37/L37-1)</f>
        <v>0.00294953611841042</v>
      </c>
      <c r="T37" s="14" t="n">
        <f aca="false">IF(OR(J37="",H37="",H37=0),"n/a",J37/H37-1)</f>
        <v>0.0142071743508789</v>
      </c>
      <c r="U37" s="14" t="n">
        <f aca="false">IF(N37="","",N37/$N$94)</f>
        <v>0.00172135400295802</v>
      </c>
      <c r="V37" s="15" t="n">
        <f aca="false">IF(OR(M37="",G37=""),"",M37-G37)</f>
        <v>16</v>
      </c>
      <c r="W37" s="9" t="str">
        <f aca="false">IF(COUNT(F37,H37,J37,L37,N37)&lt;5,"Partial-period row",IF(ISNUMBER(Q37),IF(ABS(Q37)&gt;0.1,"MoM move &gt; ±10%",""),""))</f>
        <v/>
      </c>
      <c r="X37" s="9"/>
    </row>
    <row r="38" customFormat="false" ht="15" hidden="false" customHeight="false" outlineLevel="0" collapsed="false">
      <c r="A38" s="9" t="n">
        <v>32</v>
      </c>
      <c r="B38" s="9" t="s">
        <v>79</v>
      </c>
      <c r="C38" s="9" t="s">
        <v>89</v>
      </c>
      <c r="D38" s="9" t="s">
        <v>60</v>
      </c>
      <c r="E38" s="10" t="n">
        <v>1888</v>
      </c>
      <c r="F38" s="11" t="n">
        <v>545.63</v>
      </c>
      <c r="G38" s="10" t="n">
        <v>1950</v>
      </c>
      <c r="H38" s="11" t="n">
        <v>561.24</v>
      </c>
      <c r="I38" s="10" t="n">
        <v>1980</v>
      </c>
      <c r="J38" s="11" t="n">
        <v>570.29</v>
      </c>
      <c r="K38" s="10" t="n">
        <v>1980</v>
      </c>
      <c r="L38" s="11" t="n">
        <v>569.74</v>
      </c>
      <c r="M38" s="10" t="n">
        <v>2008</v>
      </c>
      <c r="N38" s="11" t="n">
        <v>577.73</v>
      </c>
      <c r="O38" s="12" t="n">
        <f aca="false">IF(OR(M38="",M38=0),"",N38*100/M38)</f>
        <v>28.7714143426295</v>
      </c>
      <c r="P38" s="13" t="n">
        <f aca="false">IF(OR(N38="",H38=""),"",N38-H38)</f>
        <v>16.49</v>
      </c>
      <c r="Q38" s="14" t="n">
        <f aca="false">IF(OR(N38="",H38="",H38=0),"n/a",N38/H38-1)</f>
        <v>0.0293813698239613</v>
      </c>
      <c r="R38" s="14" t="n">
        <f aca="false">IF(OR(N38="",F38="",F38=0),"n/a",N38/F38-1)</f>
        <v>0.0588310760038855</v>
      </c>
      <c r="S38" s="14" t="n">
        <f aca="false">IF(OR(N38="",L38="",L38=0),"n/a",N38/L38-1)</f>
        <v>0.0140239407449012</v>
      </c>
      <c r="T38" s="14" t="n">
        <f aca="false">IF(OR(J38="",H38="",H38=0),"n/a",J38/H38-1)</f>
        <v>0.0161250089088447</v>
      </c>
      <c r="U38" s="14" t="n">
        <f aca="false">IF(N38="","",N38/$N$94)</f>
        <v>0.00531749464297367</v>
      </c>
      <c r="V38" s="15" t="n">
        <f aca="false">IF(OR(M38="",G38=""),"",M38-G38)</f>
        <v>58</v>
      </c>
      <c r="W38" s="9" t="str">
        <f aca="false">IF(COUNT(F38,H38,J38,L38,N38)&lt;5,"Partial-period row",IF(ISNUMBER(Q38),IF(ABS(Q38)&gt;0.1,"MoM move &gt; ±10%",""),""))</f>
        <v/>
      </c>
      <c r="X38" s="9"/>
    </row>
    <row r="39" customFormat="false" ht="15" hidden="false" customHeight="false" outlineLevel="0" collapsed="false">
      <c r="A39" s="9" t="n">
        <v>33</v>
      </c>
      <c r="B39" s="9" t="s">
        <v>90</v>
      </c>
      <c r="C39" s="9" t="s">
        <v>90</v>
      </c>
      <c r="D39" s="9" t="s">
        <v>91</v>
      </c>
      <c r="E39" s="10" t="n">
        <v>71426</v>
      </c>
      <c r="F39" s="11" t="n">
        <v>387.38</v>
      </c>
      <c r="G39" s="10" t="n">
        <v>72353</v>
      </c>
      <c r="H39" s="11" t="n">
        <v>386.04</v>
      </c>
      <c r="I39" s="10" t="n">
        <v>72528</v>
      </c>
      <c r="J39" s="11" t="n">
        <v>387.41</v>
      </c>
      <c r="K39" s="10" t="n">
        <v>72667</v>
      </c>
      <c r="L39" s="11" t="n">
        <v>388.18</v>
      </c>
      <c r="M39" s="10" t="n">
        <v>73488</v>
      </c>
      <c r="N39" s="11" t="n">
        <v>385.86</v>
      </c>
      <c r="O39" s="12" t="n">
        <f aca="false">IF(OR(M39="",M39=0),"",N39*100/M39)</f>
        <v>0.525065316786414</v>
      </c>
      <c r="P39" s="13" t="n">
        <f aca="false">IF(OR(N39="",H39=""),"",N39-H39)</f>
        <v>-0.180000000000007</v>
      </c>
      <c r="Q39" s="14" t="n">
        <f aca="false">IF(OR(N39="",H39="",H39=0),"n/a",N39/H39-1)</f>
        <v>-0.000466272925085498</v>
      </c>
      <c r="R39" s="14" t="n">
        <f aca="false">IF(OR(N39="",F39="",F39=0),"n/a",N39/F39-1)</f>
        <v>-0.00392379575610502</v>
      </c>
      <c r="S39" s="14" t="n">
        <f aca="false">IF(OR(N39="",L39="",L39=0),"n/a",N39/L39-1)</f>
        <v>-0.00597660878973672</v>
      </c>
      <c r="T39" s="14" t="n">
        <f aca="false">IF(OR(J39="",H39="",H39=0),"n/a",J39/H39-1)</f>
        <v>0.00354885504092839</v>
      </c>
      <c r="U39" s="14" t="n">
        <f aca="false">IF(N39="","",N39/$N$94)</f>
        <v>0.00355150067148637</v>
      </c>
      <c r="V39" s="15" t="n">
        <f aca="false">IF(OR(M39="",G39=""),"",M39-G39)</f>
        <v>1135</v>
      </c>
      <c r="W39" s="9" t="str">
        <f aca="false">IF(COUNT(F39,H39,J39,L39,N39)&lt;5,"Partial-period row",IF(ISNUMBER(Q39),IF(ABS(Q39)&gt;0.1,"MoM move &gt; ±10%",""),""))</f>
        <v/>
      </c>
      <c r="X39" s="9"/>
    </row>
    <row r="40" customFormat="false" ht="15" hidden="false" customHeight="false" outlineLevel="0" collapsed="false">
      <c r="A40" s="9" t="n">
        <v>34</v>
      </c>
      <c r="B40" s="9" t="s">
        <v>90</v>
      </c>
      <c r="C40" s="9" t="s">
        <v>92</v>
      </c>
      <c r="D40" s="9" t="s">
        <v>93</v>
      </c>
      <c r="E40" s="10" t="n">
        <v>61</v>
      </c>
      <c r="F40" s="11" t="n">
        <v>1.48</v>
      </c>
      <c r="G40" s="10" t="n">
        <v>64</v>
      </c>
      <c r="H40" s="11" t="n">
        <v>1.23</v>
      </c>
      <c r="I40" s="10" t="n">
        <v>65</v>
      </c>
      <c r="J40" s="11" t="n">
        <v>1.16</v>
      </c>
      <c r="K40" s="10" t="n">
        <v>52</v>
      </c>
      <c r="L40" s="11" t="n">
        <v>1.44</v>
      </c>
      <c r="M40" s="10" t="n">
        <v>69</v>
      </c>
      <c r="N40" s="11" t="n">
        <v>1.22</v>
      </c>
      <c r="O40" s="12" t="n">
        <f aca="false">IF(OR(M40="",M40=0),"",N40*100/M40)</f>
        <v>1.76811594202899</v>
      </c>
      <c r="P40" s="13" t="n">
        <f aca="false">IF(OR(N40="",H40=""),"",N40-H40)</f>
        <v>-0.01</v>
      </c>
      <c r="Q40" s="14" t="n">
        <f aca="false">IF(OR(N40="",H40="",H40=0),"n/a",N40/H40-1)</f>
        <v>-0.00813008130081305</v>
      </c>
      <c r="R40" s="14" t="n">
        <f aca="false">IF(OR(N40="",F40="",F40=0),"n/a",N40/F40-1)</f>
        <v>-0.175675675675676</v>
      </c>
      <c r="S40" s="14" t="n">
        <f aca="false">IF(OR(N40="",L40="",L40=0),"n/a",N40/L40-1)</f>
        <v>-0.152777777777778</v>
      </c>
      <c r="T40" s="14" t="n">
        <f aca="false">IF(OR(J40="",H40="",H40=0),"n/a",J40/H40-1)</f>
        <v>-0.0569105691056911</v>
      </c>
      <c r="U40" s="14" t="n">
        <f aca="false">IF(N40="","",N40/$N$94)</f>
        <v>1.12290230114896E-005</v>
      </c>
      <c r="V40" s="15" t="n">
        <f aca="false">IF(OR(M40="",G40=""),"",M40-G40)</f>
        <v>5</v>
      </c>
      <c r="W40" s="9" t="str">
        <f aca="false">IF(COUNT(F40,H40,J40,L40,N40)&lt;5,"Partial-period row",IF(ISNUMBER(Q40),IF(ABS(Q40)&gt;0.1,"MoM move &gt; ±10%",""),""))</f>
        <v/>
      </c>
      <c r="X40" s="9"/>
    </row>
    <row r="41" customFormat="false" ht="15" hidden="false" customHeight="false" outlineLevel="0" collapsed="false">
      <c r="A41" s="9" t="n">
        <v>35</v>
      </c>
      <c r="B41" s="9" t="s">
        <v>94</v>
      </c>
      <c r="C41" s="9" t="s">
        <v>95</v>
      </c>
      <c r="D41" s="9" t="s">
        <v>96</v>
      </c>
      <c r="E41" s="10"/>
      <c r="F41" s="11"/>
      <c r="G41" s="10" t="n">
        <v>1</v>
      </c>
      <c r="H41" s="11" t="n">
        <v>985.72</v>
      </c>
      <c r="I41" s="10"/>
      <c r="J41" s="11"/>
      <c r="K41" s="10"/>
      <c r="L41" s="11"/>
      <c r="M41" s="10" t="n">
        <v>1</v>
      </c>
      <c r="N41" s="11" t="n">
        <v>0.12</v>
      </c>
      <c r="O41" s="12" t="n">
        <f aca="false">IF(OR(M41="",M41=0),"",N41*100/M41)</f>
        <v>12</v>
      </c>
      <c r="P41" s="13" t="n">
        <f aca="false">IF(OR(N41="",H41=""),"",N41-H41)</f>
        <v>-985.6</v>
      </c>
      <c r="Q41" s="14" t="n">
        <f aca="false">IF(OR(N41="",H41="",H41=0),"n/a",N41/H41-1)</f>
        <v>-0.999878261575295</v>
      </c>
      <c r="R41" s="14" t="str">
        <f aca="false">IF(OR(N41="",F41="",F41=0),"n/a",N41/F41-1)</f>
        <v>n/a</v>
      </c>
      <c r="S41" s="14" t="str">
        <f aca="false">IF(OR(N41="",L41="",L41=0),"n/a",N41/L41-1)</f>
        <v>n/a</v>
      </c>
      <c r="T41" s="14" t="str">
        <f aca="false">IF(OR(J41="",H41="",H41=0),"n/a",J41/H41-1)</f>
        <v>n/a</v>
      </c>
      <c r="U41" s="14" t="n">
        <f aca="false">IF(N41="","",N41/$N$94)</f>
        <v>1.10449406670389E-006</v>
      </c>
      <c r="V41" s="15" t="n">
        <f aca="false">IF(OR(M41="",G41=""),"",M41-G41)</f>
        <v>0</v>
      </c>
      <c r="W41" s="9" t="str">
        <f aca="false">IF(COUNT(F41,H41,J41,L41,N41)&lt;5,"Partial-period row",IF(ISNUMBER(Q41),IF(ABS(Q41)&gt;0.1,"MoM move &gt; ±10%",""),""))</f>
        <v>Partial-period row</v>
      </c>
      <c r="X41" s="16" t="s">
        <v>97</v>
      </c>
    </row>
    <row r="42" customFormat="false" ht="15" hidden="false" customHeight="false" outlineLevel="0" collapsed="false">
      <c r="A42" s="9" t="n">
        <v>36</v>
      </c>
      <c r="B42" s="9" t="s">
        <v>94</v>
      </c>
      <c r="C42" s="9" t="s">
        <v>59</v>
      </c>
      <c r="D42" s="9" t="s">
        <v>98</v>
      </c>
      <c r="E42" s="10" t="n">
        <v>1001</v>
      </c>
      <c r="F42" s="11" t="n">
        <v>45.87</v>
      </c>
      <c r="G42" s="10" t="n">
        <v>1004</v>
      </c>
      <c r="H42" s="11" t="n">
        <v>40.07</v>
      </c>
      <c r="I42" s="10" t="n">
        <v>1072</v>
      </c>
      <c r="J42" s="11" t="n">
        <v>48.9</v>
      </c>
      <c r="K42" s="10" t="n">
        <v>901</v>
      </c>
      <c r="L42" s="11" t="n">
        <v>48.2</v>
      </c>
      <c r="M42" s="10" t="n">
        <v>976</v>
      </c>
      <c r="N42" s="11" t="n">
        <v>44.06</v>
      </c>
      <c r="O42" s="12" t="n">
        <f aca="false">IF(OR(M42="",M42=0),"",N42*100/M42)</f>
        <v>4.51434426229508</v>
      </c>
      <c r="P42" s="13" t="n">
        <f aca="false">IF(OR(N42="",H42=""),"",N42-H42)</f>
        <v>3.99</v>
      </c>
      <c r="Q42" s="14" t="n">
        <f aca="false">IF(OR(N42="",H42="",H42=0),"n/a",N42/H42-1)</f>
        <v>0.0995757424507113</v>
      </c>
      <c r="R42" s="14" t="n">
        <f aca="false">IF(OR(N42="",F42="",F42=0),"n/a",N42/F42-1)</f>
        <v>-0.0394593416176149</v>
      </c>
      <c r="S42" s="14" t="n">
        <f aca="false">IF(OR(N42="",L42="",L42=0),"n/a",N42/L42-1)</f>
        <v>-0.0858921161825726</v>
      </c>
      <c r="T42" s="14" t="n">
        <f aca="false">IF(OR(J42="",H42="",H42=0),"n/a",J42/H42-1)</f>
        <v>0.22036436236586</v>
      </c>
      <c r="U42" s="14" t="n">
        <f aca="false">IF(N42="","",N42/$N$94)</f>
        <v>0.00040553340482478</v>
      </c>
      <c r="V42" s="15" t="n">
        <f aca="false">IF(OR(M42="",G42=""),"",M42-G42)</f>
        <v>-28</v>
      </c>
      <c r="W42" s="9" t="str">
        <f aca="false">IF(COUNT(F42,H42,J42,L42,N42)&lt;5,"Partial-period row",IF(ISNUMBER(Q42),IF(ABS(Q42)&gt;0.1,"MoM move &gt; ±10%",""),""))</f>
        <v/>
      </c>
      <c r="X42" s="9"/>
    </row>
    <row r="43" customFormat="false" ht="15" hidden="false" customHeight="false" outlineLevel="0" collapsed="false">
      <c r="A43" s="9" t="n">
        <v>37</v>
      </c>
      <c r="B43" s="9" t="s">
        <v>94</v>
      </c>
      <c r="C43" s="9" t="s">
        <v>59</v>
      </c>
      <c r="D43" s="9" t="s">
        <v>99</v>
      </c>
      <c r="E43" s="10" t="n">
        <v>14</v>
      </c>
      <c r="F43" s="11" t="n">
        <v>0.12</v>
      </c>
      <c r="G43" s="10" t="n">
        <v>10</v>
      </c>
      <c r="H43" s="11" t="n">
        <v>0.12</v>
      </c>
      <c r="I43" s="10" t="n">
        <v>10</v>
      </c>
      <c r="J43" s="11" t="n">
        <v>0.12</v>
      </c>
      <c r="K43" s="10" t="n">
        <v>10</v>
      </c>
      <c r="L43" s="11" t="n">
        <v>0.12</v>
      </c>
      <c r="M43" s="10" t="n">
        <v>10</v>
      </c>
      <c r="N43" s="11" t="n">
        <v>0.12</v>
      </c>
      <c r="O43" s="12" t="n">
        <f aca="false">IF(OR(M43="",M43=0),"",N43*100/M43)</f>
        <v>1.2</v>
      </c>
      <c r="P43" s="13" t="n">
        <f aca="false">IF(OR(N43="",H43=""),"",N43-H43)</f>
        <v>0</v>
      </c>
      <c r="Q43" s="14" t="n">
        <f aca="false">IF(OR(N43="",H43="",H43=0),"n/a",N43/H43-1)</f>
        <v>0</v>
      </c>
      <c r="R43" s="14" t="n">
        <f aca="false">IF(OR(N43="",F43="",F43=0),"n/a",N43/F43-1)</f>
        <v>0</v>
      </c>
      <c r="S43" s="14" t="n">
        <f aca="false">IF(OR(N43="",L43="",L43=0),"n/a",N43/L43-1)</f>
        <v>0</v>
      </c>
      <c r="T43" s="14" t="n">
        <f aca="false">IF(OR(J43="",H43="",H43=0),"n/a",J43/H43-1)</f>
        <v>0</v>
      </c>
      <c r="U43" s="14" t="n">
        <f aca="false">IF(N43="","",N43/$N$94)</f>
        <v>1.10449406670389E-006</v>
      </c>
      <c r="V43" s="15" t="n">
        <f aca="false">IF(OR(M43="",G43=""),"",M43-G43)</f>
        <v>0</v>
      </c>
      <c r="W43" s="9" t="str">
        <f aca="false">IF(COUNT(F43,H43,J43,L43,N43)&lt;5,"Partial-period row",IF(ISNUMBER(Q43),IF(ABS(Q43)&gt;0.1,"MoM move &gt; ±10%",""),""))</f>
        <v/>
      </c>
      <c r="X43" s="9"/>
    </row>
    <row r="44" customFormat="false" ht="15" hidden="false" customHeight="false" outlineLevel="0" collapsed="false">
      <c r="A44" s="9" t="n">
        <v>38</v>
      </c>
      <c r="B44" s="9" t="s">
        <v>94</v>
      </c>
      <c r="C44" s="9" t="s">
        <v>100</v>
      </c>
      <c r="D44" s="9" t="s">
        <v>101</v>
      </c>
      <c r="E44" s="10" t="n">
        <v>377</v>
      </c>
      <c r="F44" s="11" t="n">
        <v>1786.96</v>
      </c>
      <c r="G44" s="10" t="n">
        <v>377</v>
      </c>
      <c r="H44" s="11" t="n">
        <v>1590.9</v>
      </c>
      <c r="I44" s="10" t="n">
        <v>377</v>
      </c>
      <c r="J44" s="11" t="n">
        <v>1577.49</v>
      </c>
      <c r="K44" s="10" t="n">
        <v>376</v>
      </c>
      <c r="L44" s="11" t="n">
        <v>1619.39</v>
      </c>
      <c r="M44" s="10" t="n">
        <v>367</v>
      </c>
      <c r="N44" s="11" t="n">
        <v>1712.4</v>
      </c>
      <c r="O44" s="12" t="n">
        <f aca="false">IF(OR(M44="",M44=0),"",N44*100/M44)</f>
        <v>466.594005449591</v>
      </c>
      <c r="P44" s="13" t="n">
        <f aca="false">IF(OR(N44="",H44=""),"",N44-H44)</f>
        <v>121.5</v>
      </c>
      <c r="Q44" s="14" t="n">
        <f aca="false">IF(OR(N44="",H44="",H44=0),"n/a",N44/H44-1)</f>
        <v>0.0763718649820857</v>
      </c>
      <c r="R44" s="14" t="n">
        <f aca="false">IF(OR(N44="",F44="",F44=0),"n/a",N44/F44-1)</f>
        <v>-0.0417244929936875</v>
      </c>
      <c r="S44" s="14" t="n">
        <f aca="false">IF(OR(N44="",L44="",L44=0),"n/a",N44/L44-1)</f>
        <v>0.0574352070841491</v>
      </c>
      <c r="T44" s="14" t="n">
        <f aca="false">IF(OR(J44="",H44="",H44=0),"n/a",J44/H44-1)</f>
        <v>-0.00842919102394879</v>
      </c>
      <c r="U44" s="14" t="n">
        <f aca="false">IF(N44="","",N44/$N$94)</f>
        <v>0.0157611303318646</v>
      </c>
      <c r="V44" s="15" t="n">
        <f aca="false">IF(OR(M44="",G44=""),"",M44-G44)</f>
        <v>-10</v>
      </c>
      <c r="W44" s="9" t="str">
        <f aca="false">IF(COUNT(F44,H44,J44,L44,N44)&lt;5,"Partial-period row",IF(ISNUMBER(Q44),IF(ABS(Q44)&gt;0.1,"MoM move &gt; ±10%",""),""))</f>
        <v/>
      </c>
      <c r="X44" s="9"/>
    </row>
    <row r="45" customFormat="false" ht="15" hidden="false" customHeight="false" outlineLevel="0" collapsed="false">
      <c r="A45" s="9" t="n">
        <v>39</v>
      </c>
      <c r="B45" s="9" t="s">
        <v>94</v>
      </c>
      <c r="C45" s="9" t="s">
        <v>102</v>
      </c>
      <c r="D45" s="9" t="s">
        <v>103</v>
      </c>
      <c r="E45" s="10" t="n">
        <v>71</v>
      </c>
      <c r="F45" s="11" t="n">
        <v>345.33</v>
      </c>
      <c r="G45" s="10" t="n">
        <v>79</v>
      </c>
      <c r="H45" s="11" t="n">
        <v>440.71</v>
      </c>
      <c r="I45" s="10" t="n">
        <v>79</v>
      </c>
      <c r="J45" s="11" t="n">
        <v>439.15</v>
      </c>
      <c r="K45" s="10" t="n">
        <v>80</v>
      </c>
      <c r="L45" s="11" t="n">
        <v>447.1</v>
      </c>
      <c r="M45" s="10" t="n">
        <v>83</v>
      </c>
      <c r="N45" s="11" t="n">
        <v>472.7</v>
      </c>
      <c r="O45" s="12" t="n">
        <f aca="false">IF(OR(M45="",M45=0),"",N45*100/M45)</f>
        <v>569.518072289157</v>
      </c>
      <c r="P45" s="13" t="n">
        <f aca="false">IF(OR(N45="",H45=""),"",N45-H45)</f>
        <v>31.99</v>
      </c>
      <c r="Q45" s="14" t="n">
        <f aca="false">IF(OR(N45="",H45="",H45=0),"n/a",N45/H45-1)</f>
        <v>0.0725874157609312</v>
      </c>
      <c r="R45" s="14" t="n">
        <f aca="false">IF(OR(N45="",F45="",F45=0),"n/a",N45/F45-1)</f>
        <v>0.368835606521299</v>
      </c>
      <c r="S45" s="14" t="n">
        <f aca="false">IF(OR(N45="",L45="",L45=0),"n/a",N45/L45-1)</f>
        <v>0.05725788414225</v>
      </c>
      <c r="T45" s="14" t="n">
        <f aca="false">IF(OR(J45="",H45="",H45=0),"n/a",J45/H45-1)</f>
        <v>-0.00353974268793533</v>
      </c>
      <c r="U45" s="14" t="n">
        <f aca="false">IF(N45="","",N45/$N$94)</f>
        <v>0.00435078621109109</v>
      </c>
      <c r="V45" s="15" t="n">
        <f aca="false">IF(OR(M45="",G45=""),"",M45-G45)</f>
        <v>4</v>
      </c>
      <c r="W45" s="9" t="str">
        <f aca="false">IF(COUNT(F45,H45,J45,L45,N45)&lt;5,"Partial-period row",IF(ISNUMBER(Q45),IF(ABS(Q45)&gt;0.1,"MoM move &gt; ±10%",""),""))</f>
        <v/>
      </c>
      <c r="X45" s="9"/>
    </row>
    <row r="46" customFormat="false" ht="15" hidden="false" customHeight="false" outlineLevel="0" collapsed="false">
      <c r="A46" s="9" t="n">
        <v>40</v>
      </c>
      <c r="B46" s="9" t="s">
        <v>94</v>
      </c>
      <c r="C46" s="9" t="s">
        <v>104</v>
      </c>
      <c r="D46" s="9" t="s">
        <v>105</v>
      </c>
      <c r="E46" s="10" t="n">
        <v>412</v>
      </c>
      <c r="F46" s="11" t="n">
        <v>38.93</v>
      </c>
      <c r="G46" s="10" t="n">
        <v>411</v>
      </c>
      <c r="H46" s="11" t="n">
        <v>37.62</v>
      </c>
      <c r="I46" s="10" t="n">
        <v>411</v>
      </c>
      <c r="J46" s="11" t="n">
        <v>38.01</v>
      </c>
      <c r="K46" s="10" t="n">
        <v>410</v>
      </c>
      <c r="L46" s="11" t="n">
        <v>38</v>
      </c>
      <c r="M46" s="10" t="n">
        <v>409</v>
      </c>
      <c r="N46" s="11" t="n">
        <v>37.4</v>
      </c>
      <c r="O46" s="12" t="n">
        <f aca="false">IF(OR(M46="",M46=0),"",N46*100/M46)</f>
        <v>9.14425427872861</v>
      </c>
      <c r="P46" s="13" t="n">
        <f aca="false">IF(OR(N46="",H46=""),"",N46-H46)</f>
        <v>-0.219999999999999</v>
      </c>
      <c r="Q46" s="14" t="n">
        <f aca="false">IF(OR(N46="",H46="",H46=0),"n/a",N46/H46-1)</f>
        <v>-0.00584795321637421</v>
      </c>
      <c r="R46" s="14" t="n">
        <f aca="false">IF(OR(N46="",F46="",F46=0),"n/a",N46/F46-1)</f>
        <v>-0.0393013100436681</v>
      </c>
      <c r="S46" s="14" t="n">
        <f aca="false">IF(OR(N46="",L46="",L46=0),"n/a",N46/L46-1)</f>
        <v>-0.0157894736842106</v>
      </c>
      <c r="T46" s="14" t="n">
        <f aca="false">IF(OR(J46="",H46="",H46=0),"n/a",J46/H46-1)</f>
        <v>0.0103668261562999</v>
      </c>
      <c r="U46" s="14" t="n">
        <f aca="false">IF(N46="","",N46/$N$94)</f>
        <v>0.000344233984122714</v>
      </c>
      <c r="V46" s="15" t="n">
        <f aca="false">IF(OR(M46="",G46=""),"",M46-G46)</f>
        <v>-2</v>
      </c>
      <c r="W46" s="9" t="str">
        <f aca="false">IF(COUNT(F46,H46,J46,L46,N46)&lt;5,"Partial-period row",IF(ISNUMBER(Q46),IF(ABS(Q46)&gt;0.1,"MoM move &gt; ±10%",""),""))</f>
        <v/>
      </c>
      <c r="X46" s="9"/>
    </row>
    <row r="47" customFormat="false" ht="15" hidden="false" customHeight="false" outlineLevel="0" collapsed="false">
      <c r="A47" s="9" t="n">
        <v>41</v>
      </c>
      <c r="B47" s="9" t="s">
        <v>94</v>
      </c>
      <c r="C47" s="9" t="s">
        <v>104</v>
      </c>
      <c r="D47" s="9" t="s">
        <v>106</v>
      </c>
      <c r="E47" s="10" t="n">
        <v>71</v>
      </c>
      <c r="F47" s="11" t="n">
        <v>0</v>
      </c>
      <c r="G47" s="10" t="n">
        <v>71</v>
      </c>
      <c r="H47" s="11" t="n">
        <v>0</v>
      </c>
      <c r="I47" s="10" t="n">
        <v>76</v>
      </c>
      <c r="J47" s="11" t="n">
        <v>0</v>
      </c>
      <c r="K47" s="10" t="n">
        <v>73</v>
      </c>
      <c r="L47" s="11" t="n">
        <v>0</v>
      </c>
      <c r="M47" s="10" t="n">
        <v>72</v>
      </c>
      <c r="N47" s="11" t="n">
        <v>0</v>
      </c>
      <c r="O47" s="12" t="n">
        <f aca="false">IF(OR(M47="",M47=0),"",N47*100/M47)</f>
        <v>0</v>
      </c>
      <c r="P47" s="13" t="n">
        <f aca="false">IF(OR(N47="",H47=""),"",N47-H47)</f>
        <v>0</v>
      </c>
      <c r="Q47" s="14" t="str">
        <f aca="false">IF(OR(N47="",H47="",H47=0),"n/a",N47/H47-1)</f>
        <v>n/a</v>
      </c>
      <c r="R47" s="14" t="str">
        <f aca="false">IF(OR(N47="",F47="",F47=0),"n/a",N47/F47-1)</f>
        <v>n/a</v>
      </c>
      <c r="S47" s="14" t="str">
        <f aca="false">IF(OR(N47="",L47="",L47=0),"n/a",N47/L47-1)</f>
        <v>n/a</v>
      </c>
      <c r="T47" s="14" t="str">
        <f aca="false">IF(OR(J47="",H47="",H47=0),"n/a",J47/H47-1)</f>
        <v>n/a</v>
      </c>
      <c r="U47" s="14" t="n">
        <f aca="false">IF(N47="","",N47/$N$94)</f>
        <v>0</v>
      </c>
      <c r="V47" s="15" t="n">
        <f aca="false">IF(OR(M47="",G47=""),"",M47-G47)</f>
        <v>1</v>
      </c>
      <c r="W47" s="9" t="str">
        <f aca="false">IF(COUNT(F47,H47,J47,L47,N47)&lt;5,"Partial-period row",IF(ISNUMBER(Q47),IF(ABS(Q47)&gt;0.1,"MoM move &gt; ±10%",""),""))</f>
        <v/>
      </c>
      <c r="X47" s="9"/>
    </row>
    <row r="48" customFormat="false" ht="15" hidden="false" customHeight="false" outlineLevel="0" collapsed="false">
      <c r="A48" s="9" t="n">
        <v>42</v>
      </c>
      <c r="B48" s="9" t="s">
        <v>94</v>
      </c>
      <c r="C48" s="9" t="s">
        <v>107</v>
      </c>
      <c r="D48" s="9" t="s">
        <v>108</v>
      </c>
      <c r="E48" s="10" t="n">
        <v>778</v>
      </c>
      <c r="F48" s="11" t="n">
        <v>3412.48</v>
      </c>
      <c r="G48" s="10" t="n">
        <v>766</v>
      </c>
      <c r="H48" s="11" t="n">
        <v>3399.69</v>
      </c>
      <c r="I48" s="10" t="n">
        <v>776</v>
      </c>
      <c r="J48" s="11" t="n">
        <v>3397.82</v>
      </c>
      <c r="K48" s="10" t="n">
        <v>777</v>
      </c>
      <c r="L48" s="11" t="n">
        <v>3557.34</v>
      </c>
      <c r="M48" s="10" t="n">
        <v>775</v>
      </c>
      <c r="N48" s="11" t="n">
        <v>3599.74</v>
      </c>
      <c r="O48" s="12" t="n">
        <f aca="false">IF(OR(M48="",M48=0),"",N48*100/M48)</f>
        <v>464.482580645161</v>
      </c>
      <c r="P48" s="13" t="n">
        <f aca="false">IF(OR(N48="",H48=""),"",N48-H48)</f>
        <v>200.05</v>
      </c>
      <c r="Q48" s="14" t="n">
        <f aca="false">IF(OR(N48="",H48="",H48=0),"n/a",N48/H48-1)</f>
        <v>0.058843600445923</v>
      </c>
      <c r="R48" s="14" t="n">
        <f aca="false">IF(OR(N48="",F48="",F48=0),"n/a",N48/F48-1)</f>
        <v>0.0548750468867216</v>
      </c>
      <c r="S48" s="14" t="n">
        <f aca="false">IF(OR(N48="",L48="",L48=0),"n/a",N48/L48-1)</f>
        <v>0.0119190181427695</v>
      </c>
      <c r="T48" s="14" t="n">
        <f aca="false">IF(OR(J48="",H48="",H48=0),"n/a",J48/H48-1)</f>
        <v>-0.000550050151631454</v>
      </c>
      <c r="U48" s="14" t="n">
        <f aca="false">IF(N48="","",N48/$N$94)</f>
        <v>0.033132428930639</v>
      </c>
      <c r="V48" s="15" t="n">
        <f aca="false">IF(OR(M48="",G48=""),"",M48-G48)</f>
        <v>9</v>
      </c>
      <c r="W48" s="9" t="str">
        <f aca="false">IF(COUNT(F48,H48,J48,L48,N48)&lt;5,"Partial-period row",IF(ISNUMBER(Q48),IF(ABS(Q48)&gt;0.1,"MoM move &gt; ±10%",""),""))</f>
        <v/>
      </c>
      <c r="X48" s="9"/>
    </row>
    <row r="49" customFormat="false" ht="15" hidden="false" customHeight="false" outlineLevel="0" collapsed="false">
      <c r="A49" s="9" t="n">
        <v>43</v>
      </c>
      <c r="B49" s="9" t="s">
        <v>94</v>
      </c>
      <c r="C49" s="9" t="s">
        <v>109</v>
      </c>
      <c r="D49" s="9" t="s">
        <v>110</v>
      </c>
      <c r="E49" s="10" t="n">
        <v>36</v>
      </c>
      <c r="F49" s="11" t="n">
        <v>0</v>
      </c>
      <c r="G49" s="10" t="n">
        <v>36</v>
      </c>
      <c r="H49" s="11" t="n">
        <v>0</v>
      </c>
      <c r="I49" s="10" t="n">
        <v>36</v>
      </c>
      <c r="J49" s="11" t="n">
        <v>0</v>
      </c>
      <c r="K49" s="10" t="n">
        <v>36</v>
      </c>
      <c r="L49" s="11" t="n">
        <v>0</v>
      </c>
      <c r="M49" s="10" t="n">
        <v>36</v>
      </c>
      <c r="N49" s="11" t="n">
        <v>0</v>
      </c>
      <c r="O49" s="12" t="n">
        <f aca="false">IF(OR(M49="",M49=0),"",N49*100/M49)</f>
        <v>0</v>
      </c>
      <c r="P49" s="13" t="n">
        <f aca="false">IF(OR(N49="",H49=""),"",N49-H49)</f>
        <v>0</v>
      </c>
      <c r="Q49" s="14" t="str">
        <f aca="false">IF(OR(N49="",H49="",H49=0),"n/a",N49/H49-1)</f>
        <v>n/a</v>
      </c>
      <c r="R49" s="14" t="str">
        <f aca="false">IF(OR(N49="",F49="",F49=0),"n/a",N49/F49-1)</f>
        <v>n/a</v>
      </c>
      <c r="S49" s="14" t="str">
        <f aca="false">IF(OR(N49="",L49="",L49=0),"n/a",N49/L49-1)</f>
        <v>n/a</v>
      </c>
      <c r="T49" s="14" t="str">
        <f aca="false">IF(OR(J49="",H49="",H49=0),"n/a",J49/H49-1)</f>
        <v>n/a</v>
      </c>
      <c r="U49" s="14" t="n">
        <f aca="false">IF(N49="","",N49/$N$94)</f>
        <v>0</v>
      </c>
      <c r="V49" s="15" t="n">
        <f aca="false">IF(OR(M49="",G49=""),"",M49-G49)</f>
        <v>0</v>
      </c>
      <c r="W49" s="9" t="str">
        <f aca="false">IF(COUNT(F49,H49,J49,L49,N49)&lt;5,"Partial-period row",IF(ISNUMBER(Q49),IF(ABS(Q49)&gt;0.1,"MoM move &gt; ±10%",""),""))</f>
        <v/>
      </c>
      <c r="X49" s="9"/>
    </row>
    <row r="50" customFormat="false" ht="15" hidden="false" customHeight="false" outlineLevel="0" collapsed="false">
      <c r="A50" s="9" t="n">
        <v>44</v>
      </c>
      <c r="B50" s="9" t="s">
        <v>94</v>
      </c>
      <c r="C50" s="9" t="s">
        <v>111</v>
      </c>
      <c r="D50" s="9" t="s">
        <v>112</v>
      </c>
      <c r="E50" s="10"/>
      <c r="F50" s="11"/>
      <c r="G50" s="10" t="n">
        <v>612</v>
      </c>
      <c r="H50" s="11" t="n">
        <v>21373.54</v>
      </c>
      <c r="I50" s="10"/>
      <c r="J50" s="11"/>
      <c r="K50" s="10"/>
      <c r="L50" s="11"/>
      <c r="M50" s="10"/>
      <c r="N50" s="11"/>
      <c r="O50" s="12" t="str">
        <f aca="false">IF(OR(M50="",M50=0),"",N50*100/M50)</f>
        <v/>
      </c>
      <c r="P50" s="13" t="str">
        <f aca="false">IF(OR(N50="",H50=""),"",N50-H50)</f>
        <v/>
      </c>
      <c r="Q50" s="14" t="str">
        <f aca="false">IF(OR(N50="",H50="",H50=0),"n/a",N50/H50-1)</f>
        <v>n/a</v>
      </c>
      <c r="R50" s="14" t="str">
        <f aca="false">IF(OR(N50="",F50="",F50=0),"n/a",N50/F50-1)</f>
        <v>n/a</v>
      </c>
      <c r="S50" s="14" t="str">
        <f aca="false">IF(OR(N50="",L50="",L50=0),"n/a",N50/L50-1)</f>
        <v>n/a</v>
      </c>
      <c r="T50" s="14" t="str">
        <f aca="false">IF(OR(J50="",H50="",H50=0),"n/a",J50/H50-1)</f>
        <v>n/a</v>
      </c>
      <c r="U50" s="14" t="str">
        <f aca="false">IF(N50="","",N50/$N$94)</f>
        <v/>
      </c>
      <c r="V50" s="15" t="str">
        <f aca="false">IF(OR(M50="",G50=""),"",M50-G50)</f>
        <v/>
      </c>
      <c r="W50" s="9" t="str">
        <f aca="false">IF(COUNT(F50,H50,J50,L50,N50)&lt;5,"Partial-period row",IF(ISNUMBER(Q50),IF(ABS(Q50)&gt;0.1,"MoM move &gt; ±10%",""),""))</f>
        <v>Partial-period row</v>
      </c>
      <c r="X50" s="16" t="s">
        <v>97</v>
      </c>
    </row>
    <row r="51" customFormat="false" ht="15" hidden="false" customHeight="false" outlineLevel="0" collapsed="false">
      <c r="A51" s="9" t="n">
        <v>45</v>
      </c>
      <c r="B51" s="9" t="s">
        <v>94</v>
      </c>
      <c r="C51" s="9" t="s">
        <v>113</v>
      </c>
      <c r="D51" s="9" t="s">
        <v>114</v>
      </c>
      <c r="E51" s="10" t="n">
        <v>82</v>
      </c>
      <c r="F51" s="11" t="n">
        <v>33.24</v>
      </c>
      <c r="G51" s="10" t="n">
        <v>86</v>
      </c>
      <c r="H51" s="11" t="n">
        <v>34.98</v>
      </c>
      <c r="I51" s="10" t="n">
        <v>88</v>
      </c>
      <c r="J51" s="11" t="n">
        <v>35.34</v>
      </c>
      <c r="K51" s="10" t="n">
        <v>88</v>
      </c>
      <c r="L51" s="11" t="n">
        <v>35.99</v>
      </c>
      <c r="M51" s="10" t="n">
        <v>87</v>
      </c>
      <c r="N51" s="11" t="n">
        <v>36.45</v>
      </c>
      <c r="O51" s="12" t="n">
        <f aca="false">IF(OR(M51="",M51=0),"",N51*100/M51)</f>
        <v>41.8965517241379</v>
      </c>
      <c r="P51" s="13" t="n">
        <f aca="false">IF(OR(N51="",H51=""),"",N51-H51)</f>
        <v>1.47000000000001</v>
      </c>
      <c r="Q51" s="14" t="n">
        <f aca="false">IF(OR(N51="",H51="",H51=0),"n/a",N51/H51-1)</f>
        <v>0.0420240137221271</v>
      </c>
      <c r="R51" s="14" t="n">
        <f aca="false">IF(OR(N51="",F51="",F51=0),"n/a",N51/F51-1)</f>
        <v>0.0965703971119134</v>
      </c>
      <c r="S51" s="14" t="n">
        <f aca="false">IF(OR(N51="",L51="",L51=0),"n/a",N51/L51-1)</f>
        <v>0.0127813281467075</v>
      </c>
      <c r="T51" s="14" t="n">
        <f aca="false">IF(OR(J51="",H51="",H51=0),"n/a",J51/H51-1)</f>
        <v>0.0102915951972558</v>
      </c>
      <c r="U51" s="14" t="n">
        <f aca="false">IF(N51="","",N51/$N$94)</f>
        <v>0.000335490072761308</v>
      </c>
      <c r="V51" s="15" t="n">
        <f aca="false">IF(OR(M51="",G51=""),"",M51-G51)</f>
        <v>1</v>
      </c>
      <c r="W51" s="9" t="str">
        <f aca="false">IF(COUNT(F51,H51,J51,L51,N51)&lt;5,"Partial-period row",IF(ISNUMBER(Q51),IF(ABS(Q51)&gt;0.1,"MoM move &gt; ±10%",""),""))</f>
        <v/>
      </c>
      <c r="X51" s="9"/>
    </row>
    <row r="52" customFormat="false" ht="15" hidden="false" customHeight="false" outlineLevel="0" collapsed="false">
      <c r="A52" s="9" t="n">
        <v>46</v>
      </c>
      <c r="B52" s="9" t="s">
        <v>94</v>
      </c>
      <c r="C52" s="9" t="s">
        <v>115</v>
      </c>
      <c r="D52" s="9" t="s">
        <v>116</v>
      </c>
      <c r="E52" s="10" t="n">
        <v>91</v>
      </c>
      <c r="F52" s="11" t="n">
        <v>1290.07</v>
      </c>
      <c r="G52" s="10" t="n">
        <v>100</v>
      </c>
      <c r="H52" s="11" t="n">
        <v>1517.32</v>
      </c>
      <c r="I52" s="10" t="n">
        <v>100</v>
      </c>
      <c r="J52" s="11" t="n">
        <v>1511.66</v>
      </c>
      <c r="K52" s="10" t="n">
        <v>96</v>
      </c>
      <c r="L52" s="11" t="n">
        <v>1499.7</v>
      </c>
      <c r="M52" s="10" t="n">
        <v>98</v>
      </c>
      <c r="N52" s="11" t="n">
        <v>1553.88</v>
      </c>
      <c r="O52" s="12" t="n">
        <f aca="false">IF(OR(M52="",M52=0),"",N52*100/M52)</f>
        <v>1585.59183673469</v>
      </c>
      <c r="P52" s="13" t="n">
        <f aca="false">IF(OR(N52="",H52=""),"",N52-H52)</f>
        <v>36.5600000000002</v>
      </c>
      <c r="Q52" s="14" t="n">
        <f aca="false">IF(OR(N52="",H52="",H52=0),"n/a",N52/H52-1)</f>
        <v>0.02409511507131</v>
      </c>
      <c r="R52" s="14" t="n">
        <f aca="false">IF(OR(N52="",F52="",F52=0),"n/a",N52/F52-1)</f>
        <v>0.20449277946158</v>
      </c>
      <c r="S52" s="14" t="n">
        <f aca="false">IF(OR(N52="",L52="",L52=0),"n/a",N52/L52-1)</f>
        <v>0.0361272254450891</v>
      </c>
      <c r="T52" s="14" t="n">
        <f aca="false">IF(OR(J52="",H52="",H52=0),"n/a",J52/H52-1)</f>
        <v>-0.00373026125009879</v>
      </c>
      <c r="U52" s="14" t="n">
        <f aca="false">IF(N52="","",N52/$N$94)</f>
        <v>0.0143020936697487</v>
      </c>
      <c r="V52" s="15" t="n">
        <f aca="false">IF(OR(M52="",G52=""),"",M52-G52)</f>
        <v>-2</v>
      </c>
      <c r="W52" s="9" t="str">
        <f aca="false">IF(COUNT(F52,H52,J52,L52,N52)&lt;5,"Partial-period row",IF(ISNUMBER(Q52),IF(ABS(Q52)&gt;0.1,"MoM move &gt; ±10%",""),""))</f>
        <v/>
      </c>
      <c r="X52" s="9"/>
    </row>
    <row r="53" customFormat="false" ht="15" hidden="false" customHeight="false" outlineLevel="0" collapsed="false">
      <c r="A53" s="9" t="n">
        <v>47</v>
      </c>
      <c r="B53" s="9" t="s">
        <v>94</v>
      </c>
      <c r="C53" s="9" t="s">
        <v>117</v>
      </c>
      <c r="D53" s="9" t="s">
        <v>118</v>
      </c>
      <c r="E53" s="10" t="n">
        <v>3977189</v>
      </c>
      <c r="F53" s="11" t="n">
        <v>8505.54</v>
      </c>
      <c r="G53" s="10" t="n">
        <v>3993388</v>
      </c>
      <c r="H53" s="11" t="n">
        <v>8531.71</v>
      </c>
      <c r="I53" s="10" t="n">
        <v>3998208</v>
      </c>
      <c r="J53" s="11" t="n">
        <v>8568.5</v>
      </c>
      <c r="K53" s="10" t="n">
        <v>3993850</v>
      </c>
      <c r="L53" s="11" t="n">
        <v>8529.83</v>
      </c>
      <c r="M53" s="10" t="n">
        <v>4007293</v>
      </c>
      <c r="N53" s="11" t="n">
        <v>8581.77</v>
      </c>
      <c r="O53" s="12" t="n">
        <f aca="false">IF(OR(M53="",M53=0),"",N53*100/M53)</f>
        <v>0.214153794094916</v>
      </c>
      <c r="P53" s="13" t="n">
        <f aca="false">IF(OR(N53="",H53=""),"",N53-H53)</f>
        <v>50.0600000000013</v>
      </c>
      <c r="Q53" s="14" t="n">
        <f aca="false">IF(OR(N53="",H53="",H53=0),"n/a",N53/H53-1)</f>
        <v>0.00586752245446709</v>
      </c>
      <c r="R53" s="14" t="n">
        <f aca="false">IF(OR(N53="",F53="",F53=0),"n/a",N53/F53-1)</f>
        <v>0.00896239392207887</v>
      </c>
      <c r="S53" s="14" t="n">
        <f aca="false">IF(OR(N53="",L53="",L53=0),"n/a",N53/L53-1)</f>
        <v>0.00608921865969192</v>
      </c>
      <c r="T53" s="14" t="n">
        <f aca="false">IF(OR(J53="",H53="",H53=0),"n/a",J53/H53-1)</f>
        <v>0.00431214844386418</v>
      </c>
      <c r="U53" s="14" t="n">
        <f aca="false">IF(N53="","",N53/$N$94)</f>
        <v>0.0789876170568123</v>
      </c>
      <c r="V53" s="15" t="n">
        <f aca="false">IF(OR(M53="",G53=""),"",M53-G53)</f>
        <v>13905</v>
      </c>
      <c r="W53" s="9" t="str">
        <f aca="false">IF(COUNT(F53,H53,J53,L53,N53)&lt;5,"Partial-period row",IF(ISNUMBER(Q53),IF(ABS(Q53)&gt;0.1,"MoM move &gt; ±10%",""),""))</f>
        <v/>
      </c>
      <c r="X53" s="9"/>
    </row>
    <row r="54" customFormat="false" ht="15" hidden="false" customHeight="false" outlineLevel="0" collapsed="false">
      <c r="A54" s="9" t="n">
        <v>48</v>
      </c>
      <c r="B54" s="9" t="s">
        <v>94</v>
      </c>
      <c r="C54" s="9" t="s">
        <v>119</v>
      </c>
      <c r="D54" s="9" t="s">
        <v>120</v>
      </c>
      <c r="E54" s="10" t="n">
        <v>398</v>
      </c>
      <c r="F54" s="11" t="n">
        <v>8366.89</v>
      </c>
      <c r="G54" s="10" t="n">
        <v>413</v>
      </c>
      <c r="H54" s="11" t="n">
        <v>9891.82</v>
      </c>
      <c r="I54" s="10" t="n">
        <v>415</v>
      </c>
      <c r="J54" s="11" t="n">
        <v>10178.62</v>
      </c>
      <c r="K54" s="10" t="n">
        <v>430</v>
      </c>
      <c r="L54" s="11" t="n">
        <v>10449.81</v>
      </c>
      <c r="M54" s="10" t="n">
        <v>636</v>
      </c>
      <c r="N54" s="11" t="n">
        <v>19782.87</v>
      </c>
      <c r="O54" s="12" t="n">
        <f aca="false">IF(OR(M54="",M54=0),"",N54*100/M54)</f>
        <v>3110.5141509434</v>
      </c>
      <c r="P54" s="13" t="n">
        <f aca="false">IF(OR(N54="",H54=""),"",N54-H54)</f>
        <v>9891.05</v>
      </c>
      <c r="Q54" s="14" t="n">
        <f aca="false">IF(OR(N54="",H54="",H54=0),"n/a",N54/H54-1)</f>
        <v>0.999922157904208</v>
      </c>
      <c r="R54" s="14" t="n">
        <f aca="false">IF(OR(N54="",F54="",F54=0),"n/a",N54/F54-1)</f>
        <v>1.36442334009411</v>
      </c>
      <c r="S54" s="14" t="n">
        <f aca="false">IF(OR(N54="",L54="",L54=0),"n/a",N54/L54-1)</f>
        <v>0.893132028237834</v>
      </c>
      <c r="T54" s="14" t="n">
        <f aca="false">IF(OR(J54="",H54="",H54=0),"n/a",J54/H54-1)</f>
        <v>0.0289936533418522</v>
      </c>
      <c r="U54" s="14" t="n">
        <f aca="false">IF(N54="","",N54/$N$94)</f>
        <v>0.182083854478121</v>
      </c>
      <c r="V54" s="15" t="n">
        <f aca="false">IF(OR(M54="",G54=""),"",M54-G54)</f>
        <v>223</v>
      </c>
      <c r="W54" s="9" t="str">
        <f aca="false">IF(COUNT(F54,H54,J54,L54,N54)&lt;5,"Partial-period row",IF(ISNUMBER(Q54),IF(ABS(Q54)&gt;0.1,"MoM move &gt; ±10%",""),""))</f>
        <v>MoM move &gt; ±10%</v>
      </c>
      <c r="X54" s="16" t="s">
        <v>97</v>
      </c>
    </row>
    <row r="55" customFormat="false" ht="15" hidden="false" customHeight="false" outlineLevel="0" collapsed="false">
      <c r="A55" s="9" t="n">
        <v>49</v>
      </c>
      <c r="B55" s="9" t="s">
        <v>94</v>
      </c>
      <c r="C55" s="9" t="s">
        <v>121</v>
      </c>
      <c r="D55" s="9" t="s">
        <v>122</v>
      </c>
      <c r="E55" s="10" t="n">
        <v>5002</v>
      </c>
      <c r="F55" s="11" t="n">
        <v>35.97</v>
      </c>
      <c r="G55" s="10" t="n">
        <v>4263</v>
      </c>
      <c r="H55" s="11" t="n">
        <v>31.84</v>
      </c>
      <c r="I55" s="10" t="n">
        <v>4149</v>
      </c>
      <c r="J55" s="11" t="n">
        <v>31.84</v>
      </c>
      <c r="K55" s="10" t="n">
        <v>4148</v>
      </c>
      <c r="L55" s="11" t="n">
        <v>31.84</v>
      </c>
      <c r="M55" s="10" t="n">
        <v>3461</v>
      </c>
      <c r="N55" s="11" t="n">
        <v>27.84</v>
      </c>
      <c r="O55" s="12" t="n">
        <f aca="false">IF(OR(M55="",M55=0),"",N55*100/M55)</f>
        <v>0.80439179427911</v>
      </c>
      <c r="P55" s="13" t="n">
        <f aca="false">IF(OR(N55="",H55=""),"",N55-H55)</f>
        <v>-4</v>
      </c>
      <c r="Q55" s="14" t="n">
        <f aca="false">IF(OR(N55="",H55="",H55=0),"n/a",N55/H55-1)</f>
        <v>-0.125628140703518</v>
      </c>
      <c r="R55" s="14" t="n">
        <f aca="false">IF(OR(N55="",F55="",F55=0),"n/a",N55/F55-1)</f>
        <v>-0.226021684737281</v>
      </c>
      <c r="S55" s="14" t="n">
        <f aca="false">IF(OR(N55="",L55="",L55=0),"n/a",N55/L55-1)</f>
        <v>-0.125628140703518</v>
      </c>
      <c r="T55" s="14" t="n">
        <f aca="false">IF(OR(J55="",H55="",H55=0),"n/a",J55/H55-1)</f>
        <v>0</v>
      </c>
      <c r="U55" s="14" t="n">
        <f aca="false">IF(N55="","",N55/$N$94)</f>
        <v>0.000256242623475303</v>
      </c>
      <c r="V55" s="15" t="n">
        <f aca="false">IF(OR(M55="",G55=""),"",M55-G55)</f>
        <v>-802</v>
      </c>
      <c r="W55" s="9" t="str">
        <f aca="false">IF(COUNT(F55,H55,J55,L55,N55)&lt;5,"Partial-period row",IF(ISNUMBER(Q55),IF(ABS(Q55)&gt;0.1,"MoM move &gt; ±10%",""),""))</f>
        <v>MoM move &gt; ±10%</v>
      </c>
      <c r="X55" s="9"/>
    </row>
    <row r="56" customFormat="false" ht="15" hidden="false" customHeight="false" outlineLevel="0" collapsed="false">
      <c r="A56" s="9" t="n">
        <v>50</v>
      </c>
      <c r="B56" s="9" t="s">
        <v>94</v>
      </c>
      <c r="C56" s="9" t="s">
        <v>123</v>
      </c>
      <c r="D56" s="9" t="s">
        <v>124</v>
      </c>
      <c r="E56" s="10" t="n">
        <v>118061</v>
      </c>
      <c r="F56" s="11" t="n">
        <v>4170.23</v>
      </c>
      <c r="G56" s="10" t="n">
        <v>117820</v>
      </c>
      <c r="H56" s="11" t="n">
        <v>4132.62</v>
      </c>
      <c r="I56" s="10" t="n">
        <v>114679</v>
      </c>
      <c r="J56" s="11" t="n">
        <v>4217.46</v>
      </c>
      <c r="K56" s="10" t="n">
        <v>114691</v>
      </c>
      <c r="L56" s="11" t="n">
        <v>4215.43</v>
      </c>
      <c r="M56" s="10" t="n">
        <v>113707</v>
      </c>
      <c r="N56" s="11" t="n">
        <v>4331.52</v>
      </c>
      <c r="O56" s="12" t="n">
        <f aca="false">IF(OR(M56="",M56=0),"",N56*100/M56)</f>
        <v>3.80936969579709</v>
      </c>
      <c r="P56" s="13" t="n">
        <f aca="false">IF(OR(N56="",H56=""),"",N56-H56)</f>
        <v>198.900000000001</v>
      </c>
      <c r="Q56" s="14" t="n">
        <f aca="false">IF(OR(N56="",H56="",H56=0),"n/a",N56/H56-1)</f>
        <v>0.0481292739230803</v>
      </c>
      <c r="R56" s="14" t="n">
        <f aca="false">IF(OR(N56="",F56="",F56=0),"n/a",N56/F56-1)</f>
        <v>0.038676523836815</v>
      </c>
      <c r="S56" s="14" t="n">
        <f aca="false">IF(OR(N56="",L56="",L56=0),"n/a",N56/L56-1)</f>
        <v>0.0275393020403614</v>
      </c>
      <c r="T56" s="14" t="n">
        <f aca="false">IF(OR(J56="",H56="",H56=0),"n/a",J56/H56-1)</f>
        <v>0.0205293494199805</v>
      </c>
      <c r="U56" s="14" t="n">
        <f aca="false">IF(N56="","",N56/$N$94)</f>
        <v>0.0398678178317438</v>
      </c>
      <c r="V56" s="15" t="n">
        <f aca="false">IF(OR(M56="",G56=""),"",M56-G56)</f>
        <v>-4113</v>
      </c>
      <c r="W56" s="9" t="str">
        <f aca="false">IF(COUNT(F56,H56,J56,L56,N56)&lt;5,"Partial-period row",IF(ISNUMBER(Q56),IF(ABS(Q56)&gt;0.1,"MoM move &gt; ±10%",""),""))</f>
        <v/>
      </c>
      <c r="X56" s="9"/>
    </row>
    <row r="57" customFormat="false" ht="15" hidden="false" customHeight="false" outlineLevel="0" collapsed="false">
      <c r="A57" s="9" t="n">
        <v>51</v>
      </c>
      <c r="B57" s="9" t="s">
        <v>94</v>
      </c>
      <c r="C57" s="9" t="s">
        <v>125</v>
      </c>
      <c r="D57" s="9" t="s">
        <v>126</v>
      </c>
      <c r="E57" s="10" t="n">
        <v>12</v>
      </c>
      <c r="F57" s="11" t="n">
        <v>0.02</v>
      </c>
      <c r="G57" s="10" t="n">
        <v>12</v>
      </c>
      <c r="H57" s="11" t="n">
        <v>0.02</v>
      </c>
      <c r="I57" s="10" t="n">
        <v>12</v>
      </c>
      <c r="J57" s="11" t="n">
        <v>0.02</v>
      </c>
      <c r="K57" s="10" t="n">
        <v>12</v>
      </c>
      <c r="L57" s="11" t="n">
        <v>0.02</v>
      </c>
      <c r="M57" s="10" t="n">
        <v>12</v>
      </c>
      <c r="N57" s="11" t="n">
        <v>0.02</v>
      </c>
      <c r="O57" s="12" t="n">
        <f aca="false">IF(OR(M57="",M57=0),"",N57*100/M57)</f>
        <v>0.166666666666667</v>
      </c>
      <c r="P57" s="13" t="n">
        <f aca="false">IF(OR(N57="",H57=""),"",N57-H57)</f>
        <v>0</v>
      </c>
      <c r="Q57" s="14" t="n">
        <f aca="false">IF(OR(N57="",H57="",H57=0),"n/a",N57/H57-1)</f>
        <v>0</v>
      </c>
      <c r="R57" s="14" t="n">
        <f aca="false">IF(OR(N57="",F57="",F57=0),"n/a",N57/F57-1)</f>
        <v>0</v>
      </c>
      <c r="S57" s="14" t="n">
        <f aca="false">IF(OR(N57="",L57="",L57=0),"n/a",N57/L57-1)</f>
        <v>0</v>
      </c>
      <c r="T57" s="14" t="n">
        <f aca="false">IF(OR(J57="",H57="",H57=0),"n/a",J57/H57-1)</f>
        <v>0</v>
      </c>
      <c r="U57" s="14" t="n">
        <f aca="false">IF(N57="","",N57/$N$94)</f>
        <v>1.84082344450649E-007</v>
      </c>
      <c r="V57" s="15" t="n">
        <f aca="false">IF(OR(M57="",G57=""),"",M57-G57)</f>
        <v>0</v>
      </c>
      <c r="W57" s="9" t="str">
        <f aca="false">IF(COUNT(F57,H57,J57,L57,N57)&lt;5,"Partial-period row",IF(ISNUMBER(Q57),IF(ABS(Q57)&gt;0.1,"MoM move &gt; ±10%",""),""))</f>
        <v/>
      </c>
      <c r="X57" s="9"/>
    </row>
    <row r="58" customFormat="false" ht="15" hidden="false" customHeight="false" outlineLevel="0" collapsed="false">
      <c r="A58" s="9" t="n">
        <v>52</v>
      </c>
      <c r="B58" s="9" t="s">
        <v>94</v>
      </c>
      <c r="C58" s="9" t="s">
        <v>127</v>
      </c>
      <c r="D58" s="9" t="s">
        <v>128</v>
      </c>
      <c r="E58" s="10" t="n">
        <v>124</v>
      </c>
      <c r="F58" s="11" t="n">
        <v>6.83</v>
      </c>
      <c r="G58" s="10" t="n">
        <v>127</v>
      </c>
      <c r="H58" s="11" t="n">
        <v>6.86</v>
      </c>
      <c r="I58" s="10" t="n">
        <v>127</v>
      </c>
      <c r="J58" s="11" t="n">
        <v>6.88</v>
      </c>
      <c r="K58" s="10" t="n">
        <v>128</v>
      </c>
      <c r="L58" s="11" t="n">
        <v>6.91</v>
      </c>
      <c r="M58" s="10" t="n">
        <v>127</v>
      </c>
      <c r="N58" s="11" t="n">
        <v>6.73</v>
      </c>
      <c r="O58" s="12" t="n">
        <f aca="false">IF(OR(M58="",M58=0),"",N58*100/M58)</f>
        <v>5.2992125984252</v>
      </c>
      <c r="P58" s="13" t="n">
        <f aca="false">IF(OR(N58="",H58=""),"",N58-H58)</f>
        <v>-0.13</v>
      </c>
      <c r="Q58" s="14" t="n">
        <f aca="false">IF(OR(N58="",H58="",H58=0),"n/a",N58/H58-1)</f>
        <v>-0.0189504373177842</v>
      </c>
      <c r="R58" s="14" t="n">
        <f aca="false">IF(OR(N58="",F58="",F58=0),"n/a",N58/F58-1)</f>
        <v>-0.0146412884333821</v>
      </c>
      <c r="S58" s="14" t="n">
        <f aca="false">IF(OR(N58="",L58="",L58=0),"n/a",N58/L58-1)</f>
        <v>-0.0260492040520983</v>
      </c>
      <c r="T58" s="14" t="n">
        <f aca="false">IF(OR(J58="",H58="",H58=0),"n/a",J58/H58-1)</f>
        <v>0.00291545189504361</v>
      </c>
      <c r="U58" s="14" t="n">
        <f aca="false">IF(N58="","",N58/$N$94)</f>
        <v>6.19437089076434E-005</v>
      </c>
      <c r="V58" s="15" t="n">
        <f aca="false">IF(OR(M58="",G58=""),"",M58-G58)</f>
        <v>0</v>
      </c>
      <c r="W58" s="9" t="str">
        <f aca="false">IF(COUNT(F58,H58,J58,L58,N58)&lt;5,"Partial-period row",IF(ISNUMBER(Q58),IF(ABS(Q58)&gt;0.1,"MoM move &gt; ±10%",""),""))</f>
        <v/>
      </c>
      <c r="X58" s="9"/>
    </row>
    <row r="59" customFormat="false" ht="15" hidden="false" customHeight="false" outlineLevel="0" collapsed="false">
      <c r="A59" s="9" t="n">
        <v>53</v>
      </c>
      <c r="B59" s="9" t="s">
        <v>94</v>
      </c>
      <c r="C59" s="9" t="s">
        <v>129</v>
      </c>
      <c r="D59" s="9" t="s">
        <v>130</v>
      </c>
      <c r="E59" s="10" t="n">
        <v>346</v>
      </c>
      <c r="F59" s="11" t="n">
        <v>3857.43</v>
      </c>
      <c r="G59" s="10" t="n">
        <v>348</v>
      </c>
      <c r="H59" s="11" t="n">
        <v>3925.44</v>
      </c>
      <c r="I59" s="10" t="n">
        <v>352</v>
      </c>
      <c r="J59" s="11" t="n">
        <v>4023.49</v>
      </c>
      <c r="K59" s="10" t="n">
        <v>347</v>
      </c>
      <c r="L59" s="11" t="n">
        <v>4015.1</v>
      </c>
      <c r="M59" s="10" t="n">
        <v>346</v>
      </c>
      <c r="N59" s="11" t="n">
        <v>3823.16</v>
      </c>
      <c r="O59" s="12" t="n">
        <f aca="false">IF(OR(M59="",M59=0),"",N59*100/M59)</f>
        <v>1104.95953757225</v>
      </c>
      <c r="P59" s="13" t="n">
        <f aca="false">IF(OR(N59="",H59=""),"",N59-H59)</f>
        <v>-102.28</v>
      </c>
      <c r="Q59" s="14" t="n">
        <f aca="false">IF(OR(N59="",H59="",H59=0),"n/a",N59/H59-1)</f>
        <v>-0.0260556778348415</v>
      </c>
      <c r="R59" s="14" t="n">
        <f aca="false">IF(OR(N59="",F59="",F59=0),"n/a",N59/F59-1)</f>
        <v>-0.00888415343894766</v>
      </c>
      <c r="S59" s="14" t="n">
        <f aca="false">IF(OR(N59="",L59="",L59=0),"n/a",N59/L59-1)</f>
        <v>-0.0478045378695425</v>
      </c>
      <c r="T59" s="14" t="n">
        <f aca="false">IF(OR(J59="",H59="",H59=0),"n/a",J59/H59-1)</f>
        <v>0.0249780916279447</v>
      </c>
      <c r="U59" s="14" t="n">
        <f aca="false">IF(N59="","",N59/$N$94)</f>
        <v>0.0351888128004972</v>
      </c>
      <c r="V59" s="15" t="n">
        <f aca="false">IF(OR(M59="",G59=""),"",M59-G59)</f>
        <v>-2</v>
      </c>
      <c r="W59" s="9" t="str">
        <f aca="false">IF(COUNT(F59,H59,J59,L59,N59)&lt;5,"Partial-period row",IF(ISNUMBER(Q59),IF(ABS(Q59)&gt;0.1,"MoM move &gt; ±10%",""),""))</f>
        <v/>
      </c>
      <c r="X59" s="9"/>
    </row>
    <row r="60" customFormat="false" ht="15" hidden="false" customHeight="false" outlineLevel="0" collapsed="false">
      <c r="A60" s="9" t="n">
        <v>54</v>
      </c>
      <c r="B60" s="9" t="s">
        <v>94</v>
      </c>
      <c r="C60" s="9" t="s">
        <v>129</v>
      </c>
      <c r="D60" s="9" t="s">
        <v>131</v>
      </c>
      <c r="E60" s="10" t="n">
        <v>1</v>
      </c>
      <c r="F60" s="11" t="n">
        <v>0</v>
      </c>
      <c r="G60" s="10" t="n">
        <v>1</v>
      </c>
      <c r="H60" s="11" t="n">
        <v>0</v>
      </c>
      <c r="I60" s="10" t="n">
        <v>1</v>
      </c>
      <c r="J60" s="11" t="n">
        <v>0</v>
      </c>
      <c r="K60" s="10" t="n">
        <v>1</v>
      </c>
      <c r="L60" s="11" t="n">
        <v>0</v>
      </c>
      <c r="M60" s="10" t="n">
        <v>1</v>
      </c>
      <c r="N60" s="11" t="n">
        <v>0</v>
      </c>
      <c r="O60" s="12" t="n">
        <f aca="false">IF(OR(M60="",M60=0),"",N60*100/M60)</f>
        <v>0</v>
      </c>
      <c r="P60" s="13" t="n">
        <f aca="false">IF(OR(N60="",H60=""),"",N60-H60)</f>
        <v>0</v>
      </c>
      <c r="Q60" s="14" t="str">
        <f aca="false">IF(OR(N60="",H60="",H60=0),"n/a",N60/H60-1)</f>
        <v>n/a</v>
      </c>
      <c r="R60" s="14" t="str">
        <f aca="false">IF(OR(N60="",F60="",F60=0),"n/a",N60/F60-1)</f>
        <v>n/a</v>
      </c>
      <c r="S60" s="14" t="str">
        <f aca="false">IF(OR(N60="",L60="",L60=0),"n/a",N60/L60-1)</f>
        <v>n/a</v>
      </c>
      <c r="T60" s="14" t="str">
        <f aca="false">IF(OR(J60="",H60="",H60=0),"n/a",J60/H60-1)</f>
        <v>n/a</v>
      </c>
      <c r="U60" s="14" t="n">
        <f aca="false">IF(N60="","",N60/$N$94)</f>
        <v>0</v>
      </c>
      <c r="V60" s="15" t="n">
        <f aca="false">IF(OR(M60="",G60=""),"",M60-G60)</f>
        <v>0</v>
      </c>
      <c r="W60" s="9" t="str">
        <f aca="false">IF(COUNT(F60,H60,J60,L60,N60)&lt;5,"Partial-period row",IF(ISNUMBER(Q60),IF(ABS(Q60)&gt;0.1,"MoM move &gt; ±10%",""),""))</f>
        <v/>
      </c>
      <c r="X60" s="9"/>
    </row>
    <row r="61" customFormat="false" ht="15" hidden="false" customHeight="false" outlineLevel="0" collapsed="false">
      <c r="A61" s="9" t="n">
        <v>55</v>
      </c>
      <c r="B61" s="9" t="s">
        <v>94</v>
      </c>
      <c r="C61" s="9" t="s">
        <v>132</v>
      </c>
      <c r="D61" s="9" t="s">
        <v>133</v>
      </c>
      <c r="E61" s="10" t="n">
        <v>4793</v>
      </c>
      <c r="F61" s="11" t="n">
        <v>45.61</v>
      </c>
      <c r="G61" s="10" t="n">
        <v>4719</v>
      </c>
      <c r="H61" s="11" t="n">
        <v>43.7</v>
      </c>
      <c r="I61" s="10" t="n">
        <v>4688</v>
      </c>
      <c r="J61" s="11" t="n">
        <v>43.56</v>
      </c>
      <c r="K61" s="10" t="n">
        <v>4680</v>
      </c>
      <c r="L61" s="11" t="n">
        <v>43.33</v>
      </c>
      <c r="M61" s="10" t="n">
        <v>4641</v>
      </c>
      <c r="N61" s="11" t="n">
        <v>42.08</v>
      </c>
      <c r="O61" s="12" t="n">
        <f aca="false">IF(OR(M61="",M61=0),"",N61*100/M61)</f>
        <v>0.90670114199526</v>
      </c>
      <c r="P61" s="13" t="n">
        <f aca="false">IF(OR(N61="",H61=""),"",N61-H61)</f>
        <v>-1.62</v>
      </c>
      <c r="Q61" s="14" t="n">
        <f aca="false">IF(OR(N61="",H61="",H61=0),"n/a",N61/H61-1)</f>
        <v>-0.0370709382151031</v>
      </c>
      <c r="R61" s="14" t="n">
        <f aca="false">IF(OR(N61="",F61="",F61=0),"n/a",N61/F61-1)</f>
        <v>-0.0773953080464811</v>
      </c>
      <c r="S61" s="14" t="n">
        <f aca="false">IF(OR(N61="",L61="",L61=0),"n/a",N61/L61-1)</f>
        <v>-0.0288483729517656</v>
      </c>
      <c r="T61" s="14" t="n">
        <f aca="false">IF(OR(J61="",H61="",H61=0),"n/a",J61/H61-1)</f>
        <v>-0.00320366132723116</v>
      </c>
      <c r="U61" s="14" t="n">
        <f aca="false">IF(N61="","",N61/$N$94)</f>
        <v>0.000387309252724166</v>
      </c>
      <c r="V61" s="15" t="n">
        <f aca="false">IF(OR(M61="",G61=""),"",M61-G61)</f>
        <v>-78</v>
      </c>
      <c r="W61" s="9" t="str">
        <f aca="false">IF(COUNT(F61,H61,J61,L61,N61)&lt;5,"Partial-period row",IF(ISNUMBER(Q61),IF(ABS(Q61)&gt;0.1,"MoM move &gt; ±10%",""),""))</f>
        <v/>
      </c>
      <c r="X61" s="9"/>
    </row>
    <row r="62" customFormat="false" ht="15" hidden="false" customHeight="false" outlineLevel="0" collapsed="false">
      <c r="A62" s="9" t="n">
        <v>56</v>
      </c>
      <c r="B62" s="9" t="s">
        <v>94</v>
      </c>
      <c r="C62" s="9" t="s">
        <v>134</v>
      </c>
      <c r="D62" s="9" t="s">
        <v>135</v>
      </c>
      <c r="E62" s="10" t="n">
        <v>257</v>
      </c>
      <c r="F62" s="11" t="n">
        <v>36.21</v>
      </c>
      <c r="G62" s="10" t="n">
        <v>266</v>
      </c>
      <c r="H62" s="11" t="n">
        <v>36.64</v>
      </c>
      <c r="I62" s="10" t="n">
        <v>266</v>
      </c>
      <c r="J62" s="11" t="n">
        <v>36.5</v>
      </c>
      <c r="K62" s="10" t="n">
        <v>265</v>
      </c>
      <c r="L62" s="11" t="n">
        <v>36.5</v>
      </c>
      <c r="M62" s="10" t="n">
        <v>268</v>
      </c>
      <c r="N62" s="11" t="n">
        <v>36.4</v>
      </c>
      <c r="O62" s="12" t="n">
        <f aca="false">IF(OR(M62="",M62=0),"",N62*100/M62)</f>
        <v>13.5820895522388</v>
      </c>
      <c r="P62" s="13" t="n">
        <f aca="false">IF(OR(N62="",H62=""),"",N62-H62)</f>
        <v>-0.240000000000002</v>
      </c>
      <c r="Q62" s="14" t="n">
        <f aca="false">IF(OR(N62="",H62="",H62=0),"n/a",N62/H62-1)</f>
        <v>-0.00655021834061142</v>
      </c>
      <c r="R62" s="14" t="n">
        <f aca="false">IF(OR(N62="",F62="",F62=0),"n/a",N62/F62-1)</f>
        <v>0.00524716929025115</v>
      </c>
      <c r="S62" s="14" t="n">
        <f aca="false">IF(OR(N62="",L62="",L62=0),"n/a",N62/L62-1)</f>
        <v>-0.00273972602739725</v>
      </c>
      <c r="T62" s="14" t="n">
        <f aca="false">IF(OR(J62="",H62="",H62=0),"n/a",J62/H62-1)</f>
        <v>-0.00382096069868998</v>
      </c>
      <c r="U62" s="14" t="n">
        <f aca="false">IF(N62="","",N62/$N$94)</f>
        <v>0.000335029866900181</v>
      </c>
      <c r="V62" s="15" t="n">
        <f aca="false">IF(OR(M62="",G62=""),"",M62-G62)</f>
        <v>2</v>
      </c>
      <c r="W62" s="9" t="str">
        <f aca="false">IF(COUNT(F62,H62,J62,L62,N62)&lt;5,"Partial-period row",IF(ISNUMBER(Q62),IF(ABS(Q62)&gt;0.1,"MoM move &gt; ±10%",""),""))</f>
        <v/>
      </c>
      <c r="X62" s="9"/>
    </row>
    <row r="63" customFormat="false" ht="15" hidden="false" customHeight="false" outlineLevel="0" collapsed="false">
      <c r="A63" s="9" t="n">
        <v>57</v>
      </c>
      <c r="B63" s="9" t="s">
        <v>94</v>
      </c>
      <c r="C63" s="9" t="s">
        <v>136</v>
      </c>
      <c r="D63" s="9" t="s">
        <v>137</v>
      </c>
      <c r="E63" s="10" t="n">
        <v>6609</v>
      </c>
      <c r="F63" s="11" t="n">
        <v>1236.23</v>
      </c>
      <c r="G63" s="10" t="n">
        <v>6708</v>
      </c>
      <c r="H63" s="11" t="n">
        <v>1284.44</v>
      </c>
      <c r="I63" s="10" t="n">
        <v>6846</v>
      </c>
      <c r="J63" s="11" t="n">
        <v>1358.51</v>
      </c>
      <c r="K63" s="10" t="n">
        <v>6785</v>
      </c>
      <c r="L63" s="11" t="n">
        <v>1241.25</v>
      </c>
      <c r="M63" s="10" t="n">
        <v>6774</v>
      </c>
      <c r="N63" s="11" t="n">
        <v>1294.22</v>
      </c>
      <c r="O63" s="12" t="n">
        <f aca="false">IF(OR(M63="",M63=0),"",N63*100/M63)</f>
        <v>19.1056982580455</v>
      </c>
      <c r="P63" s="13" t="n">
        <f aca="false">IF(OR(N63="",H63=""),"",N63-H63)</f>
        <v>9.77999999999997</v>
      </c>
      <c r="Q63" s="14" t="n">
        <f aca="false">IF(OR(N63="",H63="",H63=0),"n/a",N63/H63-1)</f>
        <v>0.00761421319796951</v>
      </c>
      <c r="R63" s="14" t="n">
        <f aca="false">IF(OR(N63="",F63="",F63=0),"n/a",N63/F63-1)</f>
        <v>0.0469087467542448</v>
      </c>
      <c r="S63" s="14" t="n">
        <f aca="false">IF(OR(N63="",L63="",L63=0),"n/a",N63/L63-1)</f>
        <v>0.0426747230614299</v>
      </c>
      <c r="T63" s="14" t="n">
        <f aca="false">IF(OR(J63="",H63="",H63=0),"n/a",J63/H63-1)</f>
        <v>0.0576671545576282</v>
      </c>
      <c r="U63" s="14" t="n">
        <f aca="false">IF(N63="","",N63/$N$94)</f>
        <v>0.011912152591746</v>
      </c>
      <c r="V63" s="15" t="n">
        <f aca="false">IF(OR(M63="",G63=""),"",M63-G63)</f>
        <v>66</v>
      </c>
      <c r="W63" s="9" t="str">
        <f aca="false">IF(COUNT(F63,H63,J63,L63,N63)&lt;5,"Partial-period row",IF(ISNUMBER(Q63),IF(ABS(Q63)&gt;0.1,"MoM move &gt; ±10%",""),""))</f>
        <v/>
      </c>
      <c r="X63" s="9"/>
    </row>
    <row r="64" customFormat="false" ht="15" hidden="false" customHeight="false" outlineLevel="0" collapsed="false">
      <c r="A64" s="9" t="n">
        <v>58</v>
      </c>
      <c r="B64" s="9" t="s">
        <v>94</v>
      </c>
      <c r="C64" s="9" t="s">
        <v>138</v>
      </c>
      <c r="D64" s="9" t="s">
        <v>139</v>
      </c>
      <c r="E64" s="10" t="n">
        <v>180</v>
      </c>
      <c r="F64" s="11" t="n">
        <v>1298.97</v>
      </c>
      <c r="G64" s="10" t="n">
        <v>176</v>
      </c>
      <c r="H64" s="11" t="n">
        <v>1367.46</v>
      </c>
      <c r="I64" s="10" t="n">
        <v>176</v>
      </c>
      <c r="J64" s="11" t="n">
        <v>1360.81</v>
      </c>
      <c r="K64" s="10" t="n">
        <v>176</v>
      </c>
      <c r="L64" s="11" t="n">
        <v>1304.95</v>
      </c>
      <c r="M64" s="10" t="n">
        <v>177</v>
      </c>
      <c r="N64" s="11" t="n">
        <v>1437.17</v>
      </c>
      <c r="O64" s="12" t="n">
        <f aca="false">IF(OR(M64="",M64=0),"",N64*100/M64)</f>
        <v>811.960451977401</v>
      </c>
      <c r="P64" s="13" t="n">
        <f aca="false">IF(OR(N64="",H64=""),"",N64-H64)</f>
        <v>69.71</v>
      </c>
      <c r="Q64" s="14" t="n">
        <f aca="false">IF(OR(N64="",H64="",H64=0),"n/a",N64/H64-1)</f>
        <v>0.0509777251254151</v>
      </c>
      <c r="R64" s="14" t="n">
        <f aca="false">IF(OR(N64="",F64="",F64=0),"n/a",N64/F64-1)</f>
        <v>0.106391987497787</v>
      </c>
      <c r="S64" s="14" t="n">
        <f aca="false">IF(OR(N64="",L64="",L64=0),"n/a",N64/L64-1)</f>
        <v>0.101321889727576</v>
      </c>
      <c r="T64" s="14" t="n">
        <f aca="false">IF(OR(J64="",H64="",H64=0),"n/a",J64/H64-1)</f>
        <v>-0.00486303072850403</v>
      </c>
      <c r="U64" s="14" t="n">
        <f aca="false">IF(N64="","",N64/$N$94)</f>
        <v>0.013227881148707</v>
      </c>
      <c r="V64" s="15" t="n">
        <f aca="false">IF(OR(M64="",G64=""),"",M64-G64)</f>
        <v>1</v>
      </c>
      <c r="W64" s="9" t="str">
        <f aca="false">IF(COUNT(F64,H64,J64,L64,N64)&lt;5,"Partial-period row",IF(ISNUMBER(Q64),IF(ABS(Q64)&gt;0.1,"MoM move &gt; ±10%",""),""))</f>
        <v/>
      </c>
      <c r="X64" s="9"/>
    </row>
    <row r="65" customFormat="false" ht="15" hidden="false" customHeight="false" outlineLevel="0" collapsed="false">
      <c r="A65" s="9" t="n">
        <v>59</v>
      </c>
      <c r="B65" s="9" t="s">
        <v>94</v>
      </c>
      <c r="C65" s="9" t="s">
        <v>140</v>
      </c>
      <c r="D65" s="9" t="s">
        <v>141</v>
      </c>
      <c r="E65" s="10" t="n">
        <v>4310</v>
      </c>
      <c r="F65" s="11" t="n">
        <v>104.39</v>
      </c>
      <c r="G65" s="10" t="n">
        <v>4355</v>
      </c>
      <c r="H65" s="11" t="n">
        <v>105.06</v>
      </c>
      <c r="I65" s="10" t="n">
        <v>4342</v>
      </c>
      <c r="J65" s="11" t="n">
        <v>102.48</v>
      </c>
      <c r="K65" s="10" t="n">
        <v>4293</v>
      </c>
      <c r="L65" s="11" t="n">
        <v>102.35</v>
      </c>
      <c r="M65" s="10" t="n">
        <v>4267</v>
      </c>
      <c r="N65" s="11" t="n">
        <v>102.82</v>
      </c>
      <c r="O65" s="12" t="n">
        <f aca="false">IF(OR(M65="",M65=0),"",N65*100/M65)</f>
        <v>2.4096554956644</v>
      </c>
      <c r="P65" s="13" t="n">
        <f aca="false">IF(OR(N65="",H65=""),"",N65-H65)</f>
        <v>-2.24000000000001</v>
      </c>
      <c r="Q65" s="14" t="n">
        <f aca="false">IF(OR(N65="",H65="",H65=0),"n/a",N65/H65-1)</f>
        <v>-0.021321149819151</v>
      </c>
      <c r="R65" s="14" t="n">
        <f aca="false">IF(OR(N65="",F65="",F65=0),"n/a",N65/F65-1)</f>
        <v>-0.0150397547657822</v>
      </c>
      <c r="S65" s="14" t="n">
        <f aca="false">IF(OR(N65="",L65="",L65=0),"n/a",N65/L65-1)</f>
        <v>0.00459208597948213</v>
      </c>
      <c r="T65" s="14" t="n">
        <f aca="false">IF(OR(J65="",H65="",H65=0),"n/a",J65/H65-1)</f>
        <v>-0.0245573957738435</v>
      </c>
      <c r="U65" s="14" t="n">
        <f aca="false">IF(N65="","",N65/$N$94)</f>
        <v>0.000946367332820787</v>
      </c>
      <c r="V65" s="15" t="n">
        <f aca="false">IF(OR(M65="",G65=""),"",M65-G65)</f>
        <v>-88</v>
      </c>
      <c r="W65" s="9" t="str">
        <f aca="false">IF(COUNT(F65,H65,J65,L65,N65)&lt;5,"Partial-period row",IF(ISNUMBER(Q65),IF(ABS(Q65)&gt;0.1,"MoM move &gt; ±10%",""),""))</f>
        <v/>
      </c>
      <c r="X65" s="9"/>
    </row>
    <row r="66" customFormat="false" ht="15" hidden="false" customHeight="false" outlineLevel="0" collapsed="false">
      <c r="A66" s="9" t="n">
        <v>60</v>
      </c>
      <c r="B66" s="9" t="s">
        <v>94</v>
      </c>
      <c r="C66" s="9" t="s">
        <v>142</v>
      </c>
      <c r="D66" s="9" t="s">
        <v>143</v>
      </c>
      <c r="E66" s="10" t="n">
        <v>1</v>
      </c>
      <c r="F66" s="11" t="n">
        <v>0</v>
      </c>
      <c r="G66" s="10" t="n">
        <v>1</v>
      </c>
      <c r="H66" s="11" t="n">
        <v>0</v>
      </c>
      <c r="I66" s="10" t="n">
        <v>1</v>
      </c>
      <c r="J66" s="11" t="n">
        <v>0</v>
      </c>
      <c r="K66" s="10" t="n">
        <v>1</v>
      </c>
      <c r="L66" s="11" t="n">
        <v>0</v>
      </c>
      <c r="M66" s="10" t="n">
        <v>1</v>
      </c>
      <c r="N66" s="11" t="n">
        <v>0</v>
      </c>
      <c r="O66" s="12" t="n">
        <f aca="false">IF(OR(M66="",M66=0),"",N66*100/M66)</f>
        <v>0</v>
      </c>
      <c r="P66" s="13" t="n">
        <f aca="false">IF(OR(N66="",H66=""),"",N66-H66)</f>
        <v>0</v>
      </c>
      <c r="Q66" s="14" t="str">
        <f aca="false">IF(OR(N66="",H66="",H66=0),"n/a",N66/H66-1)</f>
        <v>n/a</v>
      </c>
      <c r="R66" s="14" t="str">
        <f aca="false">IF(OR(N66="",F66="",F66=0),"n/a",N66/F66-1)</f>
        <v>n/a</v>
      </c>
      <c r="S66" s="14" t="str">
        <f aca="false">IF(OR(N66="",L66="",L66=0),"n/a",N66/L66-1)</f>
        <v>n/a</v>
      </c>
      <c r="T66" s="14" t="str">
        <f aca="false">IF(OR(J66="",H66="",H66=0),"n/a",J66/H66-1)</f>
        <v>n/a</v>
      </c>
      <c r="U66" s="14" t="n">
        <f aca="false">IF(N66="","",N66/$N$94)</f>
        <v>0</v>
      </c>
      <c r="V66" s="15" t="n">
        <f aca="false">IF(OR(M66="",G66=""),"",M66-G66)</f>
        <v>0</v>
      </c>
      <c r="W66" s="9" t="str">
        <f aca="false">IF(COUNT(F66,H66,J66,L66,N66)&lt;5,"Partial-period row",IF(ISNUMBER(Q66),IF(ABS(Q66)&gt;0.1,"MoM move &gt; ±10%",""),""))</f>
        <v/>
      </c>
      <c r="X66" s="9"/>
    </row>
    <row r="67" customFormat="false" ht="15" hidden="false" customHeight="false" outlineLevel="0" collapsed="false">
      <c r="A67" s="9" t="n">
        <v>61</v>
      </c>
      <c r="B67" s="9" t="s">
        <v>94</v>
      </c>
      <c r="C67" s="9" t="s">
        <v>144</v>
      </c>
      <c r="D67" s="9" t="s">
        <v>145</v>
      </c>
      <c r="E67" s="10" t="n">
        <v>827</v>
      </c>
      <c r="F67" s="11" t="n">
        <v>0.18</v>
      </c>
      <c r="G67" s="10" t="n">
        <v>820</v>
      </c>
      <c r="H67" s="11" t="n">
        <v>0.17</v>
      </c>
      <c r="I67" s="10" t="n">
        <v>818</v>
      </c>
      <c r="J67" s="11" t="n">
        <v>0.17</v>
      </c>
      <c r="K67" s="10" t="n">
        <v>816</v>
      </c>
      <c r="L67" s="11" t="n">
        <v>0.17</v>
      </c>
      <c r="M67" s="10" t="n">
        <v>814</v>
      </c>
      <c r="N67" s="11" t="n">
        <v>0.15</v>
      </c>
      <c r="O67" s="12" t="n">
        <f aca="false">IF(OR(M67="",M67=0),"",N67*100/M67)</f>
        <v>0.0184275184275184</v>
      </c>
      <c r="P67" s="13" t="n">
        <f aca="false">IF(OR(N67="",H67=""),"",N67-H67)</f>
        <v>-0.02</v>
      </c>
      <c r="Q67" s="14" t="n">
        <f aca="false">IF(OR(N67="",H67="",H67=0),"n/a",N67/H67-1)</f>
        <v>-0.11764705882353</v>
      </c>
      <c r="R67" s="14" t="n">
        <f aca="false">IF(OR(N67="",F67="",F67=0),"n/a",N67/F67-1)</f>
        <v>-0.166666666666667</v>
      </c>
      <c r="S67" s="14" t="n">
        <f aca="false">IF(OR(N67="",L67="",L67=0),"n/a",N67/L67-1)</f>
        <v>-0.11764705882353</v>
      </c>
      <c r="T67" s="14" t="n">
        <f aca="false">IF(OR(J67="",H67="",H67=0),"n/a",J67/H67-1)</f>
        <v>0</v>
      </c>
      <c r="U67" s="14" t="n">
        <f aca="false">IF(N67="","",N67/$N$94)</f>
        <v>1.38061758337987E-006</v>
      </c>
      <c r="V67" s="15" t="n">
        <f aca="false">IF(OR(M67="",G67=""),"",M67-G67)</f>
        <v>-6</v>
      </c>
      <c r="W67" s="9" t="str">
        <f aca="false">IF(COUNT(F67,H67,J67,L67,N67)&lt;5,"Partial-period row",IF(ISNUMBER(Q67),IF(ABS(Q67)&gt;0.1,"MoM move &gt; ±10%",""),""))</f>
        <v>MoM move &gt; ±10%</v>
      </c>
      <c r="X67" s="9"/>
    </row>
    <row r="68" customFormat="false" ht="15" hidden="false" customHeight="false" outlineLevel="0" collapsed="false">
      <c r="A68" s="9" t="n">
        <v>62</v>
      </c>
      <c r="B68" s="9" t="s">
        <v>94</v>
      </c>
      <c r="C68" s="9" t="s">
        <v>146</v>
      </c>
      <c r="D68" s="9" t="s">
        <v>147</v>
      </c>
      <c r="E68" s="10" t="n">
        <v>871</v>
      </c>
      <c r="F68" s="11" t="n">
        <v>290.53</v>
      </c>
      <c r="G68" s="10" t="n">
        <v>882</v>
      </c>
      <c r="H68" s="11" t="n">
        <v>292.16</v>
      </c>
      <c r="I68" s="10" t="n">
        <v>885</v>
      </c>
      <c r="J68" s="11" t="n">
        <v>291.47</v>
      </c>
      <c r="K68" s="10" t="n">
        <v>881</v>
      </c>
      <c r="L68" s="11" t="n">
        <v>290.6</v>
      </c>
      <c r="M68" s="10" t="n">
        <v>884</v>
      </c>
      <c r="N68" s="11" t="n">
        <v>290.65</v>
      </c>
      <c r="O68" s="12" t="n">
        <f aca="false">IF(OR(M68="",M68=0),"",N68*100/M68)</f>
        <v>32.8789592760181</v>
      </c>
      <c r="P68" s="13" t="n">
        <f aca="false">IF(OR(N68="",H68=""),"",N68-H68)</f>
        <v>-1.51000000000005</v>
      </c>
      <c r="Q68" s="14" t="n">
        <f aca="false">IF(OR(N68="",H68="",H68=0),"n/a",N68/H68-1)</f>
        <v>-0.00516840087623238</v>
      </c>
      <c r="R68" s="14" t="n">
        <f aca="false">IF(OR(N68="",F68="",F68=0),"n/a",N68/F68-1)</f>
        <v>0.00041303824045702</v>
      </c>
      <c r="S68" s="14" t="n">
        <f aca="false">IF(OR(N68="",L68="",L68=0),"n/a",N68/L68-1)</f>
        <v>0.000172057811424375</v>
      </c>
      <c r="T68" s="14" t="n">
        <f aca="false">IF(OR(J68="",H68="",H68=0),"n/a",J68/H68-1)</f>
        <v>-0.00236171960569553</v>
      </c>
      <c r="U68" s="14" t="n">
        <f aca="false">IF(N68="","",N68/$N$94)</f>
        <v>0.00267517667072906</v>
      </c>
      <c r="V68" s="15" t="n">
        <f aca="false">IF(OR(M68="",G68=""),"",M68-G68)</f>
        <v>2</v>
      </c>
      <c r="W68" s="9" t="str">
        <f aca="false">IF(COUNT(F68,H68,J68,L68,N68)&lt;5,"Partial-period row",IF(ISNUMBER(Q68),IF(ABS(Q68)&gt;0.1,"MoM move &gt; ±10%",""),""))</f>
        <v/>
      </c>
      <c r="X68" s="9"/>
    </row>
    <row r="69" customFormat="false" ht="15" hidden="false" customHeight="false" outlineLevel="0" collapsed="false">
      <c r="A69" s="9" t="n">
        <v>63</v>
      </c>
      <c r="B69" s="9" t="s">
        <v>94</v>
      </c>
      <c r="C69" s="9" t="s">
        <v>148</v>
      </c>
      <c r="D69" s="9" t="s">
        <v>149</v>
      </c>
      <c r="E69" s="10" t="n">
        <v>2677</v>
      </c>
      <c r="F69" s="11" t="n">
        <v>13711.79</v>
      </c>
      <c r="G69" s="10" t="n">
        <v>2714</v>
      </c>
      <c r="H69" s="11" t="n">
        <v>13871.69</v>
      </c>
      <c r="I69" s="10" t="n">
        <v>2724</v>
      </c>
      <c r="J69" s="11" t="n">
        <v>13998.95</v>
      </c>
      <c r="K69" s="10" t="n">
        <v>2725</v>
      </c>
      <c r="L69" s="11" t="n">
        <v>14014.31</v>
      </c>
      <c r="M69" s="10" t="n">
        <v>2735</v>
      </c>
      <c r="N69" s="11" t="n">
        <v>14798.7</v>
      </c>
      <c r="O69" s="12" t="n">
        <f aca="false">IF(OR(M69="",M69=0),"",N69*100/M69)</f>
        <v>541.08592321755</v>
      </c>
      <c r="P69" s="13" t="n">
        <f aca="false">IF(OR(N69="",H69=""),"",N69-H69)</f>
        <v>927.01</v>
      </c>
      <c r="Q69" s="14" t="n">
        <f aca="false">IF(OR(N69="",H69="",H69=0),"n/a",N69/H69-1)</f>
        <v>0.0668274737973527</v>
      </c>
      <c r="R69" s="14" t="n">
        <f aca="false">IF(OR(N69="",F69="",F69=0),"n/a",N69/F69-1)</f>
        <v>0.0792682793420845</v>
      </c>
      <c r="S69" s="14" t="n">
        <f aca="false">IF(OR(N69="",L69="",L69=0),"n/a",N69/L69-1)</f>
        <v>0.0559706471456676</v>
      </c>
      <c r="T69" s="14" t="n">
        <f aca="false">IF(OR(J69="",H69="",H69=0),"n/a",J69/H69-1)</f>
        <v>0.0091740804472995</v>
      </c>
      <c r="U69" s="14" t="n">
        <f aca="false">IF(N69="","",N69/$N$94)</f>
        <v>0.136208969541091</v>
      </c>
      <c r="V69" s="15" t="n">
        <f aca="false">IF(OR(M69="",G69=""),"",M69-G69)</f>
        <v>21</v>
      </c>
      <c r="W69" s="9" t="str">
        <f aca="false">IF(COUNT(F69,H69,J69,L69,N69)&lt;5,"Partial-period row",IF(ISNUMBER(Q69),IF(ABS(Q69)&gt;0.1,"MoM move &gt; ±10%",""),""))</f>
        <v/>
      </c>
      <c r="X69" s="9"/>
    </row>
    <row r="70" customFormat="false" ht="15" hidden="false" customHeight="false" outlineLevel="0" collapsed="false">
      <c r="A70" s="9" t="n">
        <v>64</v>
      </c>
      <c r="B70" s="9" t="s">
        <v>94</v>
      </c>
      <c r="C70" s="9" t="s">
        <v>150</v>
      </c>
      <c r="D70" s="9" t="s">
        <v>151</v>
      </c>
      <c r="E70" s="10" t="n">
        <v>1487</v>
      </c>
      <c r="F70" s="11" t="n">
        <v>62.27</v>
      </c>
      <c r="G70" s="10" t="n">
        <v>1459</v>
      </c>
      <c r="H70" s="11" t="n">
        <v>59.92</v>
      </c>
      <c r="I70" s="10" t="n">
        <v>1458</v>
      </c>
      <c r="J70" s="11" t="n">
        <v>59.83</v>
      </c>
      <c r="K70" s="10" t="n">
        <v>1454</v>
      </c>
      <c r="L70" s="11" t="n">
        <v>59.64</v>
      </c>
      <c r="M70" s="10" t="n">
        <v>1440</v>
      </c>
      <c r="N70" s="11" t="n">
        <v>57.77</v>
      </c>
      <c r="O70" s="12" t="n">
        <f aca="false">IF(OR(M70="",M70=0),"",N70*100/M70)</f>
        <v>4.01180555555556</v>
      </c>
      <c r="P70" s="13" t="n">
        <f aca="false">IF(OR(N70="",H70=""),"",N70-H70)</f>
        <v>-2.15</v>
      </c>
      <c r="Q70" s="14" t="n">
        <f aca="false">IF(OR(N70="",H70="",H70=0),"n/a",N70/H70-1)</f>
        <v>-0.0358811748998664</v>
      </c>
      <c r="R70" s="14" t="n">
        <f aca="false">IF(OR(N70="",F70="",F70=0),"n/a",N70/F70-1)</f>
        <v>-0.0722659386542476</v>
      </c>
      <c r="S70" s="14" t="n">
        <f aca="false">IF(OR(N70="",L70="",L70=0),"n/a",N70/L70-1)</f>
        <v>-0.0313547954393024</v>
      </c>
      <c r="T70" s="14" t="n">
        <f aca="false">IF(OR(J70="",H70="",H70=0),"n/a",J70/H70-1)</f>
        <v>-0.00150200267022704</v>
      </c>
      <c r="U70" s="14" t="n">
        <f aca="false">IF(N70="","",N70/$N$94)</f>
        <v>0.0005317218519457</v>
      </c>
      <c r="V70" s="15" t="n">
        <f aca="false">IF(OR(M70="",G70=""),"",M70-G70)</f>
        <v>-19</v>
      </c>
      <c r="W70" s="9" t="str">
        <f aca="false">IF(COUNT(F70,H70,J70,L70,N70)&lt;5,"Partial-period row",IF(ISNUMBER(Q70),IF(ABS(Q70)&gt;0.1,"MoM move &gt; ±10%",""),""))</f>
        <v/>
      </c>
      <c r="X70" s="9"/>
    </row>
    <row r="71" customFormat="false" ht="15" hidden="false" customHeight="false" outlineLevel="0" collapsed="false">
      <c r="A71" s="9" t="n">
        <v>65</v>
      </c>
      <c r="B71" s="9" t="s">
        <v>94</v>
      </c>
      <c r="C71" s="9" t="s">
        <v>152</v>
      </c>
      <c r="D71" s="9" t="s">
        <v>153</v>
      </c>
      <c r="E71" s="10" t="n">
        <v>175</v>
      </c>
      <c r="F71" s="11" t="n">
        <v>4.55</v>
      </c>
      <c r="G71" s="10" t="n">
        <v>170</v>
      </c>
      <c r="H71" s="11" t="n">
        <v>4.69</v>
      </c>
      <c r="I71" s="10" t="n">
        <v>171</v>
      </c>
      <c r="J71" s="11" t="n">
        <v>4.82</v>
      </c>
      <c r="K71" s="10" t="n">
        <v>168</v>
      </c>
      <c r="L71" s="11" t="n">
        <v>4.81</v>
      </c>
      <c r="M71" s="10" t="n">
        <v>167</v>
      </c>
      <c r="N71" s="11" t="n">
        <v>4.77</v>
      </c>
      <c r="O71" s="12" t="n">
        <f aca="false">IF(OR(M71="",M71=0),"",N71*100/M71)</f>
        <v>2.8562874251497</v>
      </c>
      <c r="P71" s="13" t="n">
        <f aca="false">IF(OR(N71="",H71=""),"",N71-H71)</f>
        <v>0.0799999999999992</v>
      </c>
      <c r="Q71" s="14" t="n">
        <f aca="false">IF(OR(N71="",H71="",H71=0),"n/a",N71/H71-1)</f>
        <v>0.017057569296375</v>
      </c>
      <c r="R71" s="14" t="n">
        <f aca="false">IF(OR(N71="",F71="",F71=0),"n/a",N71/F71-1)</f>
        <v>0.0483516483516484</v>
      </c>
      <c r="S71" s="14" t="n">
        <f aca="false">IF(OR(N71="",L71="",L71=0),"n/a",N71/L71-1)</f>
        <v>-0.00831600831600832</v>
      </c>
      <c r="T71" s="14" t="n">
        <f aca="false">IF(OR(J71="",H71="",H71=0),"n/a",J71/H71-1)</f>
        <v>0.0277185501066097</v>
      </c>
      <c r="U71" s="14" t="n">
        <f aca="false">IF(N71="","",N71/$N$94)</f>
        <v>4.39036391514798E-005</v>
      </c>
      <c r="V71" s="15" t="n">
        <f aca="false">IF(OR(M71="",G71=""),"",M71-G71)</f>
        <v>-3</v>
      </c>
      <c r="W71" s="9" t="str">
        <f aca="false">IF(COUNT(F71,H71,J71,L71,N71)&lt;5,"Partial-period row",IF(ISNUMBER(Q71),IF(ABS(Q71)&gt;0.1,"MoM move &gt; ±10%",""),""))</f>
        <v/>
      </c>
      <c r="X71" s="9"/>
    </row>
    <row r="72" customFormat="false" ht="15" hidden="false" customHeight="false" outlineLevel="0" collapsed="false">
      <c r="A72" s="9" t="n">
        <v>66</v>
      </c>
      <c r="B72" s="9" t="s">
        <v>94</v>
      </c>
      <c r="C72" s="9" t="s">
        <v>154</v>
      </c>
      <c r="D72" s="9" t="s">
        <v>155</v>
      </c>
      <c r="E72" s="10" t="n">
        <v>1008</v>
      </c>
      <c r="F72" s="11" t="n">
        <v>14825.58</v>
      </c>
      <c r="G72" s="10" t="n">
        <v>1036</v>
      </c>
      <c r="H72" s="11" t="n">
        <v>14331.89</v>
      </c>
      <c r="I72" s="10" t="n">
        <v>1068</v>
      </c>
      <c r="J72" s="11" t="n">
        <v>15942.16</v>
      </c>
      <c r="K72" s="10" t="n">
        <v>1063</v>
      </c>
      <c r="L72" s="11" t="n">
        <v>14638.75</v>
      </c>
      <c r="M72" s="10" t="n">
        <v>1056</v>
      </c>
      <c r="N72" s="11" t="n">
        <v>14765.72</v>
      </c>
      <c r="O72" s="12" t="n">
        <f aca="false">IF(OR(M72="",M72=0),"",N72*100/M72)</f>
        <v>1398.26893939394</v>
      </c>
      <c r="P72" s="13" t="n">
        <f aca="false">IF(OR(N72="",H72=""),"",N72-H72)</f>
        <v>433.83</v>
      </c>
      <c r="Q72" s="14" t="n">
        <f aca="false">IF(OR(N72="",H72="",H72=0),"n/a",N72/H72-1)</f>
        <v>0.0302702574468545</v>
      </c>
      <c r="R72" s="14" t="n">
        <f aca="false">IF(OR(N72="",F72="",F72=0),"n/a",N72/F72-1)</f>
        <v>-0.0040376160662855</v>
      </c>
      <c r="S72" s="14" t="n">
        <f aca="false">IF(OR(N72="",L72="",L72=0),"n/a",N72/L72-1)</f>
        <v>0.0086735547775596</v>
      </c>
      <c r="T72" s="14" t="n">
        <f aca="false">IF(OR(J72="",H72="",H72=0),"n/a",J72/H72-1)</f>
        <v>0.112355732565628</v>
      </c>
      <c r="U72" s="14" t="n">
        <f aca="false">IF(N72="","",N72/$N$94)</f>
        <v>0.135905417755092</v>
      </c>
      <c r="V72" s="15" t="n">
        <f aca="false">IF(OR(M72="",G72=""),"",M72-G72)</f>
        <v>20</v>
      </c>
      <c r="W72" s="9" t="str">
        <f aca="false">IF(COUNT(F72,H72,J72,L72,N72)&lt;5,"Partial-period row",IF(ISNUMBER(Q72),IF(ABS(Q72)&gt;0.1,"MoM move &gt; ±10%",""),""))</f>
        <v/>
      </c>
      <c r="X72" s="9"/>
    </row>
    <row r="73" customFormat="false" ht="15" hidden="false" customHeight="false" outlineLevel="0" collapsed="false">
      <c r="A73" s="9" t="n">
        <v>67</v>
      </c>
      <c r="B73" s="9" t="s">
        <v>156</v>
      </c>
      <c r="C73" s="9" t="s">
        <v>156</v>
      </c>
      <c r="D73" s="9" t="s">
        <v>157</v>
      </c>
      <c r="E73" s="10" t="n">
        <v>30247</v>
      </c>
      <c r="F73" s="11" t="n">
        <v>869.21</v>
      </c>
      <c r="G73" s="10" t="n">
        <v>30509</v>
      </c>
      <c r="H73" s="11" t="n">
        <v>869.93</v>
      </c>
      <c r="I73" s="10" t="n">
        <v>30568</v>
      </c>
      <c r="J73" s="11" t="n">
        <v>872.95</v>
      </c>
      <c r="K73" s="10" t="n">
        <v>30519</v>
      </c>
      <c r="L73" s="11" t="n">
        <v>870.77</v>
      </c>
      <c r="M73" s="10" t="n">
        <v>30669</v>
      </c>
      <c r="N73" s="11" t="n">
        <v>863.15</v>
      </c>
      <c r="O73" s="12" t="n">
        <f aca="false">IF(OR(M73="",M73=0),"",N73*100/M73)</f>
        <v>2.81440542567413</v>
      </c>
      <c r="P73" s="13" t="n">
        <f aca="false">IF(OR(N73="",H73=""),"",N73-H73)</f>
        <v>-6.77999999999997</v>
      </c>
      <c r="Q73" s="14" t="n">
        <f aca="false">IF(OR(N73="",H73="",H73=0),"n/a",N73/H73-1)</f>
        <v>-0.00779373053004262</v>
      </c>
      <c r="R73" s="14" t="n">
        <f aca="false">IF(OR(N73="",F73="",F73=0),"n/a",N73/F73-1)</f>
        <v>-0.00697184799990802</v>
      </c>
      <c r="S73" s="14" t="n">
        <f aca="false">IF(OR(N73="",L73="",L73=0),"n/a",N73/L73-1)</f>
        <v>-0.00875087566177057</v>
      </c>
      <c r="T73" s="14" t="n">
        <f aca="false">IF(OR(J73="",H73="",H73=0),"n/a",J73/H73-1)</f>
        <v>0.00347154368742331</v>
      </c>
      <c r="U73" s="14" t="n">
        <f aca="false">IF(N73="","",N73/$N$94)</f>
        <v>0.00794453378062889</v>
      </c>
      <c r="V73" s="15" t="n">
        <f aca="false">IF(OR(M73="",G73=""),"",M73-G73)</f>
        <v>160</v>
      </c>
      <c r="W73" s="9" t="str">
        <f aca="false">IF(COUNT(F73,H73,J73,L73,N73)&lt;5,"Partial-period row",IF(ISNUMBER(Q73),IF(ABS(Q73)&gt;0.1,"MoM move &gt; ±10%",""),""))</f>
        <v/>
      </c>
      <c r="X73" s="9"/>
    </row>
    <row r="74" customFormat="false" ht="15" hidden="false" customHeight="false" outlineLevel="0" collapsed="false">
      <c r="A74" s="9" t="n">
        <v>68</v>
      </c>
      <c r="B74" s="9" t="s">
        <v>156</v>
      </c>
      <c r="C74" s="9" t="s">
        <v>156</v>
      </c>
      <c r="D74" s="9" t="s">
        <v>158</v>
      </c>
      <c r="E74" s="10" t="n">
        <v>77716</v>
      </c>
      <c r="F74" s="11" t="n">
        <v>2514.08</v>
      </c>
      <c r="G74" s="10" t="n">
        <v>78273</v>
      </c>
      <c r="H74" s="11" t="n">
        <v>2536.19</v>
      </c>
      <c r="I74" s="10" t="n">
        <v>78420</v>
      </c>
      <c r="J74" s="11" t="n">
        <v>2543.35</v>
      </c>
      <c r="K74" s="10" t="n">
        <v>78376</v>
      </c>
      <c r="L74" s="11" t="n">
        <v>2531.51</v>
      </c>
      <c r="M74" s="10" t="n">
        <v>78647</v>
      </c>
      <c r="N74" s="11" t="n">
        <v>2523.67</v>
      </c>
      <c r="O74" s="12" t="n">
        <f aca="false">IF(OR(M74="",M74=0),"",N74*100/M74)</f>
        <v>3.20885729907053</v>
      </c>
      <c r="P74" s="13" t="n">
        <f aca="false">IF(OR(N74="",H74=""),"",N74-H74)</f>
        <v>-12.52</v>
      </c>
      <c r="Q74" s="14" t="n">
        <f aca="false">IF(OR(N74="",H74="",H74=0),"n/a",N74/H74-1)</f>
        <v>-0.00493653866626709</v>
      </c>
      <c r="R74" s="14" t="n">
        <f aca="false">IF(OR(N74="",F74="",F74=0),"n/a",N74/F74-1)</f>
        <v>0.00381451664227073</v>
      </c>
      <c r="S74" s="14" t="n">
        <f aca="false">IF(OR(N74="",L74="",L74=0),"n/a",N74/L74-1)</f>
        <v>-0.00309696584252095</v>
      </c>
      <c r="T74" s="14" t="n">
        <f aca="false">IF(OR(J74="",H74="",H74=0),"n/a",J74/H74-1)</f>
        <v>0.00282313233629972</v>
      </c>
      <c r="U74" s="14" t="n">
        <f aca="false">IF(N74="","",N74/$N$94)</f>
        <v>0.0232281545109885</v>
      </c>
      <c r="V74" s="15" t="n">
        <f aca="false">IF(OR(M74="",G74=""),"",M74-G74)</f>
        <v>374</v>
      </c>
      <c r="W74" s="9" t="str">
        <f aca="false">IF(COUNT(F74,H74,J74,L74,N74)&lt;5,"Partial-period row",IF(ISNUMBER(Q74),IF(ABS(Q74)&gt;0.1,"MoM move &gt; ±10%",""),""))</f>
        <v/>
      </c>
      <c r="X74" s="9"/>
    </row>
    <row r="75" customFormat="false" ht="15" hidden="false" customHeight="false" outlineLevel="0" collapsed="false">
      <c r="A75" s="4" t="s">
        <v>159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customFormat="false" ht="35.05" hidden="false" customHeight="false" outlineLevel="0" collapsed="false">
      <c r="A76" s="8" t="s">
        <v>35</v>
      </c>
      <c r="B76" s="8" t="s">
        <v>36</v>
      </c>
      <c r="C76" s="8"/>
      <c r="D76" s="8"/>
      <c r="E76" s="8" t="s">
        <v>39</v>
      </c>
      <c r="F76" s="8" t="s">
        <v>160</v>
      </c>
      <c r="G76" s="8" t="s">
        <v>41</v>
      </c>
      <c r="H76" s="8" t="s">
        <v>161</v>
      </c>
      <c r="I76" s="8" t="s">
        <v>43</v>
      </c>
      <c r="J76" s="8" t="s">
        <v>162</v>
      </c>
      <c r="K76" s="8" t="s">
        <v>45</v>
      </c>
      <c r="L76" s="8" t="s">
        <v>163</v>
      </c>
      <c r="M76" s="8" t="s">
        <v>47</v>
      </c>
      <c r="N76" s="8" t="s">
        <v>164</v>
      </c>
      <c r="O76" s="8"/>
      <c r="P76" s="8" t="s">
        <v>165</v>
      </c>
      <c r="Q76" s="8" t="s">
        <v>166</v>
      </c>
      <c r="R76" s="8" t="s">
        <v>167</v>
      </c>
      <c r="S76" s="8"/>
      <c r="T76" s="8"/>
      <c r="U76" s="8" t="s">
        <v>55</v>
      </c>
    </row>
    <row r="77" customFormat="false" ht="15" hidden="false" customHeight="false" outlineLevel="0" collapsed="false">
      <c r="A77" s="9" t="n">
        <v>1</v>
      </c>
      <c r="B77" s="16" t="s">
        <v>59</v>
      </c>
      <c r="C77" s="9" t="s">
        <v>168</v>
      </c>
      <c r="E77" s="15" t="n">
        <f aca="false">SUMIFS(E$7:E$74,$B$7:$B$74,$B77)</f>
        <v>34701</v>
      </c>
      <c r="F77" s="13" t="n">
        <f aca="false">SUMIFS(F$7:F$74,$B$7:$B$74,$B77)</f>
        <v>1710.2</v>
      </c>
      <c r="G77" s="15" t="n">
        <f aca="false">SUMIFS(G$7:G$74,$B$7:$B$74,$B77)</f>
        <v>34706</v>
      </c>
      <c r="H77" s="13" t="n">
        <f aca="false">SUMIFS(H$7:H$74,$B$7:$B$74,$B77)</f>
        <v>1708.23</v>
      </c>
      <c r="I77" s="15" t="n">
        <f aca="false">SUMIFS(I$7:I$74,$B$7:$B$74,$B77)</f>
        <v>34776</v>
      </c>
      <c r="J77" s="13" t="n">
        <f aca="false">SUMIFS(J$7:J$74,$B$7:$B$74,$B77)</f>
        <v>1717.85</v>
      </c>
      <c r="K77" s="15" t="n">
        <f aca="false">SUMIFS(K$7:K$74,$B$7:$B$74,$B77)</f>
        <v>34730</v>
      </c>
      <c r="L77" s="13" t="n">
        <f aca="false">SUMIFS(L$7:L$74,$B$7:$B$74,$B77)</f>
        <v>1713.07</v>
      </c>
      <c r="M77" s="15" t="n">
        <f aca="false">SUMIFS(M$7:M$74,$B$7:$B$74,$B77)</f>
        <v>34622</v>
      </c>
      <c r="N77" s="13" t="n">
        <f aca="false">SUMIFS(N$7:N$74,$B$7:$B$74,$B77)</f>
        <v>1714.94</v>
      </c>
      <c r="P77" s="13" t="n">
        <f aca="false">N77-H77</f>
        <v>6.71000000000004</v>
      </c>
      <c r="Q77" s="14" t="n">
        <f aca="false">N77/H77-1</f>
        <v>0.00392804247671563</v>
      </c>
      <c r="R77" s="14" t="n">
        <f aca="false">N77/F77-1</f>
        <v>0.00277160566015677</v>
      </c>
      <c r="U77" s="14" t="n">
        <f aca="false">N77/$N$94</f>
        <v>0.0157845087896098</v>
      </c>
    </row>
    <row r="78" customFormat="false" ht="15" hidden="false" customHeight="false" outlineLevel="0" collapsed="false">
      <c r="A78" s="9" t="n">
        <v>2</v>
      </c>
      <c r="B78" s="16" t="s">
        <v>64</v>
      </c>
      <c r="C78" s="9" t="s">
        <v>168</v>
      </c>
      <c r="E78" s="15" t="n">
        <f aca="false">SUMIFS(E$7:E$74,$B$7:$B$74,$B78)</f>
        <v>1724</v>
      </c>
      <c r="F78" s="13" t="n">
        <f aca="false">SUMIFS(F$7:F$74,$B$7:$B$74,$B78)</f>
        <v>2992.19</v>
      </c>
      <c r="G78" s="15" t="n">
        <f aca="false">SUMIFS(G$7:G$74,$B$7:$B$74,$B78)</f>
        <v>1923</v>
      </c>
      <c r="H78" s="13" t="n">
        <f aca="false">SUMIFS(H$7:H$74,$B$7:$B$74,$B78)</f>
        <v>3104.13</v>
      </c>
      <c r="I78" s="15" t="n">
        <f aca="false">SUMIFS(I$7:I$74,$B$7:$B$74,$B78)</f>
        <v>1959</v>
      </c>
      <c r="J78" s="13" t="n">
        <f aca="false">SUMIFS(J$7:J$74,$B$7:$B$74,$B78)</f>
        <v>3193.29</v>
      </c>
      <c r="K78" s="15" t="n">
        <f aca="false">SUMIFS(K$7:K$74,$B$7:$B$74,$B78)</f>
        <v>1967</v>
      </c>
      <c r="L78" s="13" t="n">
        <f aca="false">SUMIFS(L$7:L$74,$B$7:$B$74,$B78)</f>
        <v>3177.13</v>
      </c>
      <c r="M78" s="15" t="n">
        <f aca="false">SUMIFS(M$7:M$74,$B$7:$B$74,$B78)</f>
        <v>2027</v>
      </c>
      <c r="N78" s="13" t="n">
        <f aca="false">SUMIFS(N$7:N$74,$B$7:$B$74,$B78)</f>
        <v>3260.94</v>
      </c>
      <c r="P78" s="13" t="n">
        <f aca="false">N78-H78</f>
        <v>156.81</v>
      </c>
      <c r="Q78" s="14" t="n">
        <f aca="false">N78/H78-1</f>
        <v>0.050516569860154</v>
      </c>
      <c r="R78" s="14" t="n">
        <f aca="false">N78/F78-1</f>
        <v>0.0898171573329234</v>
      </c>
      <c r="U78" s="14" t="n">
        <f aca="false">N78/$N$94</f>
        <v>0.030014074015645</v>
      </c>
    </row>
    <row r="79" customFormat="false" ht="15" hidden="false" customHeight="false" outlineLevel="0" collapsed="false">
      <c r="A79" s="9" t="n">
        <v>3</v>
      </c>
      <c r="B79" s="16" t="s">
        <v>65</v>
      </c>
      <c r="C79" s="9" t="s">
        <v>168</v>
      </c>
      <c r="E79" s="15" t="n">
        <f aca="false">SUMIFS(E$7:E$74,$B$7:$B$74,$B79)</f>
        <v>35487</v>
      </c>
      <c r="F79" s="13" t="n">
        <f aca="false">SUMIFS(F$7:F$74,$B$7:$B$74,$B79)</f>
        <v>8941.68</v>
      </c>
      <c r="G79" s="15" t="n">
        <f aca="false">SUMIFS(G$7:G$74,$B$7:$B$74,$B79)</f>
        <v>35978</v>
      </c>
      <c r="H79" s="13" t="n">
        <f aca="false">SUMIFS(H$7:H$74,$B$7:$B$74,$B79)</f>
        <v>8963.73</v>
      </c>
      <c r="I79" s="15" t="n">
        <f aca="false">SUMIFS(I$7:I$74,$B$7:$B$74,$B79)</f>
        <v>36139</v>
      </c>
      <c r="J79" s="13" t="n">
        <f aca="false">SUMIFS(J$7:J$74,$B$7:$B$74,$B79)</f>
        <v>9085.64</v>
      </c>
      <c r="K79" s="15" t="n">
        <f aca="false">SUMIFS(K$7:K$74,$B$7:$B$74,$B79)</f>
        <v>36180</v>
      </c>
      <c r="L79" s="13" t="n">
        <f aca="false">SUMIFS(L$7:L$74,$B$7:$B$74,$B79)</f>
        <v>9087.98</v>
      </c>
      <c r="M79" s="15" t="n">
        <f aca="false">SUMIFS(M$7:M$74,$B$7:$B$74,$B79)</f>
        <v>36632</v>
      </c>
      <c r="N79" s="13" t="n">
        <f aca="false">SUMIFS(N$7:N$74,$B$7:$B$74,$B79)</f>
        <v>9077.31</v>
      </c>
      <c r="P79" s="13" t="n">
        <f aca="false">N79-H79</f>
        <v>113.58</v>
      </c>
      <c r="Q79" s="14" t="n">
        <f aca="false">N79/H79-1</f>
        <v>0.0126710643894896</v>
      </c>
      <c r="R79" s="14" t="n">
        <f aca="false">N79/F79-1</f>
        <v>0.0151682905225863</v>
      </c>
      <c r="U79" s="14" t="n">
        <f aca="false">N79/$N$94</f>
        <v>0.0835486253052661</v>
      </c>
    </row>
    <row r="80" customFormat="false" ht="15" hidden="false" customHeight="false" outlineLevel="0" collapsed="false">
      <c r="A80" s="9" t="n">
        <v>4</v>
      </c>
      <c r="B80" s="16" t="s">
        <v>79</v>
      </c>
      <c r="C80" s="9" t="s">
        <v>168</v>
      </c>
      <c r="E80" s="15" t="n">
        <f aca="false">SUMIFS(E$7:E$74,$B$7:$B$74,$B80)</f>
        <v>18461</v>
      </c>
      <c r="F80" s="13" t="n">
        <f aca="false">SUMIFS(F$7:F$74,$B$7:$B$74,$B80)</f>
        <v>13595.45</v>
      </c>
      <c r="G80" s="15" t="n">
        <f aca="false">SUMIFS(G$7:G$74,$B$7:$B$74,$B80)</f>
        <v>18555</v>
      </c>
      <c r="H80" s="13" t="n">
        <f aca="false">SUMIFS(H$7:H$74,$B$7:$B$74,$B80)</f>
        <v>13733.2</v>
      </c>
      <c r="I80" s="15" t="n">
        <f aca="false">SUMIFS(I$7:I$74,$B$7:$B$74,$B80)</f>
        <v>18682</v>
      </c>
      <c r="J80" s="13" t="n">
        <f aca="false">SUMIFS(J$7:J$74,$B$7:$B$74,$B80)</f>
        <v>14017.92</v>
      </c>
      <c r="K80" s="15" t="n">
        <f aca="false">SUMIFS(K$7:K$74,$B$7:$B$74,$B80)</f>
        <v>18671</v>
      </c>
      <c r="L80" s="13" t="n">
        <f aca="false">SUMIFS(L$7:L$74,$B$7:$B$74,$B80)</f>
        <v>13996.43</v>
      </c>
      <c r="M80" s="15" t="n">
        <f aca="false">SUMIFS(M$7:M$74,$B$7:$B$74,$B80)</f>
        <v>18719</v>
      </c>
      <c r="N80" s="13" t="n">
        <f aca="false">SUMIFS(N$7:N$74,$B$7:$B$74,$B80)</f>
        <v>13978.71</v>
      </c>
      <c r="P80" s="13" t="n">
        <f aca="false">N80-H80</f>
        <v>245.509999999998</v>
      </c>
      <c r="Q80" s="14" t="n">
        <f aca="false">N80/H80-1</f>
        <v>0.0178771153117989</v>
      </c>
      <c r="R80" s="14" t="n">
        <f aca="false">N80/F80-1</f>
        <v>0.0281903136711177</v>
      </c>
      <c r="U80" s="14" t="n">
        <f aca="false">N80/$N$94</f>
        <v>0.128661685459787</v>
      </c>
    </row>
    <row r="81" customFormat="false" ht="15" hidden="false" customHeight="false" outlineLevel="0" collapsed="false">
      <c r="A81" s="9" t="n">
        <v>5</v>
      </c>
      <c r="B81" s="16" t="s">
        <v>90</v>
      </c>
      <c r="C81" s="9" t="s">
        <v>168</v>
      </c>
      <c r="E81" s="15" t="n">
        <f aca="false">SUMIFS(E$7:E$74,$B$7:$B$74,$B81)</f>
        <v>71487</v>
      </c>
      <c r="F81" s="13" t="n">
        <f aca="false">SUMIFS(F$7:F$74,$B$7:$B$74,$B81)</f>
        <v>388.86</v>
      </c>
      <c r="G81" s="15" t="n">
        <f aca="false">SUMIFS(G$7:G$74,$B$7:$B$74,$B81)</f>
        <v>72417</v>
      </c>
      <c r="H81" s="13" t="n">
        <f aca="false">SUMIFS(H$7:H$74,$B$7:$B$74,$B81)</f>
        <v>387.27</v>
      </c>
      <c r="I81" s="15" t="n">
        <f aca="false">SUMIFS(I$7:I$74,$B$7:$B$74,$B81)</f>
        <v>72593</v>
      </c>
      <c r="J81" s="13" t="n">
        <f aca="false">SUMIFS(J$7:J$74,$B$7:$B$74,$B81)</f>
        <v>388.57</v>
      </c>
      <c r="K81" s="15" t="n">
        <f aca="false">SUMIFS(K$7:K$74,$B$7:$B$74,$B81)</f>
        <v>72719</v>
      </c>
      <c r="L81" s="13" t="n">
        <f aca="false">SUMIFS(L$7:L$74,$B$7:$B$74,$B81)</f>
        <v>389.62</v>
      </c>
      <c r="M81" s="15" t="n">
        <f aca="false">SUMIFS(M$7:M$74,$B$7:$B$74,$B81)</f>
        <v>73557</v>
      </c>
      <c r="N81" s="13" t="n">
        <f aca="false">SUMIFS(N$7:N$74,$B$7:$B$74,$B81)</f>
        <v>387.08</v>
      </c>
      <c r="P81" s="13" t="n">
        <f aca="false">N81-H81</f>
        <v>-0.189999999999998</v>
      </c>
      <c r="Q81" s="14" t="n">
        <f aca="false">N81/H81-1</f>
        <v>-0.000490613783665106</v>
      </c>
      <c r="R81" s="14" t="n">
        <f aca="false">N81/F81-1</f>
        <v>-0.0045774828987295</v>
      </c>
      <c r="U81" s="14" t="n">
        <f aca="false">N81/$N$94</f>
        <v>0.00356272969449786</v>
      </c>
    </row>
    <row r="82" customFormat="false" ht="15" hidden="false" customHeight="false" outlineLevel="0" collapsed="false">
      <c r="A82" s="9" t="n">
        <v>6</v>
      </c>
      <c r="B82" s="16" t="s">
        <v>94</v>
      </c>
      <c r="C82" s="9" t="s">
        <v>168</v>
      </c>
      <c r="E82" s="15" t="n">
        <f aca="false">SUMIFS(E$7:E$74,$B$7:$B$74,$B82)</f>
        <v>4127261</v>
      </c>
      <c r="F82" s="13" t="n">
        <f aca="false">SUMIFS(F$7:F$74,$B$7:$B$74,$B82)</f>
        <v>63512.22</v>
      </c>
      <c r="G82" s="15" t="n">
        <f aca="false">SUMIFS(G$7:G$74,$B$7:$B$74,$B82)</f>
        <v>4143231</v>
      </c>
      <c r="H82" s="13" t="n">
        <f aca="false">SUMIFS(H$7:H$74,$B$7:$B$74,$B82)</f>
        <v>87338.8</v>
      </c>
      <c r="I82" s="15" t="n">
        <f aca="false">SUMIFS(I$7:I$74,$B$7:$B$74,$B82)</f>
        <v>4144411</v>
      </c>
      <c r="J82" s="13" t="n">
        <f aca="false">SUMIFS(J$7:J$74,$B$7:$B$74,$B82)</f>
        <v>67274.56</v>
      </c>
      <c r="K82" s="15" t="n">
        <f aca="false">SUMIFS(K$7:K$74,$B$7:$B$74,$B82)</f>
        <v>4139761</v>
      </c>
      <c r="L82" s="13" t="n">
        <f aca="false">SUMIFS(L$7:L$74,$B$7:$B$74,$B82)</f>
        <v>66231.44</v>
      </c>
      <c r="M82" s="15" t="n">
        <f aca="false">SUMIFS(M$7:M$74,$B$7:$B$74,$B82)</f>
        <v>4151721</v>
      </c>
      <c r="N82" s="13" t="n">
        <f aca="false">SUMIFS(N$7:N$74,$B$7:$B$74,$B82)</f>
        <v>76841.23</v>
      </c>
      <c r="P82" s="13" t="n">
        <f aca="false">N82-H82</f>
        <v>-10497.57</v>
      </c>
      <c r="Q82" s="14" t="n">
        <f aca="false">N82/H82-1</f>
        <v>-0.120193659633519</v>
      </c>
      <c r="R82" s="14" t="n">
        <f aca="false">N82/F82-1</f>
        <v>0.209865282618054</v>
      </c>
      <c r="U82" s="14" t="n">
        <f aca="false">N82/$N$94</f>
        <v>0.707255688443577</v>
      </c>
    </row>
    <row r="83" customFormat="false" ht="15" hidden="false" customHeight="false" outlineLevel="0" collapsed="false">
      <c r="A83" s="9" t="n">
        <v>7</v>
      </c>
      <c r="B83" s="16" t="s">
        <v>156</v>
      </c>
      <c r="C83" s="9" t="s">
        <v>168</v>
      </c>
      <c r="E83" s="15" t="n">
        <f aca="false">SUMIFS(E$7:E$74,$B$7:$B$74,$B83)</f>
        <v>107963</v>
      </c>
      <c r="F83" s="13" t="n">
        <f aca="false">SUMIFS(F$7:F$74,$B$7:$B$74,$B83)</f>
        <v>3383.29</v>
      </c>
      <c r="G83" s="15" t="n">
        <f aca="false">SUMIFS(G$7:G$74,$B$7:$B$74,$B83)</f>
        <v>108782</v>
      </c>
      <c r="H83" s="13" t="n">
        <f aca="false">SUMIFS(H$7:H$74,$B$7:$B$74,$B83)</f>
        <v>3406.12</v>
      </c>
      <c r="I83" s="15" t="n">
        <f aca="false">SUMIFS(I$7:I$74,$B$7:$B$74,$B83)</f>
        <v>108988</v>
      </c>
      <c r="J83" s="13" t="n">
        <f aca="false">SUMIFS(J$7:J$74,$B$7:$B$74,$B83)</f>
        <v>3416.3</v>
      </c>
      <c r="K83" s="15" t="n">
        <f aca="false">SUMIFS(K$7:K$74,$B$7:$B$74,$B83)</f>
        <v>108895</v>
      </c>
      <c r="L83" s="13" t="n">
        <f aca="false">SUMIFS(L$7:L$74,$B$7:$B$74,$B83)</f>
        <v>3402.28</v>
      </c>
      <c r="M83" s="15" t="n">
        <f aca="false">SUMIFS(M$7:M$74,$B$7:$B$74,$B83)</f>
        <v>109316</v>
      </c>
      <c r="N83" s="13" t="n">
        <f aca="false">SUMIFS(N$7:N$74,$B$7:$B$74,$B83)</f>
        <v>3386.82</v>
      </c>
      <c r="P83" s="13" t="n">
        <f aca="false">N83-H83</f>
        <v>-19.2999999999997</v>
      </c>
      <c r="Q83" s="14" t="n">
        <f aca="false">N83/H83-1</f>
        <v>-0.00566627129989539</v>
      </c>
      <c r="R83" s="14" t="n">
        <f aca="false">N83/F83-1</f>
        <v>0.00104336311696618</v>
      </c>
      <c r="U83" s="14" t="n">
        <f aca="false">N83/$N$94</f>
        <v>0.0311726882916174</v>
      </c>
    </row>
    <row r="84" customFormat="false" ht="15" hidden="false" customHeight="false" outlineLevel="0" collapsed="false">
      <c r="B84" s="16" t="s">
        <v>169</v>
      </c>
      <c r="E84" s="15" t="n">
        <f aca="false">SUM(E77:E83)</f>
        <v>4397084</v>
      </c>
      <c r="F84" s="13" t="n">
        <f aca="false">SUM(F77:F83)</f>
        <v>94523.89</v>
      </c>
      <c r="G84" s="15" t="n">
        <f aca="false">SUM(G77:G83)</f>
        <v>4415592</v>
      </c>
      <c r="H84" s="13" t="n">
        <f aca="false">SUM(H77:H83)</f>
        <v>118641.48</v>
      </c>
      <c r="I84" s="15" t="n">
        <f aca="false">SUM(I77:I83)</f>
        <v>4417548</v>
      </c>
      <c r="J84" s="13" t="n">
        <f aca="false">SUM(J77:J83)</f>
        <v>99094.13</v>
      </c>
      <c r="K84" s="15" t="n">
        <f aca="false">SUM(K77:K83)</f>
        <v>4412923</v>
      </c>
      <c r="L84" s="13" t="n">
        <f aca="false">SUM(L77:L83)</f>
        <v>97997.95</v>
      </c>
      <c r="M84" s="15" t="n">
        <f aca="false">SUM(M77:M83)</f>
        <v>4426594</v>
      </c>
      <c r="N84" s="13" t="n">
        <f aca="false">SUM(N77:N83)</f>
        <v>108647.03</v>
      </c>
      <c r="P84" s="13" t="n">
        <f aca="false">N84-H84</f>
        <v>-9994.45</v>
      </c>
      <c r="Q84" s="14" t="n">
        <f aca="false">N84/H84-1</f>
        <v>-0.0842407731258915</v>
      </c>
      <c r="R84" s="14" t="n">
        <f aca="false">N84/F84-1</f>
        <v>0.149413444579989</v>
      </c>
    </row>
    <row r="86" customFormat="false" ht="35.05" hidden="false" customHeight="false" outlineLevel="0" collapsed="false">
      <c r="A86" s="8" t="s">
        <v>35</v>
      </c>
      <c r="B86" s="8" t="s">
        <v>170</v>
      </c>
      <c r="C86" s="8"/>
      <c r="D86" s="8"/>
      <c r="E86" s="8" t="s">
        <v>39</v>
      </c>
      <c r="F86" s="8" t="s">
        <v>160</v>
      </c>
      <c r="G86" s="8" t="s">
        <v>41</v>
      </c>
      <c r="H86" s="8" t="s">
        <v>161</v>
      </c>
      <c r="I86" s="8" t="s">
        <v>43</v>
      </c>
      <c r="J86" s="8" t="s">
        <v>162</v>
      </c>
      <c r="K86" s="8" t="s">
        <v>45</v>
      </c>
      <c r="L86" s="8" t="s">
        <v>163</v>
      </c>
      <c r="M86" s="8" t="s">
        <v>47</v>
      </c>
      <c r="N86" s="8" t="s">
        <v>164</v>
      </c>
      <c r="O86" s="8"/>
      <c r="P86" s="8" t="s">
        <v>171</v>
      </c>
      <c r="Q86" s="8" t="s">
        <v>172</v>
      </c>
      <c r="R86" s="8" t="s">
        <v>173</v>
      </c>
      <c r="S86" s="8" t="s">
        <v>174</v>
      </c>
      <c r="T86" s="8" t="s">
        <v>175</v>
      </c>
    </row>
    <row r="87" customFormat="false" ht="15" hidden="false" customHeight="false" outlineLevel="0" collapsed="false">
      <c r="A87" s="9" t="n">
        <v>1</v>
      </c>
      <c r="B87" s="16" t="s">
        <v>59</v>
      </c>
      <c r="C87" s="9" t="s">
        <v>176</v>
      </c>
      <c r="E87" s="10" t="n">
        <v>34701</v>
      </c>
      <c r="F87" s="11" t="n">
        <v>1710.2</v>
      </c>
      <c r="G87" s="10" t="n">
        <v>34706</v>
      </c>
      <c r="H87" s="11" t="n">
        <v>1708.22</v>
      </c>
      <c r="I87" s="10" t="n">
        <v>34776</v>
      </c>
      <c r="J87" s="11" t="n">
        <v>1717.85</v>
      </c>
      <c r="K87" s="10" t="n">
        <v>34730</v>
      </c>
      <c r="L87" s="11" t="n">
        <v>1713.06</v>
      </c>
      <c r="M87" s="10" t="n">
        <v>34622</v>
      </c>
      <c r="N87" s="11" t="n">
        <v>1714.94</v>
      </c>
      <c r="P87" s="13" t="n">
        <f aca="false">F87-F77</f>
        <v>0</v>
      </c>
      <c r="Q87" s="13" t="n">
        <f aca="false">H87-H77</f>
        <v>-0.00999999999999091</v>
      </c>
      <c r="R87" s="13" t="n">
        <f aca="false">J87-J77</f>
        <v>0</v>
      </c>
      <c r="S87" s="13" t="n">
        <f aca="false">L87-L77</f>
        <v>-0.00999999999999091</v>
      </c>
      <c r="T87" s="13" t="n">
        <f aca="false">N87-N77</f>
        <v>0</v>
      </c>
    </row>
    <row r="88" customFormat="false" ht="15" hidden="false" customHeight="false" outlineLevel="0" collapsed="false">
      <c r="A88" s="9" t="n">
        <v>2</v>
      </c>
      <c r="B88" s="16" t="s">
        <v>64</v>
      </c>
      <c r="C88" s="9" t="s">
        <v>176</v>
      </c>
      <c r="E88" s="10" t="n">
        <v>1724</v>
      </c>
      <c r="F88" s="11" t="n">
        <v>2992.18</v>
      </c>
      <c r="G88" s="10" t="n">
        <v>1923</v>
      </c>
      <c r="H88" s="11" t="n">
        <v>3104.13</v>
      </c>
      <c r="I88" s="10" t="n">
        <v>1959</v>
      </c>
      <c r="J88" s="11" t="n">
        <v>3193.29</v>
      </c>
      <c r="K88" s="10" t="n">
        <v>1967</v>
      </c>
      <c r="L88" s="11" t="n">
        <v>3177.14</v>
      </c>
      <c r="M88" s="10" t="n">
        <v>2027</v>
      </c>
      <c r="N88" s="11" t="n">
        <v>3260.94</v>
      </c>
      <c r="P88" s="13" t="n">
        <f aca="false">F88-F78</f>
        <v>-0.0100000000002183</v>
      </c>
      <c r="Q88" s="13" t="n">
        <f aca="false">H88-H78</f>
        <v>0</v>
      </c>
      <c r="R88" s="13" t="n">
        <f aca="false">J88-J78</f>
        <v>0</v>
      </c>
      <c r="S88" s="13" t="n">
        <f aca="false">L88-L78</f>
        <v>0.00999999999976353</v>
      </c>
      <c r="T88" s="13" t="n">
        <f aca="false">N88-N78</f>
        <v>0</v>
      </c>
    </row>
    <row r="89" customFormat="false" ht="15" hidden="false" customHeight="false" outlineLevel="0" collapsed="false">
      <c r="A89" s="9" t="n">
        <v>3</v>
      </c>
      <c r="B89" s="16" t="s">
        <v>65</v>
      </c>
      <c r="C89" s="9" t="s">
        <v>176</v>
      </c>
      <c r="E89" s="10" t="n">
        <v>35487</v>
      </c>
      <c r="F89" s="11" t="n">
        <v>8941.68</v>
      </c>
      <c r="G89" s="10" t="n">
        <v>35978</v>
      </c>
      <c r="H89" s="11" t="n">
        <v>8963.72</v>
      </c>
      <c r="I89" s="10" t="n">
        <v>36139</v>
      </c>
      <c r="J89" s="11" t="n">
        <v>9085.64</v>
      </c>
      <c r="K89" s="10" t="n">
        <v>36180</v>
      </c>
      <c r="L89" s="11" t="n">
        <v>9087.98</v>
      </c>
      <c r="M89" s="10" t="n">
        <v>36632</v>
      </c>
      <c r="N89" s="11" t="n">
        <v>9077.31</v>
      </c>
      <c r="P89" s="13" t="n">
        <f aca="false">F89-F79</f>
        <v>0</v>
      </c>
      <c r="Q89" s="13" t="n">
        <f aca="false">H89-H79</f>
        <v>-0.0100000000002183</v>
      </c>
      <c r="R89" s="13" t="n">
        <f aca="false">J89-J79</f>
        <v>0</v>
      </c>
      <c r="S89" s="13" t="n">
        <f aca="false">L89-L79</f>
        <v>0</v>
      </c>
      <c r="T89" s="13" t="n">
        <f aca="false">N89-N79</f>
        <v>0</v>
      </c>
    </row>
    <row r="90" customFormat="false" ht="15" hidden="false" customHeight="false" outlineLevel="0" collapsed="false">
      <c r="A90" s="9" t="n">
        <v>4</v>
      </c>
      <c r="B90" s="16" t="s">
        <v>79</v>
      </c>
      <c r="C90" s="9" t="s">
        <v>176</v>
      </c>
      <c r="E90" s="10" t="n">
        <v>18461</v>
      </c>
      <c r="F90" s="11" t="n">
        <v>13595.44</v>
      </c>
      <c r="G90" s="10" t="n">
        <v>18555</v>
      </c>
      <c r="H90" s="11" t="n">
        <v>13733.2</v>
      </c>
      <c r="I90" s="10" t="n">
        <v>18682</v>
      </c>
      <c r="J90" s="11" t="n">
        <v>14017.93</v>
      </c>
      <c r="K90" s="10" t="n">
        <v>18671</v>
      </c>
      <c r="L90" s="11" t="n">
        <v>13996.43</v>
      </c>
      <c r="M90" s="10" t="n">
        <v>18719</v>
      </c>
      <c r="N90" s="11" t="n">
        <v>13978.71</v>
      </c>
      <c r="P90" s="13" t="n">
        <f aca="false">F90-F80</f>
        <v>-0.0100000000002183</v>
      </c>
      <c r="Q90" s="13" t="n">
        <f aca="false">H90-H80</f>
        <v>0</v>
      </c>
      <c r="R90" s="13" t="n">
        <f aca="false">J90-J80</f>
        <v>0.0100000000002183</v>
      </c>
      <c r="S90" s="13" t="n">
        <f aca="false">L90-L80</f>
        <v>0</v>
      </c>
      <c r="T90" s="13" t="n">
        <f aca="false">N90-N80</f>
        <v>0</v>
      </c>
    </row>
    <row r="91" customFormat="false" ht="15" hidden="false" customHeight="false" outlineLevel="0" collapsed="false">
      <c r="A91" s="9" t="n">
        <v>5</v>
      </c>
      <c r="B91" s="16" t="s">
        <v>90</v>
      </c>
      <c r="C91" s="9" t="s">
        <v>176</v>
      </c>
      <c r="E91" s="10" t="n">
        <v>71487</v>
      </c>
      <c r="F91" s="11" t="n">
        <v>388.86</v>
      </c>
      <c r="G91" s="10" t="n">
        <v>72417</v>
      </c>
      <c r="H91" s="11" t="n">
        <v>387.28</v>
      </c>
      <c r="I91" s="10" t="n">
        <v>72593</v>
      </c>
      <c r="J91" s="11" t="n">
        <v>388.57</v>
      </c>
      <c r="K91" s="10" t="n">
        <v>72719</v>
      </c>
      <c r="L91" s="11" t="n">
        <v>389.62</v>
      </c>
      <c r="M91" s="10" t="n">
        <v>73557</v>
      </c>
      <c r="N91" s="11" t="n">
        <v>387.08</v>
      </c>
      <c r="P91" s="13" t="n">
        <f aca="false">F91-F81</f>
        <v>0</v>
      </c>
      <c r="Q91" s="13" t="n">
        <f aca="false">H91-H81</f>
        <v>0.00999999999993406</v>
      </c>
      <c r="R91" s="13" t="n">
        <f aca="false">J91-J81</f>
        <v>0</v>
      </c>
      <c r="S91" s="13" t="n">
        <f aca="false">L91-L81</f>
        <v>0</v>
      </c>
      <c r="T91" s="13" t="n">
        <f aca="false">N91-N81</f>
        <v>0</v>
      </c>
    </row>
    <row r="92" customFormat="false" ht="15" hidden="false" customHeight="false" outlineLevel="0" collapsed="false">
      <c r="A92" s="9" t="n">
        <v>6</v>
      </c>
      <c r="B92" s="16" t="s">
        <v>94</v>
      </c>
      <c r="C92" s="9" t="s">
        <v>176</v>
      </c>
      <c r="E92" s="10" t="n">
        <v>4127261</v>
      </c>
      <c r="F92" s="11" t="n">
        <v>63512.22</v>
      </c>
      <c r="G92" s="10" t="n">
        <v>4143231</v>
      </c>
      <c r="H92" s="11" t="n">
        <v>87338.81</v>
      </c>
      <c r="I92" s="10" t="n">
        <v>4144411</v>
      </c>
      <c r="J92" s="11" t="n">
        <v>67274.57</v>
      </c>
      <c r="K92" s="10" t="n">
        <v>4139761</v>
      </c>
      <c r="L92" s="11" t="n">
        <v>66231.46</v>
      </c>
      <c r="M92" s="10" t="n">
        <v>4151721</v>
      </c>
      <c r="N92" s="11" t="n">
        <v>76841.23</v>
      </c>
      <c r="P92" s="13" t="n">
        <f aca="false">F92-F82</f>
        <v>0</v>
      </c>
      <c r="Q92" s="13" t="n">
        <f aca="false">H92-H82</f>
        <v>0.00999999999476131</v>
      </c>
      <c r="R92" s="13" t="n">
        <f aca="false">J92-J82</f>
        <v>0.0100000000093132</v>
      </c>
      <c r="S92" s="13" t="n">
        <f aca="false">L92-L82</f>
        <v>0.0200000000040745</v>
      </c>
      <c r="T92" s="13" t="n">
        <f aca="false">N92-N82</f>
        <v>0</v>
      </c>
    </row>
    <row r="93" customFormat="false" ht="15" hidden="false" customHeight="false" outlineLevel="0" collapsed="false">
      <c r="A93" s="9" t="n">
        <v>7</v>
      </c>
      <c r="B93" s="16" t="s">
        <v>156</v>
      </c>
      <c r="C93" s="9" t="s">
        <v>176</v>
      </c>
      <c r="E93" s="10" t="n">
        <v>107963</v>
      </c>
      <c r="F93" s="11" t="n">
        <v>3383.29</v>
      </c>
      <c r="G93" s="10" t="n">
        <v>108782</v>
      </c>
      <c r="H93" s="11" t="n">
        <v>3406.12</v>
      </c>
      <c r="I93" s="10" t="n">
        <v>108988</v>
      </c>
      <c r="J93" s="11" t="n">
        <v>3416.3</v>
      </c>
      <c r="K93" s="10" t="n">
        <v>108895</v>
      </c>
      <c r="L93" s="11" t="n">
        <v>3402.28</v>
      </c>
      <c r="M93" s="10" t="n">
        <v>109316</v>
      </c>
      <c r="N93" s="11" t="n">
        <v>3386.82</v>
      </c>
      <c r="P93" s="13" t="n">
        <f aca="false">F93-F83</f>
        <v>0</v>
      </c>
      <c r="Q93" s="13" t="n">
        <f aca="false">H93-H83</f>
        <v>0</v>
      </c>
      <c r="R93" s="13" t="n">
        <f aca="false">J93-J83</f>
        <v>0</v>
      </c>
      <c r="S93" s="13" t="n">
        <f aca="false">L93-L83</f>
        <v>0</v>
      </c>
      <c r="T93" s="13" t="n">
        <f aca="false">N93-N83</f>
        <v>0</v>
      </c>
    </row>
    <row r="94" customFormat="false" ht="15" hidden="false" customHeight="false" outlineLevel="0" collapsed="false">
      <c r="A94" s="9" t="n">
        <v>8</v>
      </c>
      <c r="B94" s="16" t="s">
        <v>177</v>
      </c>
      <c r="C94" s="9" t="s">
        <v>176</v>
      </c>
      <c r="E94" s="10" t="n">
        <v>4397084</v>
      </c>
      <c r="F94" s="11" t="n">
        <v>94523.88</v>
      </c>
      <c r="G94" s="10" t="n">
        <v>4415592</v>
      </c>
      <c r="H94" s="11" t="n">
        <v>118641.47</v>
      </c>
      <c r="I94" s="10" t="n">
        <v>4417548</v>
      </c>
      <c r="J94" s="11" t="n">
        <v>99094.13</v>
      </c>
      <c r="K94" s="10" t="n">
        <v>4412923</v>
      </c>
      <c r="L94" s="11" t="n">
        <v>97997.96</v>
      </c>
      <c r="M94" s="10" t="n">
        <v>4426594</v>
      </c>
      <c r="N94" s="11" t="n">
        <v>108647.03</v>
      </c>
      <c r="P94" s="13" t="n">
        <f aca="false">F94-F84</f>
        <v>-0.00999999999476131</v>
      </c>
      <c r="Q94" s="13" t="n">
        <f aca="false">H94-H84</f>
        <v>-0.00999999999476131</v>
      </c>
      <c r="R94" s="13" t="n">
        <f aca="false">J94-J84</f>
        <v>0</v>
      </c>
      <c r="S94" s="13" t="n">
        <f aca="false">L94-L84</f>
        <v>0.0100000000093132</v>
      </c>
      <c r="T94" s="13" t="n">
        <f aca="false">N94-N84</f>
        <v>0</v>
      </c>
    </row>
    <row r="96" customFormat="false" ht="15" hidden="false" customHeight="false" outlineLevel="0" collapsed="false">
      <c r="A96" s="4" t="s">
        <v>178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customFormat="false" ht="35.05" hidden="false" customHeight="false" outlineLevel="0" collapsed="false">
      <c r="A97" s="8" t="s">
        <v>35</v>
      </c>
      <c r="B97" s="8" t="s">
        <v>179</v>
      </c>
      <c r="C97" s="8"/>
      <c r="D97" s="8"/>
      <c r="E97" s="8" t="s">
        <v>39</v>
      </c>
      <c r="F97" s="8" t="s">
        <v>160</v>
      </c>
      <c r="G97" s="8" t="s">
        <v>41</v>
      </c>
      <c r="H97" s="8" t="s">
        <v>161</v>
      </c>
      <c r="I97" s="8" t="s">
        <v>43</v>
      </c>
      <c r="J97" s="8" t="s">
        <v>162</v>
      </c>
      <c r="K97" s="8" t="s">
        <v>45</v>
      </c>
      <c r="L97" s="8" t="s">
        <v>163</v>
      </c>
      <c r="M97" s="8" t="s">
        <v>47</v>
      </c>
      <c r="N97" s="8" t="s">
        <v>164</v>
      </c>
      <c r="O97" s="8"/>
      <c r="P97" s="8" t="s">
        <v>165</v>
      </c>
      <c r="Q97" s="8" t="s">
        <v>166</v>
      </c>
      <c r="R97" s="8" t="s">
        <v>167</v>
      </c>
      <c r="S97" s="8" t="s">
        <v>180</v>
      </c>
      <c r="T97" s="8" t="s">
        <v>181</v>
      </c>
    </row>
    <row r="98" customFormat="false" ht="15" hidden="false" customHeight="false" outlineLevel="0" collapsed="false">
      <c r="A98" s="9" t="n">
        <v>1</v>
      </c>
      <c r="B98" s="16" t="s">
        <v>182</v>
      </c>
      <c r="E98" s="15" t="n">
        <f aca="false">SUMIFS(E$7:E$74,$X$7:$X$74,"")</f>
        <v>4396686</v>
      </c>
      <c r="F98" s="13" t="n">
        <f aca="false">SUMIFS(F$7:F$74,$X$7:$X$74,"")</f>
        <v>86157</v>
      </c>
      <c r="G98" s="15" t="n">
        <f aca="false">SUMIFS(G$7:G$74,$X$7:$X$74,"")</f>
        <v>4414566</v>
      </c>
      <c r="H98" s="13" t="n">
        <f aca="false">SUMIFS(H$7:H$74,$X$7:$X$74,"")</f>
        <v>86390.4</v>
      </c>
      <c r="I98" s="15" t="n">
        <f aca="false">SUMIFS(I$7:I$74,$X$7:$X$74,"")</f>
        <v>4417133</v>
      </c>
      <c r="J98" s="13" t="n">
        <f aca="false">SUMIFS(J$7:J$74,$X$7:$X$74,"")</f>
        <v>88915.51</v>
      </c>
      <c r="K98" s="15" t="n">
        <f aca="false">SUMIFS(K$7:K$74,$X$7:$X$74,"")</f>
        <v>4412493</v>
      </c>
      <c r="L98" s="13" t="n">
        <f aca="false">SUMIFS(L$7:L$74,$X$7:$X$74,"")</f>
        <v>87548.14</v>
      </c>
      <c r="M98" s="15" t="n">
        <f aca="false">SUMIFS(M$7:M$74,$X$7:$X$74,"")</f>
        <v>4425957</v>
      </c>
      <c r="N98" s="13" t="n">
        <f aca="false">SUMIFS(N$7:N$74,$X$7:$X$74,"")</f>
        <v>88864.04</v>
      </c>
      <c r="P98" s="13" t="n">
        <f aca="false">N98-H98</f>
        <v>2473.64</v>
      </c>
      <c r="Q98" s="14" t="n">
        <f aca="false">N98/H98-1</f>
        <v>0.0286332740674891</v>
      </c>
      <c r="R98" s="14" t="n">
        <f aca="false">N98/F98-1</f>
        <v>0.0314198498090694</v>
      </c>
      <c r="S98" s="14" t="n">
        <f aca="false">N98/L98-1</f>
        <v>0.0150305877429262</v>
      </c>
      <c r="T98" s="14" t="n">
        <f aca="false">J98/H98-1</f>
        <v>0.0292290578582806</v>
      </c>
    </row>
    <row r="99" customFormat="false" ht="15" hidden="false" customHeight="false" outlineLevel="0" collapsed="false">
      <c r="A99" s="9" t="n">
        <v>2</v>
      </c>
      <c r="B99" s="9" t="s">
        <v>183</v>
      </c>
      <c r="E99" s="15" t="n">
        <f aca="false">SUMIFS(E$7:E$74,$X$7:$X$74,"Yes")</f>
        <v>398</v>
      </c>
      <c r="F99" s="13" t="n">
        <f aca="false">SUMIFS(F$7:F$74,$X$7:$X$74,"Yes")</f>
        <v>8366.89</v>
      </c>
      <c r="G99" s="15" t="n">
        <f aca="false">SUMIFS(G$7:G$74,$X$7:$X$74,"Yes")</f>
        <v>1026</v>
      </c>
      <c r="H99" s="13" t="n">
        <f aca="false">SUMIFS(H$7:H$74,$X$7:$X$74,"Yes")</f>
        <v>32251.08</v>
      </c>
      <c r="I99" s="15" t="n">
        <f aca="false">SUMIFS(I$7:I$74,$X$7:$X$74,"Yes")</f>
        <v>415</v>
      </c>
      <c r="J99" s="13" t="n">
        <f aca="false">SUMIFS(J$7:J$74,$X$7:$X$74,"Yes")</f>
        <v>10178.62</v>
      </c>
      <c r="K99" s="15" t="n">
        <f aca="false">SUMIFS(K$7:K$74,$X$7:$X$74,"Yes")</f>
        <v>430</v>
      </c>
      <c r="L99" s="13" t="n">
        <f aca="false">SUMIFS(L$7:L$74,$X$7:$X$74,"Yes")</f>
        <v>10449.81</v>
      </c>
      <c r="M99" s="15" t="n">
        <f aca="false">SUMIFS(M$7:M$74,$X$7:$X$74,"Yes")</f>
        <v>637</v>
      </c>
      <c r="N99" s="13" t="n">
        <f aca="false">SUMIFS(N$7:N$74,$X$7:$X$74,"Yes")</f>
        <v>19782.99</v>
      </c>
    </row>
    <row r="100" customFormat="false" ht="15" hidden="false" customHeight="false" outlineLevel="0" collapsed="false">
      <c r="A100" s="9" t="n">
        <v>3</v>
      </c>
      <c r="B100" s="9" t="s">
        <v>184</v>
      </c>
      <c r="E100" s="15" t="n">
        <f aca="false">E98-E53</f>
        <v>419497</v>
      </c>
      <c r="F100" s="13" t="n">
        <f aca="false">F98-F53</f>
        <v>77651.46</v>
      </c>
      <c r="G100" s="15" t="n">
        <f aca="false">G98-G53</f>
        <v>421178</v>
      </c>
      <c r="H100" s="13" t="n">
        <f aca="false">H98-H53</f>
        <v>77858.69</v>
      </c>
      <c r="I100" s="15" t="n">
        <f aca="false">I98-I53</f>
        <v>418925</v>
      </c>
      <c r="J100" s="13" t="n">
        <f aca="false">J98-J53</f>
        <v>80347.01</v>
      </c>
      <c r="K100" s="15" t="n">
        <f aca="false">K98-K53</f>
        <v>418643</v>
      </c>
      <c r="L100" s="13" t="n">
        <f aca="false">L98-L53</f>
        <v>79018.31</v>
      </c>
      <c r="M100" s="15" t="n">
        <f aca="false">M98-M53</f>
        <v>418664</v>
      </c>
      <c r="N100" s="13" t="n">
        <f aca="false">N98-N53</f>
        <v>80282.27</v>
      </c>
      <c r="Q100" s="14" t="n">
        <f aca="false">N100/H100-1</f>
        <v>0.0311279318981605</v>
      </c>
      <c r="R100" s="14" t="n">
        <f aca="false">N100/F100-1</f>
        <v>0.0338797235750621</v>
      </c>
    </row>
    <row r="103" customFormat="false" ht="15" hidden="false" customHeight="false" outlineLevel="0" collapsed="false">
      <c r="A103" s="4" t="s">
        <v>185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customFormat="false" ht="23.85" hidden="false" customHeight="false" outlineLevel="0" collapsed="false">
      <c r="A104" s="8" t="s">
        <v>35</v>
      </c>
      <c r="B104" s="8" t="s">
        <v>186</v>
      </c>
      <c r="C104" s="8" t="s">
        <v>187</v>
      </c>
      <c r="D104" s="8" t="s">
        <v>188</v>
      </c>
      <c r="E104" s="8" t="s">
        <v>189</v>
      </c>
    </row>
    <row r="105" customFormat="false" ht="147" hidden="false" customHeight="false" outlineLevel="0" collapsed="false">
      <c r="A105" s="9" t="n">
        <v>1</v>
      </c>
      <c r="B105" s="17" t="s">
        <v>190</v>
      </c>
      <c r="C105" s="14" t="n">
        <f aca="false">Q98</f>
        <v>0.0286332740674891</v>
      </c>
      <c r="D105" s="9" t="s">
        <v>191</v>
      </c>
      <c r="E105" s="18" t="s">
        <v>192</v>
      </c>
    </row>
    <row r="106" customFormat="false" ht="79.85" hidden="false" customHeight="false" outlineLevel="0" collapsed="false">
      <c r="A106" s="9" t="n">
        <v>2</v>
      </c>
      <c r="B106" s="17" t="s">
        <v>193</v>
      </c>
      <c r="C106" s="14" t="n">
        <f aca="false">Q54</f>
        <v>0.999922157904208</v>
      </c>
      <c r="D106" s="9" t="s">
        <v>191</v>
      </c>
      <c r="E106" s="18" t="s">
        <v>194</v>
      </c>
    </row>
    <row r="107" customFormat="false" ht="91" hidden="false" customHeight="false" outlineLevel="0" collapsed="false">
      <c r="A107" s="9" t="n">
        <v>3</v>
      </c>
      <c r="B107" s="17" t="s">
        <v>195</v>
      </c>
      <c r="C107" s="13" t="n">
        <f aca="false">H50</f>
        <v>21373.54</v>
      </c>
      <c r="D107" s="9" t="s">
        <v>196</v>
      </c>
      <c r="E107" s="18" t="s">
        <v>197</v>
      </c>
    </row>
    <row r="108" customFormat="false" ht="46.25" hidden="false" customHeight="false" outlineLevel="0" collapsed="false">
      <c r="A108" s="9" t="n">
        <v>4</v>
      </c>
      <c r="B108" s="17" t="s">
        <v>198</v>
      </c>
      <c r="C108" s="13" t="n">
        <f aca="false">MAX(ABS(MIN(P87:T94)),MAX(P87:T94))</f>
        <v>0.0200000000040745</v>
      </c>
      <c r="D108" s="9" t="s">
        <v>196</v>
      </c>
      <c r="E108" s="18" t="s">
        <v>199</v>
      </c>
    </row>
    <row r="109" customFormat="false" ht="91" hidden="false" customHeight="false" outlineLevel="0" collapsed="false">
      <c r="A109" s="9" t="n">
        <v>5</v>
      </c>
      <c r="B109" s="17" t="s">
        <v>200</v>
      </c>
      <c r="C109" s="14" t="n">
        <f aca="false">M53/M94</f>
        <v>0.905276833610672</v>
      </c>
      <c r="D109" s="9" t="s">
        <v>191</v>
      </c>
      <c r="E109" s="18" t="s">
        <v>201</v>
      </c>
    </row>
    <row r="110" customFormat="false" ht="79.85" hidden="false" customHeight="false" outlineLevel="0" collapsed="false">
      <c r="A110" s="9" t="n">
        <v>6</v>
      </c>
      <c r="B110" s="17" t="s">
        <v>202</v>
      </c>
      <c r="C110" s="14" t="n">
        <f aca="false">T72</f>
        <v>0.112355732565628</v>
      </c>
      <c r="D110" s="9" t="s">
        <v>191</v>
      </c>
      <c r="E110" s="18" t="s">
        <v>203</v>
      </c>
    </row>
    <row r="112" customFormat="false" ht="15" hidden="false" customHeight="false" outlineLevel="0" collapsed="false">
      <c r="A112" s="4" t="s">
        <v>204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4" customFormat="false" ht="15" hidden="false" customHeight="false" outlineLevel="0" collapsed="false">
      <c r="A114" s="4" t="s">
        <v>205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customFormat="false" ht="23.85" hidden="false" customHeight="false" outlineLevel="0" collapsed="false">
      <c r="A115" s="8" t="s">
        <v>35</v>
      </c>
      <c r="B115" s="8" t="s">
        <v>206</v>
      </c>
      <c r="C115" s="8" t="s">
        <v>207</v>
      </c>
      <c r="D115" s="8" t="s">
        <v>208</v>
      </c>
      <c r="E115" s="8" t="s">
        <v>209</v>
      </c>
      <c r="F115" s="8" t="s">
        <v>188</v>
      </c>
      <c r="G115" s="8" t="s">
        <v>210</v>
      </c>
    </row>
    <row r="116" customFormat="false" ht="23.85" hidden="false" customHeight="false" outlineLevel="0" collapsed="false">
      <c r="A116" s="9" t="n">
        <v>1</v>
      </c>
      <c r="B116" s="16" t="s">
        <v>211</v>
      </c>
      <c r="C116" s="18" t="s">
        <v>212</v>
      </c>
      <c r="D116" s="18" t="s">
        <v>213</v>
      </c>
      <c r="E116" s="13" t="n">
        <f aca="false">N69</f>
        <v>14798.7</v>
      </c>
      <c r="F116" s="9" t="s">
        <v>196</v>
      </c>
      <c r="G116" s="18"/>
    </row>
    <row r="117" customFormat="false" ht="35.05" hidden="false" customHeight="false" outlineLevel="0" collapsed="false">
      <c r="A117" s="9" t="n">
        <v>2</v>
      </c>
      <c r="B117" s="16" t="s">
        <v>211</v>
      </c>
      <c r="C117" s="18" t="s">
        <v>214</v>
      </c>
      <c r="D117" s="18" t="s">
        <v>213</v>
      </c>
      <c r="E117" s="15" t="n">
        <f aca="false">M53</f>
        <v>4007293</v>
      </c>
      <c r="F117" s="9" t="s">
        <v>215</v>
      </c>
      <c r="G117" s="18"/>
    </row>
    <row r="118" customFormat="false" ht="23.85" hidden="false" customHeight="false" outlineLevel="0" collapsed="false">
      <c r="A118" s="9" t="n">
        <v>3</v>
      </c>
      <c r="B118" s="16" t="s">
        <v>211</v>
      </c>
      <c r="C118" s="18" t="s">
        <v>216</v>
      </c>
      <c r="D118" s="18" t="s">
        <v>213</v>
      </c>
      <c r="E118" s="13" t="n">
        <f aca="false">H94</f>
        <v>118641.47</v>
      </c>
      <c r="F118" s="9" t="s">
        <v>196</v>
      </c>
      <c r="G118" s="18"/>
    </row>
    <row r="119" customFormat="false" ht="23.85" hidden="false" customHeight="false" outlineLevel="0" collapsed="false">
      <c r="A119" s="9" t="n">
        <v>4</v>
      </c>
      <c r="B119" s="16" t="s">
        <v>217</v>
      </c>
      <c r="C119" s="18" t="s">
        <v>218</v>
      </c>
      <c r="D119" s="18" t="s">
        <v>219</v>
      </c>
      <c r="E119" s="14" t="n">
        <f aca="false">Q80</f>
        <v>0.0178771153117989</v>
      </c>
      <c r="F119" s="9" t="s">
        <v>191</v>
      </c>
      <c r="G119" s="18"/>
    </row>
    <row r="120" customFormat="false" ht="23.85" hidden="false" customHeight="false" outlineLevel="0" collapsed="false">
      <c r="A120" s="9" t="n">
        <v>5</v>
      </c>
      <c r="B120" s="16" t="s">
        <v>217</v>
      </c>
      <c r="C120" s="18" t="s">
        <v>220</v>
      </c>
      <c r="D120" s="18" t="s">
        <v>221</v>
      </c>
      <c r="E120" s="12" t="n">
        <f aca="false">O54</f>
        <v>3110.5141509434</v>
      </c>
      <c r="F120" s="9" t="s">
        <v>222</v>
      </c>
      <c r="G120" s="18"/>
    </row>
    <row r="121" customFormat="false" ht="35.05" hidden="false" customHeight="false" outlineLevel="0" collapsed="false">
      <c r="A121" s="9" t="n">
        <v>6</v>
      </c>
      <c r="B121" s="16" t="s">
        <v>217</v>
      </c>
      <c r="C121" s="18" t="s">
        <v>223</v>
      </c>
      <c r="D121" s="18" t="s">
        <v>224</v>
      </c>
      <c r="E121" s="14" t="n">
        <f aca="false">U82</f>
        <v>0.707255688443577</v>
      </c>
      <c r="F121" s="9" t="s">
        <v>191</v>
      </c>
      <c r="G121" s="18"/>
    </row>
    <row r="122" customFormat="false" ht="35.05" hidden="false" customHeight="false" outlineLevel="0" collapsed="false">
      <c r="A122" s="9" t="n">
        <v>7</v>
      </c>
      <c r="B122" s="16" t="s">
        <v>217</v>
      </c>
      <c r="C122" s="18" t="s">
        <v>225</v>
      </c>
      <c r="D122" s="18" t="s">
        <v>226</v>
      </c>
      <c r="E122" s="14" t="n">
        <f aca="false">R15</f>
        <v>0.0506948850237612</v>
      </c>
      <c r="F122" s="9" t="s">
        <v>191</v>
      </c>
      <c r="G122" s="18"/>
    </row>
    <row r="123" customFormat="false" ht="91" hidden="false" customHeight="false" outlineLevel="0" collapsed="false">
      <c r="A123" s="9" t="n">
        <v>8</v>
      </c>
      <c r="B123" s="16" t="s">
        <v>227</v>
      </c>
      <c r="C123" s="18" t="s">
        <v>228</v>
      </c>
      <c r="D123" s="18" t="s">
        <v>229</v>
      </c>
      <c r="E123" s="19" t="n">
        <f aca="false">(Q98-(N94/H94-1))*100</f>
        <v>11.287397000627</v>
      </c>
      <c r="F123" s="9" t="s">
        <v>230</v>
      </c>
      <c r="G123" s="18" t="s">
        <v>231</v>
      </c>
    </row>
    <row r="124" customFormat="false" ht="46.25" hidden="false" customHeight="false" outlineLevel="0" collapsed="false">
      <c r="A124" s="9" t="n">
        <v>9</v>
      </c>
      <c r="B124" s="16" t="s">
        <v>227</v>
      </c>
      <c r="C124" s="18" t="s">
        <v>232</v>
      </c>
      <c r="D124" s="18" t="s">
        <v>233</v>
      </c>
      <c r="E124" s="14" t="n">
        <f aca="false">(N54-L54)/(N94-L94)</f>
        <v>0.876420194439515</v>
      </c>
      <c r="F124" s="9" t="s">
        <v>191</v>
      </c>
      <c r="G124" s="18" t="s">
        <v>234</v>
      </c>
    </row>
    <row r="125" customFormat="false" ht="91" hidden="false" customHeight="false" outlineLevel="0" collapsed="false">
      <c r="A125" s="9" t="n">
        <v>10</v>
      </c>
      <c r="B125" s="16" t="s">
        <v>227</v>
      </c>
      <c r="C125" s="18" t="s">
        <v>235</v>
      </c>
      <c r="D125" s="18" t="s">
        <v>236</v>
      </c>
      <c r="E125" s="15" t="n">
        <f aca="false">G50</f>
        <v>612</v>
      </c>
      <c r="F125" s="9" t="s">
        <v>215</v>
      </c>
      <c r="G125" s="18" t="s">
        <v>237</v>
      </c>
    </row>
    <row r="127" customFormat="false" ht="15" hidden="false" customHeight="false" outlineLevel="0" collapsed="false">
      <c r="A127" s="4" t="s">
        <v>238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customFormat="false" ht="69.75" hidden="false" customHeight="true" outlineLevel="0" collapsed="false">
      <c r="A128" s="20" t="s">
        <v>239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</row>
    <row r="130" customFormat="false" ht="15" hidden="false" customHeight="false" outlineLevel="0" collapsed="false">
      <c r="A130" s="3" t="s">
        <v>2</v>
      </c>
    </row>
  </sheetData>
  <mergeCells count="1">
    <mergeCell ref="A128:X1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78"/>
  </cols>
  <sheetData>
    <row r="1" customFormat="false" ht="17.35" hidden="false" customHeight="false" outlineLevel="0" collapsed="false">
      <c r="A1" s="1" t="s">
        <v>240</v>
      </c>
    </row>
    <row r="2" customFormat="false" ht="15" hidden="false" customHeight="false" outlineLevel="0" collapsed="false">
      <c r="A2" s="2" t="s">
        <v>241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242</v>
      </c>
      <c r="B5" s="5"/>
      <c r="C5" s="5"/>
      <c r="D5" s="5"/>
      <c r="E5" s="5"/>
      <c r="F5" s="5"/>
    </row>
    <row r="6" customFormat="false" ht="15" hidden="false" customHeight="false" outlineLevel="0" collapsed="false">
      <c r="B6" s="21" t="s">
        <v>243</v>
      </c>
      <c r="C6" s="21" t="s">
        <v>244</v>
      </c>
      <c r="D6" s="21"/>
      <c r="E6" s="21"/>
      <c r="F6" s="21"/>
    </row>
    <row r="7" customFormat="false" ht="15" hidden="false" customHeight="true" outlineLevel="0" collapsed="false">
      <c r="B7" s="16" t="s">
        <v>245</v>
      </c>
      <c r="C7" s="18" t="s">
        <v>246</v>
      </c>
      <c r="D7" s="18"/>
      <c r="E7" s="18"/>
      <c r="F7" s="18"/>
    </row>
    <row r="8" customFormat="false" ht="15" hidden="false" customHeight="true" outlineLevel="0" collapsed="false">
      <c r="B8" s="16" t="s">
        <v>247</v>
      </c>
      <c r="C8" s="18" t="s">
        <v>248</v>
      </c>
      <c r="D8" s="18"/>
      <c r="E8" s="18"/>
      <c r="F8" s="18"/>
    </row>
    <row r="9" customFormat="false" ht="15" hidden="false" customHeight="true" outlineLevel="0" collapsed="false">
      <c r="B9" s="16" t="s">
        <v>249</v>
      </c>
      <c r="C9" s="18" t="s">
        <v>250</v>
      </c>
      <c r="D9" s="18"/>
      <c r="E9" s="18"/>
      <c r="F9" s="18"/>
    </row>
    <row r="10" customFormat="false" ht="15" hidden="false" customHeight="true" outlineLevel="0" collapsed="false">
      <c r="B10" s="16" t="s">
        <v>251</v>
      </c>
      <c r="C10" s="18" t="s">
        <v>252</v>
      </c>
      <c r="D10" s="18"/>
      <c r="E10" s="18"/>
      <c r="F10" s="18"/>
    </row>
    <row r="11" customFormat="false" ht="15" hidden="false" customHeight="true" outlineLevel="0" collapsed="false">
      <c r="B11" s="16" t="s">
        <v>253</v>
      </c>
      <c r="C11" s="18" t="s">
        <v>254</v>
      </c>
      <c r="D11" s="18"/>
      <c r="E11" s="18"/>
      <c r="F11" s="18"/>
    </row>
    <row r="12" customFormat="false" ht="15" hidden="false" customHeight="true" outlineLevel="0" collapsed="false">
      <c r="B12" s="16" t="s">
        <v>255</v>
      </c>
      <c r="C12" s="18" t="s">
        <v>256</v>
      </c>
      <c r="D12" s="18"/>
      <c r="E12" s="18"/>
      <c r="F12" s="18"/>
    </row>
    <row r="13" customFormat="false" ht="15" hidden="false" customHeight="true" outlineLevel="0" collapsed="false">
      <c r="B13" s="16" t="s">
        <v>257</v>
      </c>
      <c r="C13" s="18" t="s">
        <v>226</v>
      </c>
      <c r="D13" s="18"/>
      <c r="E13" s="18"/>
      <c r="F13" s="18"/>
    </row>
    <row r="14" customFormat="false" ht="15" hidden="false" customHeight="true" outlineLevel="0" collapsed="false">
      <c r="B14" s="16" t="s">
        <v>258</v>
      </c>
      <c r="C14" s="18" t="s">
        <v>259</v>
      </c>
      <c r="D14" s="18"/>
      <c r="E14" s="18"/>
      <c r="F14" s="18"/>
    </row>
    <row r="15" customFormat="false" ht="15" hidden="false" customHeight="true" outlineLevel="0" collapsed="false">
      <c r="B15" s="16" t="s">
        <v>260</v>
      </c>
      <c r="C15" s="18" t="s">
        <v>261</v>
      </c>
      <c r="D15" s="18"/>
      <c r="E15" s="18"/>
      <c r="F15" s="18"/>
    </row>
    <row r="16" customFormat="false" ht="15" hidden="false" customHeight="true" outlineLevel="0" collapsed="false">
      <c r="B16" s="16" t="s">
        <v>262</v>
      </c>
      <c r="C16" s="18" t="s">
        <v>263</v>
      </c>
      <c r="D16" s="18"/>
      <c r="E16" s="18"/>
      <c r="F16" s="18"/>
    </row>
    <row r="17" customFormat="false" ht="15" hidden="false" customHeight="true" outlineLevel="0" collapsed="false">
      <c r="B17" s="16" t="s">
        <v>264</v>
      </c>
      <c r="C17" s="18" t="s">
        <v>265</v>
      </c>
      <c r="D17" s="18"/>
      <c r="E17" s="18"/>
      <c r="F17" s="18"/>
    </row>
    <row r="18" customFormat="false" ht="15" hidden="false" customHeight="false" outlineLevel="0" collapsed="false">
      <c r="B18" s="22" t="s">
        <v>266</v>
      </c>
    </row>
    <row r="20" customFormat="false" ht="15" hidden="false" customHeight="false" outlineLevel="0" collapsed="false">
      <c r="A20" s="4" t="s">
        <v>267</v>
      </c>
      <c r="B20" s="5"/>
      <c r="C20" s="5"/>
      <c r="D20" s="5"/>
      <c r="E20" s="5"/>
      <c r="F20" s="5"/>
    </row>
    <row r="21" customFormat="false" ht="15" hidden="false" customHeight="false" outlineLevel="0" collapsed="false">
      <c r="A21" s="8" t="s">
        <v>35</v>
      </c>
      <c r="B21" s="8" t="s">
        <v>268</v>
      </c>
      <c r="C21" s="8" t="s">
        <v>269</v>
      </c>
      <c r="D21" s="8" t="s">
        <v>270</v>
      </c>
      <c r="E21" s="8" t="s">
        <v>271</v>
      </c>
      <c r="F21" s="8" t="s">
        <v>272</v>
      </c>
    </row>
    <row r="22" customFormat="false" ht="15" hidden="false" customHeight="false" outlineLevel="0" collapsed="false">
      <c r="A22" s="9" t="n">
        <v>1</v>
      </c>
      <c r="B22" s="18" t="s">
        <v>273</v>
      </c>
      <c r="C22" s="18" t="s">
        <v>274</v>
      </c>
      <c r="D22" s="18" t="s">
        <v>275</v>
      </c>
      <c r="E22" s="18" t="s">
        <v>276</v>
      </c>
      <c r="F22" s="23" t="str">
        <f aca="false">"Term Loan "&amp;TEXT(B1_Product_Wise!F69,"#,##0.00;-#,##0.00;0.00")&amp;" / "&amp;TEXT(B1_Product_Wise!H69,"#,##0.00;-#,##0.00;0.00")&amp;" / "&amp;TEXT(B1_Product_Wise!J69,"#,##0.00;-#,##0.00;0.00")&amp;" / "&amp;TEXT(B1_Product_Wise!L69,"#,##0.00;-#,##0.00;0.00")&amp;" / "&amp;TEXT(B1_Product_Wise!N69,"#,##0.00;-#,##0.00;0.00")</f>
        <v>Term Loan 13,711.79 / 13,871.69 / 13,998.95 / 14,014.31 / 14,798.70</v>
      </c>
    </row>
    <row r="23" customFormat="false" ht="15" hidden="false" customHeight="false" outlineLevel="0" collapsed="false">
      <c r="A23" s="9" t="n">
        <v>2</v>
      </c>
      <c r="B23" s="18" t="s">
        <v>273</v>
      </c>
      <c r="C23" s="18" t="s">
        <v>277</v>
      </c>
      <c r="D23" s="18" t="s">
        <v>278</v>
      </c>
      <c r="E23" s="18" t="s">
        <v>279</v>
      </c>
      <c r="F23" s="23" t="str">
        <f aca="false">"Ganaseva "&amp;TEXT(B1_Product_Wise!E53,"#,##0")&amp;" / "&amp;TEXT(B1_Product_Wise!G53,"#,##0")&amp;" / "&amp;TEXT(B1_Product_Wise!I53,"#,##0")&amp;" / "&amp;TEXT(B1_Product_Wise!K53,"#,##0")&amp;" / "&amp;TEXT(B1_Product_Wise!M53,"#,##0")</f>
        <v>Ganaseva 3,977,189 / 3,993,388 / 3,998,208 / 3,993,850 / 4,007,293</v>
      </c>
    </row>
    <row r="24" customFormat="false" ht="15" hidden="false" customHeight="false" outlineLevel="0" collapsed="false">
      <c r="A24" s="9" t="n">
        <v>3</v>
      </c>
      <c r="B24" s="18" t="s">
        <v>273</v>
      </c>
      <c r="C24" s="18" t="s">
        <v>280</v>
      </c>
      <c r="D24" s="18" t="s">
        <v>281</v>
      </c>
      <c r="E24" s="18" t="s">
        <v>282</v>
      </c>
      <c r="F24" s="23" t="str">
        <f aca="false">"GT "&amp;TEXT(B1_Product_Wise!F94,"#,##0.00;-#,##0.00;0.00")&amp;" / "&amp;TEXT(B1_Product_Wise!H94,"#,##0.00;-#,##0.00;0.00")&amp;" / "&amp;TEXT(B1_Product_Wise!J94,"#,##0.00;-#,##0.00;0.00")&amp;" / "&amp;TEXT(B1_Product_Wise!L94,"#,##0.00;-#,##0.00;0.00")&amp;" / "&amp;TEXT(B1_Product_Wise!N94,"#,##0.00;-#,##0.00;0.00")</f>
        <v>GT 94,523.88 / 118,641.47 / 99,094.13 / 97,997.96 / 108,647.03</v>
      </c>
    </row>
    <row r="25" customFormat="false" ht="15" hidden="false" customHeight="false" outlineLevel="0" collapsed="false">
      <c r="A25" s="9" t="n">
        <v>4</v>
      </c>
      <c r="B25" s="18" t="s">
        <v>283</v>
      </c>
      <c r="C25" s="18" t="s">
        <v>284</v>
      </c>
      <c r="D25" s="18" t="s">
        <v>285</v>
      </c>
      <c r="E25" s="18" t="s">
        <v>286</v>
      </c>
      <c r="F25" s="23" t="str">
        <f aca="false">"max |gap| "&amp;TEXT(MAX(ABS(MIN(B1_Product_Wise!P87:T93)),MAX(B1_Product_Wise!P87:T93)),"#,##0.00;-#,##0.00;0.00")</f>
        <v>max |gap| 0.02</v>
      </c>
    </row>
    <row r="26" customFormat="false" ht="15" hidden="false" customHeight="false" outlineLevel="0" collapsed="false">
      <c r="A26" s="9" t="n">
        <v>5</v>
      </c>
      <c r="B26" s="18" t="s">
        <v>283</v>
      </c>
      <c r="C26" s="18" t="s">
        <v>287</v>
      </c>
      <c r="D26" s="18" t="s">
        <v>288</v>
      </c>
      <c r="E26" s="18" t="s">
        <v>289</v>
      </c>
      <c r="F26" s="23" t="str">
        <f aca="false">TEXT(B1_Product_Wise!P94,"#,##0.00;-#,##0.00;0.00")&amp;" / "&amp;TEXT(B1_Product_Wise!Q94,"#,##0.00;-#,##0.00;0.00")&amp;" / "&amp;TEXT(B1_Product_Wise!R94,"#,##0.00;-#,##0.00;0.00")&amp;" / "&amp;TEXT(B1_Product_Wise!S94,"#,##0.00;-#,##0.00;0.00")&amp;" / "&amp;TEXT(B1_Product_Wise!T94,"#,##0.00;-#,##0.00;0.00")</f>
        <v>-0.01 / -0.01 / 0.00 / 0.01 / 0.00</v>
      </c>
    </row>
    <row r="27" customFormat="false" ht="15" hidden="false" customHeight="false" outlineLevel="0" collapsed="false">
      <c r="A27" s="9" t="n">
        <v>6</v>
      </c>
      <c r="B27" s="18" t="s">
        <v>290</v>
      </c>
      <c r="C27" s="18" t="s">
        <v>291</v>
      </c>
      <c r="D27" s="18" t="s">
        <v>251</v>
      </c>
      <c r="E27" s="18" t="s">
        <v>289</v>
      </c>
      <c r="F27" s="23" t="str">
        <f aca="false">TEXT(B1_Product_Wise!F98,"#,##0.00;-#,##0.00;0.00")&amp;" / "&amp;TEXT(B1_Product_Wise!H98,"#,##0.00;-#,##0.00;0.00")&amp;" / "&amp;TEXT(B1_Product_Wise!J98,"#,##0.00;-#,##0.00;0.00")&amp;" / "&amp;TEXT(B1_Product_Wise!L98,"#,##0.00;-#,##0.00;0.00")&amp;" / "&amp;TEXT(B1_Product_Wise!N98,"#,##0.00;-#,##0.00;0.00")</f>
        <v>86,157.00 / 86,390.40 / 88,915.51 / 87,548.14 / 88,864.04</v>
      </c>
    </row>
    <row r="28" customFormat="false" ht="15" hidden="false" customHeight="false" outlineLevel="0" collapsed="false">
      <c r="A28" s="9" t="n">
        <v>7</v>
      </c>
      <c r="B28" s="18" t="s">
        <v>290</v>
      </c>
      <c r="C28" s="18" t="s">
        <v>292</v>
      </c>
      <c r="D28" s="18" t="s">
        <v>293</v>
      </c>
      <c r="E28" s="18" t="s">
        <v>289</v>
      </c>
      <c r="F28" s="23" t="str">
        <f aca="false">TEXT(B1_Product_Wise!F99,"#,##0.00;-#,##0.00;0.00")&amp;" / "&amp;TEXT(B1_Product_Wise!H99,"#,##0.00;-#,##0.00;0.00")&amp;" / "&amp;TEXT(B1_Product_Wise!J99,"#,##0.00;-#,##0.00;0.00")&amp;" / "&amp;TEXT(B1_Product_Wise!L99,"#,##0.00;-#,##0.00;0.00")&amp;" / "&amp;TEXT(B1_Product_Wise!N99,"#,##0.00;-#,##0.00;0.00")</f>
        <v>8,366.89 / 32,251.08 / 10,178.62 / 10,449.81 / 19,782.99</v>
      </c>
    </row>
    <row r="29" customFormat="false" ht="23.85" hidden="false" customHeight="false" outlineLevel="0" collapsed="false">
      <c r="A29" s="9" t="n">
        <v>8</v>
      </c>
      <c r="B29" s="18" t="s">
        <v>290</v>
      </c>
      <c r="C29" s="18" t="s">
        <v>294</v>
      </c>
      <c r="D29" s="18" t="s">
        <v>249</v>
      </c>
      <c r="E29" s="18" t="s">
        <v>295</v>
      </c>
      <c r="F29" s="23" t="str">
        <f aca="false">"29-Aug: "&amp;TEXT(B1_Product_Wise!N77,"#,##0.00;-#,##0.00;0.00")&amp;" / "&amp;TEXT(B1_Product_Wise!N78,"#,##0.00;-#,##0.00;0.00")&amp;" / "&amp;TEXT(B1_Product_Wise!N79,"#,##0.00;-#,##0.00;0.00")&amp;" / "&amp;TEXT(B1_Product_Wise!N80,"#,##0.00;-#,##0.00;0.00")&amp;" / "&amp;TEXT(B1_Product_Wise!N81,"#,##0.00;-#,##0.00;0.00")&amp;" / "&amp;TEXT(B1_Product_Wise!N82,"#,##0.00;-#,##0.00;0.00")&amp;" / "&amp;TEXT(B1_Product_Wise!N83,"#,##0.00;-#,##0.00;0.00")&amp;" (Agri / BBG / HL / LAP / TW / OTHERS / RVF)"</f>
        <v>29-Aug: 1,714.94 / 3,260.94 / 9,077.31 / 13,978.71 / 387.08 / 76,841.23 / 3,386.82 (Agri / BBG / HL / LAP / TW / OTHERS / RVF)</v>
      </c>
    </row>
    <row r="30" customFormat="false" ht="15" hidden="false" customHeight="false" outlineLevel="0" collapsed="false">
      <c r="A30" s="9" t="n">
        <v>9</v>
      </c>
      <c r="B30" s="18" t="s">
        <v>290</v>
      </c>
      <c r="C30" s="18" t="s">
        <v>296</v>
      </c>
      <c r="D30" s="18" t="s">
        <v>297</v>
      </c>
      <c r="E30" s="18" t="s">
        <v>295</v>
      </c>
      <c r="F30" s="23" t="str">
        <f aca="false">"29-Aug: "&amp;TEXT(B1_Product_Wise!M77,"#,##0")&amp;" / "&amp;TEXT(B1_Product_Wise!M78,"#,##0")&amp;" / "&amp;TEXT(B1_Product_Wise!M79,"#,##0")&amp;" / "&amp;TEXT(B1_Product_Wise!M80,"#,##0")&amp;" / "&amp;TEXT(B1_Product_Wise!M81,"#,##0")&amp;" / "&amp;TEXT(B1_Product_Wise!M82,"#,##0")&amp;" / "&amp;TEXT(B1_Product_Wise!M83,"#,##0")</f>
        <v>29-Aug: 34,622 / 2,027 / 36,632 / 18,719 / 73,557 / 4,151,721 / 109,316</v>
      </c>
    </row>
    <row r="31" customFormat="false" ht="15" hidden="false" customHeight="false" outlineLevel="0" collapsed="false">
      <c r="A31" s="9" t="n">
        <v>10</v>
      </c>
      <c r="B31" s="18" t="s">
        <v>298</v>
      </c>
      <c r="C31" s="18" t="s">
        <v>299</v>
      </c>
      <c r="D31" s="18" t="s">
        <v>300</v>
      </c>
      <c r="E31" s="18" t="s">
        <v>301</v>
      </c>
      <c r="F31" s="23" t="str">
        <f aca="false">TEXT(B1_Product_Wise!Q77,"+0.0%;-0.0%;0.0%")&amp;" / "&amp;TEXT(B1_Product_Wise!Q78,"+0.0%;-0.0%;0.0%")&amp;" / "&amp;TEXT(B1_Product_Wise!Q79,"+0.0%;-0.0%;0.0%")&amp;" / "&amp;TEXT(B1_Product_Wise!Q80,"+0.0%;-0.0%;0.0%")&amp;" / "&amp;TEXT(B1_Product_Wise!Q81,"+0.0%;-0.0%;0.0%")&amp;" / "&amp;TEXT(B1_Product_Wise!Q82,"+0.0%;-0.0%;0.0%")&amp;" / "&amp;TEXT(B1_Product_Wise!Q83,"+0.0%;-0.0%;0.0%")&amp;"; GT "&amp;TEXT(B1_Product_Wise!N94/B1_Product_Wise!H94-1,"+0.0%;-0.0%;0.0%")&amp;"; GT* "&amp;TEXT(B1_Product_Wise!Q98,"+0.0%;-0.0%;0.0%")</f>
        <v>+0.4% / +5.1% / +1.3% / +1.8% / -0.0% / -12.0% / -0.6%; GT -8.4%; GT* +2.9%</v>
      </c>
    </row>
    <row r="32" customFormat="false" ht="15" hidden="false" customHeight="false" outlineLevel="0" collapsed="false">
      <c r="A32" s="9" t="n">
        <v>11</v>
      </c>
      <c r="B32" s="18" t="s">
        <v>298</v>
      </c>
      <c r="C32" s="18" t="s">
        <v>302</v>
      </c>
      <c r="D32" s="18" t="s">
        <v>303</v>
      </c>
      <c r="E32" s="18" t="s">
        <v>304</v>
      </c>
      <c r="F32" s="23" t="str">
        <f aca="false">TEXT(B1_Product_Wise!R77,"+0.0%;-0.0%;0.0%")&amp;" / "&amp;TEXT(B1_Product_Wise!R78,"+0.0%;-0.0%;0.0%")&amp;" / "&amp;TEXT(B1_Product_Wise!R79,"+0.0%;-0.0%;0.0%")&amp;" / "&amp;TEXT(B1_Product_Wise!R80,"+0.0%;-0.0%;0.0%")&amp;" / "&amp;TEXT(B1_Product_Wise!R81,"+0.0%;-0.0%;0.0%")&amp;" / "&amp;TEXT(B1_Product_Wise!R82,"+0.0%;-0.0%;0.0%")&amp;" / "&amp;TEXT(B1_Product_Wise!R83,"+0.0%;-0.0%;0.0%")&amp;"; GT* "&amp;TEXT(B1_Product_Wise!R98,"+0.0%;-0.0%;0.0%")</f>
        <v>+0.3% / +9.0% / +1.5% / +2.8% / -0.5% / +21.0% / +0.1%; GT* +3.1%</v>
      </c>
    </row>
    <row r="33" customFormat="false" ht="15" hidden="false" customHeight="false" outlineLevel="0" collapsed="false">
      <c r="A33" s="9" t="n">
        <v>12</v>
      </c>
      <c r="B33" s="18" t="s">
        <v>298</v>
      </c>
      <c r="C33" s="18" t="s">
        <v>305</v>
      </c>
      <c r="D33" s="18" t="s">
        <v>306</v>
      </c>
      <c r="E33" s="18" t="s">
        <v>307</v>
      </c>
      <c r="F33" s="23" t="str">
        <f aca="false">"LAP New Book "&amp;TEXT(B1_Product_Wise!Q25,"+0.0%;-0.0%;0.0%")&amp;"; Gift City "&amp;TEXT(B1_Product_Wise!Q54,"+0.0%;-0.0%;0.0%")&amp;"; Bills "&amp;TEXT(B1_Product_Wise!Q44,"+0.0%;-0.0%;0.0%")&amp;"; Overdraft "&amp;TEXT(B1_Product_Wise!Q63,"+0.0%;-0.0%;0.0%")</f>
        <v>LAP New Book +3.1%; Gift City +100.0%; Bills +7.6%; Overdraft +0.8%</v>
      </c>
    </row>
    <row r="34" customFormat="false" ht="15" hidden="false" customHeight="false" outlineLevel="0" collapsed="false">
      <c r="A34" s="9" t="n">
        <v>13</v>
      </c>
      <c r="B34" s="18" t="s">
        <v>298</v>
      </c>
      <c r="C34" s="18" t="s">
        <v>308</v>
      </c>
      <c r="D34" s="18" t="s">
        <v>309</v>
      </c>
      <c r="E34" s="18" t="s">
        <v>310</v>
      </c>
      <c r="F34" s="23" t="str">
        <f aca="false">"Gift City "&amp;TEXT(B1_Product_Wise!P54,"#,##0.00;-#,##0.00;0.00")&amp;"; Term Loan "&amp;TEXT(B1_Product_Wise!P69,"#,##0.00;-#,##0.00;0.00")&amp;"; WCL "&amp;TEXT(B1_Product_Wise!P72,"#,##0.00;-#,##0.00;0.00")&amp;"; GT* "&amp;TEXT(B1_Product_Wise!P98,"#,##0.00;-#,##0.00;0.00")</f>
        <v>Gift City 9,891.05; Term Loan 927.01; WCL 433.83; GT* 2,473.64</v>
      </c>
    </row>
    <row r="35" customFormat="false" ht="15" hidden="false" customHeight="false" outlineLevel="0" collapsed="false">
      <c r="A35" s="9" t="n">
        <v>14</v>
      </c>
      <c r="B35" s="18" t="s">
        <v>298</v>
      </c>
      <c r="C35" s="18" t="s">
        <v>311</v>
      </c>
      <c r="D35" s="18" t="s">
        <v>312</v>
      </c>
      <c r="E35" s="18" t="s">
        <v>313</v>
      </c>
      <c r="F35" s="23" t="str">
        <f aca="false">TEXT(B1_Product_Wise!Q100,"+0.0%;-0.0%;0.0%")&amp;" / "&amp;TEXT(B1_Product_Wise!R100,"+0.0%;-0.0%;0.0%")</f>
        <v>+3.1% / +3.4%</v>
      </c>
    </row>
    <row r="36" customFormat="false" ht="15" hidden="false" customHeight="false" outlineLevel="0" collapsed="false">
      <c r="A36" s="9" t="n">
        <v>15</v>
      </c>
      <c r="B36" s="18" t="s">
        <v>298</v>
      </c>
      <c r="C36" s="18" t="s">
        <v>314</v>
      </c>
      <c r="D36" s="18" t="s">
        <v>315</v>
      </c>
      <c r="E36" s="18" t="s">
        <v>307</v>
      </c>
      <c r="F36" s="23" t="str">
        <f aca="false">TEXT(COUNTIF(B1_Product_Wise!P7:P73,"&gt;0"),"#,##0")&amp;" up / "&amp;TEXT(COUNTIF(B1_Product_Wise!P7:P73,"&lt;0"),"#,##0")&amp;" down"</f>
        <v>26 up / 29 down</v>
      </c>
    </row>
    <row r="37" customFormat="false" ht="15" hidden="false" customHeight="false" outlineLevel="0" collapsed="false">
      <c r="A37" s="9" t="n">
        <v>16</v>
      </c>
      <c r="B37" s="18" t="s">
        <v>298</v>
      </c>
      <c r="C37" s="18" t="s">
        <v>316</v>
      </c>
      <c r="D37" s="18" t="s">
        <v>317</v>
      </c>
      <c r="E37" s="18" t="s">
        <v>310</v>
      </c>
      <c r="F37" s="23" t="str">
        <f aca="false">"Ganaseva "&amp;TEXT(B1_Product_Wise!V53,"#,##0")&amp;"; GoldLoans "&amp;TEXT(B1_Product_Wise!V56,"#,##0")&amp;"; Two Wheeler "&amp;TEXT(B1_Product_Wise!V39,"#,##0")</f>
        <v>Ganaseva 13,905; GoldLoans -4,113; Two Wheeler 1,135</v>
      </c>
    </row>
    <row r="38" customFormat="false" ht="15" hidden="false" customHeight="false" outlineLevel="0" collapsed="false">
      <c r="A38" s="9" t="n">
        <v>17</v>
      </c>
      <c r="B38" s="18" t="s">
        <v>318</v>
      </c>
      <c r="C38" s="18" t="s">
        <v>319</v>
      </c>
      <c r="D38" s="18" t="s">
        <v>320</v>
      </c>
      <c r="E38" s="18" t="s">
        <v>321</v>
      </c>
      <c r="F38" s="23" t="str">
        <f aca="false">"GT* "&amp;TEXT(B1_Product_Wise!T98,"+0.0%;-0.0%;0.0%")&amp;"; WCL "&amp;TEXT(B1_Product_Wise!T72,"+0.0%;-0.0%;0.0%")&amp;"; Cash Credit "&amp;TEXT(B1_Product_Wise!T48,"+0.0%;-0.0%;0.0%")&amp;"; Term Loan "&amp;TEXT(B1_Product_Wise!T69,"+0.0%;-0.0%;0.0%")</f>
        <v>GT* +2.9%; WCL +11.2%; Cash Credit -0.1%; Term Loan +0.9%</v>
      </c>
    </row>
    <row r="39" customFormat="false" ht="15" hidden="false" customHeight="false" outlineLevel="0" collapsed="false">
      <c r="A39" s="9" t="n">
        <v>18</v>
      </c>
      <c r="B39" s="18" t="s">
        <v>318</v>
      </c>
      <c r="C39" s="18" t="s">
        <v>322</v>
      </c>
      <c r="D39" s="18" t="s">
        <v>323</v>
      </c>
      <c r="E39" s="18" t="s">
        <v>321</v>
      </c>
      <c r="F39" s="23" t="str">
        <f aca="false">"GT* "&amp;TEXT(B1_Product_Wise!S98,"+0.0%;-0.0%;0.0%")&amp;"; LAP New "&amp;TEXT(B1_Product_Wise!S25,"+0.0%;-0.0%;0.0%")&amp;"; Gift City "&amp;TEXT(B1_Product_Wise!S54,"+0.0%;-0.0%;0.0%")</f>
        <v>GT* +1.5%; LAP New +0.5%; Gift City +89.3%</v>
      </c>
    </row>
    <row r="40" customFormat="false" ht="15" hidden="false" customHeight="false" outlineLevel="0" collapsed="false">
      <c r="A40" s="9" t="n">
        <v>19</v>
      </c>
      <c r="B40" s="18" t="s">
        <v>324</v>
      </c>
      <c r="C40" s="18" t="s">
        <v>325</v>
      </c>
      <c r="D40" s="18" t="s">
        <v>326</v>
      </c>
      <c r="E40" s="18" t="s">
        <v>307</v>
      </c>
      <c r="F40" s="23" t="str">
        <f aca="false">"Term Loan "&amp;TEXT(B1_Product_Wise!O69,"#,##0.00")&amp;"; LAP New "&amp;TEXT(B1_Product_Wise!O25,"#,##0.00")&amp;"; Ganaseva "&amp;TEXT(B1_Product_Wise!O53,"#,##0.00")&amp;"; Gift City "&amp;TEXT(B1_Product_Wise!O54,"#,##0.00")&amp;" ₹ lakh"</f>
        <v>Term Loan 541.09; LAP New 178.61; Ganaseva 0.21; Gift City 3,110.51 ₹ lakh</v>
      </c>
    </row>
    <row r="41" customFormat="false" ht="15" hidden="false" customHeight="false" outlineLevel="0" collapsed="false">
      <c r="A41" s="9" t="n">
        <v>20</v>
      </c>
      <c r="B41" s="18" t="s">
        <v>324</v>
      </c>
      <c r="C41" s="18" t="s">
        <v>327</v>
      </c>
      <c r="D41" s="18" t="s">
        <v>328</v>
      </c>
      <c r="E41" s="18" t="s">
        <v>295</v>
      </c>
      <c r="F41" s="23" t="str">
        <f aca="false">TEXT(B1_Product_Wise!N77*100/B1_Product_Wise!M77,"#,##0.00")&amp;" / "&amp;TEXT(B1_Product_Wise!N78*100/B1_Product_Wise!M78,"#,##0.00")&amp;" / "&amp;TEXT(B1_Product_Wise!N79*100/B1_Product_Wise!M79,"#,##0.00")&amp;" / "&amp;TEXT(B1_Product_Wise!N80*100/B1_Product_Wise!M80,"#,##0.00")&amp;" / "&amp;TEXT(B1_Product_Wise!N81*100/B1_Product_Wise!M81,"#,##0.00")&amp;" / "&amp;TEXT(B1_Product_Wise!N82*100/B1_Product_Wise!M82,"#,##0.00")&amp;" / "&amp;TEXT(B1_Product_Wise!N83*100/B1_Product_Wise!M83,"#,##0.00")</f>
        <v>4.95 / 160.88 / 24.78 / 74.68 / 0.53 / 1.85 / 3.10</v>
      </c>
    </row>
    <row r="42" customFormat="false" ht="15" hidden="false" customHeight="false" outlineLevel="0" collapsed="false">
      <c r="A42" s="9" t="n">
        <v>21</v>
      </c>
      <c r="B42" s="18" t="s">
        <v>329</v>
      </c>
      <c r="C42" s="18" t="s">
        <v>330</v>
      </c>
      <c r="D42" s="18" t="s">
        <v>331</v>
      </c>
      <c r="E42" s="18" t="s">
        <v>295</v>
      </c>
      <c r="F42" s="23" t="str">
        <f aca="false">TEXT(B1_Product_Wise!U77,"0.0%")&amp;" / "&amp;TEXT(B1_Product_Wise!U78,"0.0%")&amp;" / "&amp;TEXT(B1_Product_Wise!U79,"0.0%")&amp;" / "&amp;TEXT(B1_Product_Wise!U80,"0.0%")&amp;" / "&amp;TEXT(B1_Product_Wise!U81,"0.0%")&amp;" / "&amp;TEXT(B1_Product_Wise!U82,"0.0%")&amp;" / "&amp;TEXT(B1_Product_Wise!U83,"0.0%")</f>
        <v>1.6% / 3.0% / 8.4% / 12.9% / 0.4% / 70.7% / 3.1%</v>
      </c>
    </row>
    <row r="43" customFormat="false" ht="15" hidden="false" customHeight="false" outlineLevel="0" collapsed="false">
      <c r="A43" s="9" t="n">
        <v>22</v>
      </c>
      <c r="B43" s="18" t="s">
        <v>329</v>
      </c>
      <c r="C43" s="18" t="s">
        <v>332</v>
      </c>
      <c r="D43" s="18" t="s">
        <v>333</v>
      </c>
      <c r="E43" s="18" t="s">
        <v>307</v>
      </c>
      <c r="F43" s="23" t="str">
        <f aca="false">"Gift City "&amp;TEXT(B1_Product_Wise!U54,"0.0%")&amp;"; WCL "&amp;TEXT(B1_Product_Wise!U72,"0.0%")&amp;"; Term Loan "&amp;TEXT(B1_Product_Wise!U69,"0.0%")&amp;"; LAP New "&amp;TEXT(B1_Product_Wise!U25,"0.0%")&amp;"; Ganaseva "&amp;TEXT(B1_Product_Wise!U53,"0.0%")</f>
        <v>Gift City 18.2%; WCL 13.6%; Term Loan 13.6%; LAP New 8.5%; Ganaseva 7.9%</v>
      </c>
    </row>
    <row r="44" customFormat="false" ht="15" hidden="false" customHeight="false" outlineLevel="0" collapsed="false">
      <c r="A44" s="9" t="n">
        <v>23</v>
      </c>
      <c r="B44" s="18" t="s">
        <v>329</v>
      </c>
      <c r="C44" s="18" t="s">
        <v>334</v>
      </c>
      <c r="D44" s="18" t="s">
        <v>335</v>
      </c>
      <c r="E44" s="18" t="s">
        <v>307</v>
      </c>
      <c r="F44" s="23" t="str">
        <f aca="false">"Ganaseva "&amp;TEXT(B1_Product_Wise!M53/B1_Product_Wise!M94,"0.0%")&amp;"; GoldLoans "&amp;TEXT(B1_Product_Wise!M56/B1_Product_Wise!M94,"0.0%")</f>
        <v>Ganaseva 90.5%; GoldLoans 2.6%</v>
      </c>
    </row>
    <row r="45" customFormat="false" ht="15" hidden="false" customHeight="false" outlineLevel="0" collapsed="false">
      <c r="A45" s="9" t="n">
        <v>24</v>
      </c>
      <c r="B45" s="18" t="s">
        <v>329</v>
      </c>
      <c r="C45" s="18" t="s">
        <v>336</v>
      </c>
      <c r="D45" s="18" t="s">
        <v>337</v>
      </c>
      <c r="E45" s="18" t="s">
        <v>338</v>
      </c>
      <c r="F45" s="23" t="str">
        <f aca="false">TEXT(SUMIFS(B1_Product_Wise!N7:N73,B1_Product_Wise!B7:B73,"LAP",B1_Product_Wise!D7:D73,"New Book*")/B1_Product_Wise!N80,"0.0%")&amp;" of LAP is New Book"</f>
        <v>91.0% of LAP is New Book</v>
      </c>
    </row>
    <row r="46" customFormat="false" ht="15" hidden="false" customHeight="false" outlineLevel="0" collapsed="false">
      <c r="A46" s="9" t="n">
        <v>25</v>
      </c>
      <c r="B46" s="18" t="s">
        <v>329</v>
      </c>
      <c r="C46" s="18" t="s">
        <v>339</v>
      </c>
      <c r="D46" s="18" t="s">
        <v>340</v>
      </c>
      <c r="E46" s="18" t="s">
        <v>341</v>
      </c>
      <c r="F46" s="23" t="str">
        <f aca="false">TEXT(SUMIFS(B1_Product_Wise!N7:N73,B1_Product_Wise!D7:D73,"* / 365")/B1_Product_Wise!N98,"0.0%")</f>
        <v>1.5%</v>
      </c>
    </row>
    <row r="47" customFormat="false" ht="15" hidden="false" customHeight="false" outlineLevel="0" collapsed="false">
      <c r="A47" s="9" t="n">
        <v>26</v>
      </c>
      <c r="B47" s="18" t="s">
        <v>342</v>
      </c>
      <c r="C47" s="18" t="s">
        <v>343</v>
      </c>
      <c r="D47" s="18" t="s">
        <v>344</v>
      </c>
      <c r="E47" s="18" t="s">
        <v>307</v>
      </c>
      <c r="F47" s="23" t="str">
        <f aca="false">TEXT(SUMPRODUCT(LARGE(B1_Product_Wise!N7:N73,{1,2,3,4,5}))/B1_Product_Wise!N94,"0.0%")</f>
        <v>61.8%</v>
      </c>
    </row>
    <row r="48" customFormat="false" ht="15" hidden="false" customHeight="false" outlineLevel="0" collapsed="false">
      <c r="A48" s="9" t="n">
        <v>27</v>
      </c>
      <c r="B48" s="18" t="s">
        <v>342</v>
      </c>
      <c r="C48" s="18" t="s">
        <v>345</v>
      </c>
      <c r="D48" s="18" t="s">
        <v>346</v>
      </c>
      <c r="E48" s="18" t="s">
        <v>307</v>
      </c>
      <c r="F48" s="23" t="str">
        <f aca="false">TEXT(SUMPRODUCT((B1_Product_Wise!N7:N73/B1_Product_Wise!N94)^2)*10000,"#,##0")</f>
        <v>920</v>
      </c>
    </row>
    <row r="49" customFormat="false" ht="23.85" hidden="false" customHeight="false" outlineLevel="0" collapsed="false">
      <c r="A49" s="9" t="n">
        <v>28</v>
      </c>
      <c r="B49" s="18" t="s">
        <v>347</v>
      </c>
      <c r="C49" s="18" t="s">
        <v>348</v>
      </c>
      <c r="D49" s="18" t="s">
        <v>349</v>
      </c>
      <c r="E49" s="18" t="s">
        <v>350</v>
      </c>
      <c r="F49" s="23" t="str">
        <f aca="false">TEXT((B1_Product_Wise!N54-B1_Product_Wise!L54)/(B1_Product_Wise!N94-B1_Product_Wise!L94),"0.0%")</f>
        <v>87.6%</v>
      </c>
    </row>
    <row r="50" customFormat="false" ht="23.85" hidden="false" customHeight="false" outlineLevel="0" collapsed="false">
      <c r="A50" s="9" t="n">
        <v>29</v>
      </c>
      <c r="B50" s="18" t="s">
        <v>347</v>
      </c>
      <c r="C50" s="18" t="s">
        <v>351</v>
      </c>
      <c r="D50" s="18" t="s">
        <v>352</v>
      </c>
      <c r="E50" s="18" t="s">
        <v>350</v>
      </c>
      <c r="F50" s="23" t="str">
        <f aca="false">TEXT((B1_Product_Wise!H50+B1_Product_Wise!H41)/B1_Product_Wise!H94,"0.0%")</f>
        <v>18.8%</v>
      </c>
    </row>
    <row r="51" customFormat="false" ht="15" hidden="false" customHeight="false" outlineLevel="0" collapsed="false">
      <c r="A51" s="9" t="n">
        <v>30</v>
      </c>
      <c r="B51" s="18" t="s">
        <v>353</v>
      </c>
      <c r="C51" s="18" t="s">
        <v>354</v>
      </c>
      <c r="D51" s="18" t="s">
        <v>355</v>
      </c>
      <c r="E51" s="18" t="s">
        <v>307</v>
      </c>
      <c r="F51" s="23" t="str">
        <f aca="false">TEXT(COUNTIF(B1_Product_Wise!W7:W73,"Partial-period row"),"#,##0")&amp;" rows (Credit Card, Null, HL Co-Lending)"</f>
        <v>3 rows (Credit Card, Null, HL Co-Lending)</v>
      </c>
    </row>
    <row r="52" customFormat="false" ht="15" hidden="false" customHeight="false" outlineLevel="0" collapsed="false">
      <c r="A52" s="9" t="n">
        <v>31</v>
      </c>
      <c r="B52" s="18" t="s">
        <v>353</v>
      </c>
      <c r="C52" s="18" t="s">
        <v>356</v>
      </c>
      <c r="D52" s="18" t="s">
        <v>357</v>
      </c>
      <c r="E52" s="18" t="s">
        <v>307</v>
      </c>
      <c r="F52" s="23" t="str">
        <f aca="false">TEXT(COUNTIF(B1_Product_Wise!W7:W73,"MoM move &gt; ±10%"),"#,##0")&amp;" rows"</f>
        <v>5 rows</v>
      </c>
    </row>
    <row r="53" customFormat="false" ht="15" hidden="false" customHeight="false" outlineLevel="0" collapsed="false">
      <c r="A53" s="9" t="n">
        <v>32</v>
      </c>
      <c r="B53" s="18" t="s">
        <v>353</v>
      </c>
      <c r="C53" s="18" t="s">
        <v>358</v>
      </c>
      <c r="D53" s="18" t="s">
        <v>359</v>
      </c>
      <c r="E53" s="18" t="s">
        <v>360</v>
      </c>
      <c r="F53" s="23" t="str">
        <f aca="false">TEXT(B1_Product_Wise!G50,"#,##0")&amp;" accounts for "&amp;TEXT(B1_Product_Wise!H50,"#,##0.00;-#,##0.00;0.00")&amp;" ₹ Cr — implausible vs 4.3M cards; artefact"</f>
        <v>612 accounts for 21,373.54 ₹ Cr — implausible vs 4.3M cards; artefact</v>
      </c>
    </row>
    <row r="54" customFormat="false" ht="15" hidden="false" customHeight="false" outlineLevel="0" collapsed="false">
      <c r="A54" s="9" t="n">
        <v>33</v>
      </c>
      <c r="B54" s="18" t="s">
        <v>353</v>
      </c>
      <c r="C54" s="18" t="s">
        <v>361</v>
      </c>
      <c r="D54" s="18" t="s">
        <v>362</v>
      </c>
      <c r="E54" s="18" t="s">
        <v>289</v>
      </c>
      <c r="F54" s="23" t="str">
        <f aca="false">TEXT(MAX(B1_Product_Wise!F94,B1_Product_Wise!H94,B1_Product_Wise!J94,B1_Product_Wise!L94,B1_Product_Wise!N94)/MIN(B1_Product_Wise!F94,B1_Product_Wise!H94,B1_Product_Wise!J94,B1_Product_Wise!L94,B1_Product_Wise!N94),"0.00""x""")&amp;" vs comparable "&amp;TEXT(MAX(B1_Product_Wise!F98,B1_Product_Wise!H98,B1_Product_Wise!J98,B1_Product_Wise!L98,B1_Product_Wise!N98)/MIN(B1_Product_Wise!F98,B1_Product_Wise!H98,B1_Product_Wise!J98,B1_Product_Wise!L98,B1_Product_Wise!N98),"0.00""x""")</f>
        <v>1.26x vs comparable 1.03x</v>
      </c>
    </row>
    <row r="56" customFormat="false" ht="15" hidden="false" customHeight="false" outlineLevel="0" collapsed="false">
      <c r="A56" s="3" t="s">
        <v>2</v>
      </c>
    </row>
  </sheetData>
  <mergeCells count="12"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2026-10-09T21:17:22Z</dcterms:created>
  <dc:creator>openpyxl</dc:creator>
  <dc:description/>
  <dc:language>en-US</dc:language>
  <cp:lastModifiedBy/>
  <dcterms:modified xsi:type="dcterms:W3CDTF">2026-10-09T21:17:23Z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