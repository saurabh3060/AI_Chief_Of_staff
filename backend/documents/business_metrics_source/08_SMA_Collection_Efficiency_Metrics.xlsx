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1_SMA_Pool" sheetId="2" state="visible" r:id="rId4"/>
    <sheet name="B1_Metrics" sheetId="3" state="visible" r:id="rId5"/>
    <sheet name="B2_Collections_Recovery" sheetId="4" state="visible" r:id="rId6"/>
    <sheet name="B2_Metr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<sst xmlns="http://schemas.openxmlformats.org/spreadsheetml/2006/main" count="767" uniqueCount="527">
  <si>
    <t xml:space="preserve">RBL Bank — MFI SMA and Collection Efficiency (daily bucket resolution report): page-wise metric extraction</t>
  </si>
  <si>
    <t xml:space="preserve">Source: 08_SMA_and_Collection_Efficiency.pdf (1 page, 8 tables; MTD to 26-Aug-2026 with 26-Jul-2026 comparatives) | ₹ Cr, accounts, %</t>
  </si>
  <si>
    <t xml:space="preserve">⚠ DRAFT ONLY — Requires review and approval by a qualified Alvarez and Marsal professional before use.</t>
  </si>
  <si>
    <t xml:space="preserve">Sheet map</t>
  </si>
  <si>
    <t xml:space="preserve">B1_SMA_Pool</t>
  </si>
  <si>
    <t xml:space="preserve">Block 1 — SMA pool performance (bucket resolution MTD vs STLM), same-day resolution trend (8 months), BC-wise resolution vs target</t>
  </si>
  <si>
    <t xml:space="preserve">B1_Metrics</t>
  </si>
  <si>
    <t xml:space="preserve">Notation + metrics for Block 1</t>
  </si>
  <si>
    <t xml:space="preserve">B2_Collections_Recovery</t>
  </si>
  <si>
    <t xml:space="preserve">Block 2 — Bucket-wise collection efficiency, BC and vintage recovery on NPA / written-off pools, SMA forward-flow position (total and BC-wise)</t>
  </si>
  <si>
    <t xml:space="preserve">B2_Metrics</t>
  </si>
  <si>
    <t xml:space="preserve">Notation + metrics for Block 2</t>
  </si>
  <si>
    <t xml:space="preserve">Colour legend</t>
  </si>
  <si>
    <t xml:space="preserve">Blue text</t>
  </si>
  <si>
    <t xml:space="preserve">Hard-coded input transcribed from the PDF</t>
  </si>
  <si>
    <t xml:space="preserve">Blue italic on grey</t>
  </si>
  <si>
    <t xml:space="preserve">Budget / projected value (ᴾ) transcribed from the PDF</t>
  </si>
  <si>
    <t xml:space="preserve">Black text</t>
  </si>
  <si>
    <t xml:space="preserve">Formula on the same sheet</t>
  </si>
  <si>
    <t xml:space="preserve">Green text</t>
  </si>
  <si>
    <t xml:space="preserve">Link to another sheet</t>
  </si>
  <si>
    <t xml:space="preserve">Yellow fill</t>
  </si>
  <si>
    <t xml:space="preserve">Data flag to review</t>
  </si>
  <si>
    <t xml:space="preserve">Key assumptions (confirm with client)</t>
  </si>
  <si>
    <t xml:space="preserve">1</t>
  </si>
  <si>
    <t xml:space="preserve">DPD buckets as printed: '1)0 - dpd', '2)1-30', '3)31-60', '4)61-90', '5)91-180' → Current (0), SMA0 (1–30), SMA1 (31–60), SMA2 (61–90), NPA (91–180). The forward-flow table confirms 1–30 = ₹55.96 Cr, 31–60 = ₹29.07 Cr, 61–90 = ₹24.41 Cr.</t>
  </si>
  <si>
    <t xml:space="preserve">2</t>
  </si>
  <si>
    <t xml:space="preserve">Resolution rate (RR) = Stabilized + Roll backward + Normalized = 1 − Flow Forward. Verified against the trend table and the forward-flow table: SMA0 29.34% + 0.00% + 7.99% = 37.33%; SMA1 6.53% + 1.01% + 1.22% = 8.76%; SMA2 2.92% + 0.34% + 0.52% = 3.78%.</t>
  </si>
  <si>
    <t xml:space="preserve">3</t>
  </si>
  <si>
    <t xml:space="preserve">'Δ' columns in the BC table are printed signed (RR − Target, negative = shortfall) and are recomputed live here; recomputed values match the printed Δ. SMA2 actuals exceed the 3.50% target for NOCPL and PAHAL.</t>
  </si>
  <si>
    <t xml:space="preserve">4</t>
  </si>
  <si>
    <t xml:space="preserve">MTD = month-to-date to 26-Aug-2026; STLM = same-time-last-month (26-Jul-2026). PAHAL 'Total' in the 25-Aug status table is obscured in the source and left blank.</t>
  </si>
  <si>
    <t xml:space="preserve">5</t>
  </si>
  <si>
    <t xml:space="preserve">Collection-efficiency demand for Aug (₹1,400 Cr) is ~2x July (₹697 Cr) at the same day of month — July comparatives likely cover a shorter demand window; compare % not ₹.</t>
  </si>
  <si>
    <t xml:space="preserve">Confidentiality</t>
  </si>
  <si>
    <t xml:space="preserve">Client-confidential RBL Bank data (MFI / micro-banking book).</t>
  </si>
  <si>
    <t xml:space="preserve">Block 1 — SMA pool performance, resolution trend and BC-wise resolution</t>
  </si>
  <si>
    <t xml:space="preserve">Source: SMA and Collection Efficiency.pdf | MTD as on 26-Aug-2026 vs STLM 26-Jul-2026 | ₹ Cr, accounts, %</t>
  </si>
  <si>
    <t xml:space="preserve">A. Bucket resolution — MTD (26-Aug-2026) and STLM (26-Jul-2026); blue = printed</t>
  </si>
  <si>
    <t xml:space="preserve">#</t>
  </si>
  <si>
    <t xml:space="preserve">Starting DPD bucket</t>
  </si>
  <si>
    <t xml:space="preserve">Accounts (MTD)</t>
  </si>
  <si>
    <t xml:space="preserve">Balance ₹ Cr (MTD)</t>
  </si>
  <si>
    <t xml:space="preserve">Stabilized</t>
  </si>
  <si>
    <t xml:space="preserve">Flow forward</t>
  </si>
  <si>
    <t xml:space="preserve">Roll backward</t>
  </si>
  <si>
    <t xml:space="preserve">Normalized</t>
  </si>
  <si>
    <t xml:space="preserve">Σ states</t>
  </si>
  <si>
    <t xml:space="preserve">RR = Stab + RB + Norm (= 1 − FF)</t>
  </si>
  <si>
    <t xml:space="preserve">ATS ₹ lakh</t>
  </si>
  <si>
    <t xml:space="preserve">Accounts (STLM)</t>
  </si>
  <si>
    <t xml:space="preserve">Balance ₹ Cr (STLM)</t>
  </si>
  <si>
    <t xml:space="preserve">RR (STLM)</t>
  </si>
  <si>
    <t xml:space="preserve">RR Δ MoM (pp)</t>
  </si>
  <si>
    <t xml:space="preserve">FF Δ MoM (pp)</t>
  </si>
  <si>
    <t xml:space="preserve">Balance Δ MoM</t>
  </si>
  <si>
    <t xml:space="preserve">Share of pool (MTD)</t>
  </si>
  <si>
    <t xml:space="preserve">Current (0 dpd)</t>
  </si>
  <si>
    <t xml:space="preserve">1–30 dpd (SMA0)</t>
  </si>
  <si>
    <t xml:space="preserve">31–60 dpd (SMA1)</t>
  </si>
  <si>
    <t xml:space="preserve">61–90 dpd (SMA2)</t>
  </si>
  <si>
    <t xml:space="preserve">91–180 dpd (NPA)</t>
  </si>
  <si>
    <t xml:space="preserve">Grand Total</t>
  </si>
  <si>
    <t xml:space="preserve">Σ buckets (computed) / gap vs Grand Total</t>
  </si>
  <si>
    <t xml:space="preserve">Weighted RR from buckets (balance-weighted) vs printed GT RR (pp)</t>
  </si>
  <si>
    <t xml:space="preserve">Overdue pool (SMA0–NPA) ₹ Cr / share of total pool</t>
  </si>
  <si>
    <t xml:space="preserve">SMA pool (1–90 dpd) ₹ Cr / share</t>
  </si>
  <si>
    <t xml:space="preserve">Expected flow-forward amount ₹ Cr (balance × FF%)</t>
  </si>
  <si>
    <t xml:space="preserve">B. Previous months same-day resolution rate (printed, %)</t>
  </si>
  <si>
    <t xml:space="preserve">DPD bucket</t>
  </si>
  <si>
    <t xml:space="preserve">26-Aug-26</t>
  </si>
  <si>
    <t xml:space="preserve">26-Jul-26</t>
  </si>
  <si>
    <t xml:space="preserve">26-Jun-26</t>
  </si>
  <si>
    <t xml:space="preserve">26-May-26</t>
  </si>
  <si>
    <t xml:space="preserve">26-Apr-26</t>
  </si>
  <si>
    <t xml:space="preserve">26-Mar-26</t>
  </si>
  <si>
    <t xml:space="preserve">26-Feb-26</t>
  </si>
  <si>
    <t xml:space="preserve">26-Jan-26</t>
  </si>
  <si>
    <t xml:space="preserve">Δ Aug vs Jul (pp)</t>
  </si>
  <si>
    <t xml:space="preserve">Δ Aug vs Jan (pp)</t>
  </si>
  <si>
    <t xml:space="preserve">8M average</t>
  </si>
  <si>
    <t xml:space="preserve">8M min</t>
  </si>
  <si>
    <t xml:space="preserve">8M max</t>
  </si>
  <si>
    <t xml:space="preserve">Months below Aug (of 7)</t>
  </si>
  <si>
    <t xml:space="preserve">Current</t>
  </si>
  <si>
    <t xml:space="preserve">SMA0</t>
  </si>
  <si>
    <t xml:space="preserve">SMA1</t>
  </si>
  <si>
    <t xml:space="preserve">SMA2</t>
  </si>
  <si>
    <t xml:space="preserve">Check: Aug trend values vs MTD table RR (pp)</t>
  </si>
  <si>
    <t xml:space="preserve">C. BC-wise resolution rate vs target — MTD (26-Aug) and STLM (26-Jul); Δ recomputed as RR − Target</t>
  </si>
  <si>
    <t xml:space="preserve">BC</t>
  </si>
  <si>
    <t xml:space="preserve">Current RR</t>
  </si>
  <si>
    <t xml:space="preserve">Target</t>
  </si>
  <si>
    <t xml:space="preserve">Δ (pp)</t>
  </si>
  <si>
    <t xml:space="preserve">SMA0 RR</t>
  </si>
  <si>
    <t xml:space="preserve">SMA1 RR</t>
  </si>
  <si>
    <t xml:space="preserve">SMA2 RR</t>
  </si>
  <si>
    <t xml:space="preserve">STLM Current RR</t>
  </si>
  <si>
    <t xml:space="preserve">STLM SMA0 RR</t>
  </si>
  <si>
    <t xml:space="preserve">STLM SMA1 RR</t>
  </si>
  <si>
    <t xml:space="preserve">STLM SMA2 RR</t>
  </si>
  <si>
    <t xml:space="preserve">SMA0 Δ MoM (pp)</t>
  </si>
  <si>
    <t xml:space="preserve">SMA1 Δ MoM (pp)</t>
  </si>
  <si>
    <t xml:space="preserve">Targets met (of 4)</t>
  </si>
  <si>
    <t xml:space="preserve">RBLFINSERVE</t>
  </si>
  <si>
    <t xml:space="preserve">NOCPL</t>
  </si>
  <si>
    <t xml:space="preserve">PAHAL</t>
  </si>
  <si>
    <t xml:space="preserve">Data points to flag before metrics (live checks)</t>
  </si>
  <si>
    <t xml:space="preserve">Flag</t>
  </si>
  <si>
    <t xml:space="preserve">Check value (live)</t>
  </si>
  <si>
    <t xml:space="preserve">Unit</t>
  </si>
  <si>
    <t xml:space="preserve">Implication / action</t>
  </si>
  <si>
    <t xml:space="preserve">SMA0 same-day resolution has fallen in each of the six months since its February peak, from 50.6% to 37.3% (Aug); SMA1 from 15.7% to 8.8%. SMA0 change Feb → Aug (pp):</t>
  </si>
  <si>
    <t xml:space="preserve">pp</t>
  </si>
  <si>
    <t xml:space="preserve">Early-bucket cure is deteriorating → more flow into SMA1/SMA2 and NPA; the single most important trend on the page.</t>
  </si>
  <si>
    <t xml:space="preserve">Flow-forward from SMA1 and SMA2 exceeds 91% and 96%: once past 30 dpd almost nothing cures. SMA1 flow-forward:</t>
  </si>
  <si>
    <t xml:space="preserve">%</t>
  </si>
  <si>
    <t xml:space="preserve">Collections capacity should be concentrated in 1–30 dpd.</t>
  </si>
  <si>
    <t xml:space="preserve">No BC meets the SMA0 (50%) or SMA1 (20–25%) target; shortfall for RBLFINSERVE on SMA0:</t>
  </si>
  <si>
    <t xml:space="preserve">Targets are missed by 12–18 pp across all three BCs.</t>
  </si>
  <si>
    <t xml:space="preserve">Overdue pool (SMA0–NPA) is only 2.3% of the book by balance; the SMA pool (1–90) is ₹109 Cr.</t>
  </si>
  <si>
    <t xml:space="preserve">Stock is small; the issue is the deteriorating cure rate, not the stock.</t>
  </si>
  <si>
    <t xml:space="preserve">Bucket states sum to 100% in every row (max deviation, pp):</t>
  </si>
  <si>
    <t xml:space="preserve">Table is internally consistent.</t>
  </si>
  <si>
    <t xml:space="preserve">Trend-table Aug values equal MTD-table RR (Stab + RB + Norm) for all four buckets — max gap (pp):</t>
  </si>
  <si>
    <t xml:space="preserve">Confirms RR definition.</t>
  </si>
  <si>
    <t xml:space="preserve">Notation and exhaustive metrics table for this block: see sheet B1_Metrics</t>
  </si>
  <si>
    <t xml:space="preserve">10-question test set (3 Low / 4 Medium / 3 High) — expected answers are live formulas</t>
  </si>
  <si>
    <t xml:space="preserve">Level</t>
  </si>
  <si>
    <t xml:space="preserve">Question</t>
  </si>
  <si>
    <t xml:space="preserve">Calculation</t>
  </si>
  <si>
    <t xml:space="preserve">Expected answer (live)</t>
  </si>
  <si>
    <t xml:space="preserve">So what</t>
  </si>
  <si>
    <t xml:space="preserve">Low</t>
  </si>
  <si>
    <t xml:space="preserve">What is the balance in the 1–30 dpd (SMA0) pool at Aug month-start?</t>
  </si>
  <si>
    <t xml:space="preserve">Lookup</t>
  </si>
  <si>
    <t xml:space="preserve">₹ Cr</t>
  </si>
  <si>
    <t xml:space="preserve">What is the SMA0 same-day resolution rate on 26-Aug?</t>
  </si>
  <si>
    <t xml:space="preserve">What is PAHAL's Current-bucket resolution rate (MTD)?</t>
  </si>
  <si>
    <t xml:space="preserve">Medium</t>
  </si>
  <si>
    <t xml:space="preserve">How much has SMA0 resolution fallen since Jan-26 (pp)?</t>
  </si>
  <si>
    <t xml:space="preserve">Aug − Jan</t>
  </si>
  <si>
    <t xml:space="preserve">What is the balance-weighted RR across the overdue buckets (SMA0–NPA)?</t>
  </si>
  <si>
    <t xml:space="preserve">Σ bal × RR ÷ Σ bal</t>
  </si>
  <si>
    <t xml:space="preserve">What is the expected flow-forward amount from the SMA pool this month?</t>
  </si>
  <si>
    <t xml:space="preserve">Σ balance × FF%</t>
  </si>
  <si>
    <t xml:space="preserve">Which BC has the best SMA0 resolution MTD, and by how much vs the worst (pp)?</t>
  </si>
  <si>
    <t xml:space="preserve">MAX − MIN</t>
  </si>
  <si>
    <t xml:space="preserve">High</t>
  </si>
  <si>
    <t xml:space="preserve">Decompose the MoM fall in SMA0 RR: how much from Stabilized vs Normalized (pp)?</t>
  </si>
  <si>
    <t xml:space="preserve">ΔStab, ΔNorm</t>
  </si>
  <si>
    <t xml:space="preserve">Stabilisation (−3.2 pp) is the driver; normalisation barely moved (+0.3 pp).</t>
  </si>
  <si>
    <t xml:space="preserve">If SMA0 RR had held at the Jan-26 level, how much less balance would have flowed forward (₹ Cr)?</t>
  </si>
  <si>
    <t xml:space="preserve">SMA0 bal × (RR_Jan − RR_Aug)</t>
  </si>
  <si>
    <t xml:space="preserve">Roughly ₹4 Cr a month of extra forward flow from cure deterioration alone.</t>
  </si>
  <si>
    <t xml:space="preserve">Is the Grand Total RR consistent with the balance-weighted bucket RRs?</t>
  </si>
  <si>
    <t xml:space="preserve">Printed − weighted (pp)</t>
  </si>
  <si>
    <t xml:space="preserve">Zero → totals are balance-weighted.</t>
  </si>
  <si>
    <t xml:space="preserve">What this page cannot support (feeds the data request)</t>
  </si>
  <si>
    <t xml:space="preserve">Not derivable: account-level ageing within buckets, cure vs write-off split beyond 180 dpd, geography / branch, loan-cycle or vintage of SMA accounts, collection staff productivity, and the reason for the BC target levels.</t>
  </si>
  <si>
    <t xml:space="preserve">SMA pool performance: notation and metrics</t>
  </si>
  <si>
    <t xml:space="preserve">Format: Notation → Exhaustive metrics table | Example column = live Excel formula on the block sheet (green = cross-sheet)</t>
  </si>
  <si>
    <t xml:space="preserve">Notation</t>
  </si>
  <si>
    <t xml:space="preserve">Symbol</t>
  </si>
  <si>
    <t xml:space="preserve">Meaning</t>
  </si>
  <si>
    <t xml:space="preserve">B(k)</t>
  </si>
  <si>
    <t xml:space="preserve">Opening (prior month-end) balance ₹ Cr of DPD bucket k; N(k) accounts</t>
  </si>
  <si>
    <t xml:space="preserve">k</t>
  </si>
  <si>
    <t xml:space="preserve">Current (0 dpd), SMA0 (1–30), SMA1 (31–60), SMA2 (61–90), NPA (91–180); GT = Grand Total</t>
  </si>
  <si>
    <t xml:space="preserve">Stab / FF / RB / Norm</t>
  </si>
  <si>
    <t xml:space="preserve">Share of bucket that stabilised, flowed forward, rolled backward, normalised (MTD, %)</t>
  </si>
  <si>
    <t xml:space="preserve">RR(k)</t>
  </si>
  <si>
    <t xml:space="preserve">Resolution rate = Stab + RB + Norm = 1 − FF</t>
  </si>
  <si>
    <t xml:space="preserve">MTD / STLM</t>
  </si>
  <si>
    <t xml:space="preserve">Month-to-date to 26-Aug-2026 / same time last month (26-Jul-2026)</t>
  </si>
  <si>
    <t xml:space="preserve">RR(k,t)</t>
  </si>
  <si>
    <t xml:space="preserve">Same-day resolution rate on 26th of month t, Jan-26 … Aug-26</t>
  </si>
  <si>
    <t xml:space="preserve">RR_bc(k), T_bc(k)</t>
  </si>
  <si>
    <t xml:space="preserve">BC-wise resolution rate and target; Δ = RR − T (pp)</t>
  </si>
  <si>
    <t xml:space="preserve">ATS</t>
  </si>
  <si>
    <t xml:space="preserve">B × 100 ÷ N, ₹ lakh</t>
  </si>
  <si>
    <t xml:space="preserve">Pool</t>
  </si>
  <si>
    <t xml:space="preserve">SMA pool = Σ B(SMA0..SMA2); overdue pool = Σ B(SMA0..NPA)</t>
  </si>
  <si>
    <t xml:space="preserve">Balances ₹ Cr, accounts as counts, rates in %, changes in pp; MTD to 26-Aug-2026.</t>
  </si>
  <si>
    <t xml:space="preserve">Exhaustive metrics table</t>
  </si>
  <si>
    <t xml:space="preserve">Metric family</t>
  </si>
  <si>
    <t xml:space="preserve">Pipeline-ready metric</t>
  </si>
  <si>
    <t xml:space="preserve">Definition / formula</t>
  </si>
  <si>
    <t xml:space="preserve">Applies to</t>
  </si>
  <si>
    <t xml:space="preserve">Example</t>
  </si>
  <si>
    <t xml:space="preserve">Fact lookup</t>
  </si>
  <si>
    <t xml:space="preserve">Bucket balance and accounts</t>
  </si>
  <si>
    <t xml:space="preserve">B(k), N(k)</t>
  </si>
  <si>
    <t xml:space="preserve">6 buckets × 2 periods</t>
  </si>
  <si>
    <t xml:space="preserve">Bucket state shares</t>
  </si>
  <si>
    <t xml:space="preserve">6 × 4 × 2</t>
  </si>
  <si>
    <t xml:space="preserve">Same-day RR trend</t>
  </si>
  <si>
    <t xml:space="preserve">4 buckets × 8 months</t>
  </si>
  <si>
    <t xml:space="preserve">BC resolution vs target</t>
  </si>
  <si>
    <t xml:space="preserve">3 BCs × 4 buckets × 2</t>
  </si>
  <si>
    <t xml:space="preserve">Roll-up check</t>
  </si>
  <si>
    <t xml:space="preserve">States sum to 100%</t>
  </si>
  <si>
    <t xml:space="preserve">Stab + FF + RB + Norm</t>
  </si>
  <si>
    <t xml:space="preserve">12 rows</t>
  </si>
  <si>
    <t xml:space="preserve">Buckets to Grand Total</t>
  </si>
  <si>
    <t xml:space="preserve">GT − Σ buckets (accounts / balance)</t>
  </si>
  <si>
    <t xml:space="preserve">2 periods</t>
  </si>
  <si>
    <t xml:space="preserve">GT RR is balance-weighted</t>
  </si>
  <si>
    <t xml:space="preserve">RR(GT) − Σ B × RR ÷ Σ B</t>
  </si>
  <si>
    <t xml:space="preserve">Trend vs MTD table</t>
  </si>
  <si>
    <t xml:space="preserve">RR(k, Aug) − RR(k) MTD</t>
  </si>
  <si>
    <t xml:space="preserve">4 buckets</t>
  </si>
  <si>
    <t xml:space="preserve">Resolution</t>
  </si>
  <si>
    <t xml:space="preserve">Resolution rate by bucket</t>
  </si>
  <si>
    <t xml:space="preserve">RR(k) = Stab + RB + Norm</t>
  </si>
  <si>
    <t xml:space="preserve">6 × 2</t>
  </si>
  <si>
    <t xml:space="preserve">Flow-forward rate</t>
  </si>
  <si>
    <t xml:space="preserve">FF(k)</t>
  </si>
  <si>
    <t xml:space="preserve">Roll-backward rate</t>
  </si>
  <si>
    <t xml:space="preserve">RB(k)</t>
  </si>
  <si>
    <t xml:space="preserve">RR change MoM</t>
  </si>
  <si>
    <t xml:space="preserve">RR(k) MTD − RR(k) STLM</t>
  </si>
  <si>
    <t xml:space="preserve">6 buckets</t>
  </si>
  <si>
    <t xml:space="preserve">FF change MoM</t>
  </si>
  <si>
    <t xml:space="preserve">FF(k) MTD − FF(k) STLM</t>
  </si>
  <si>
    <t xml:space="preserve">Composition of RR</t>
  </si>
  <si>
    <t xml:space="preserve">Stab ÷ RR; RB ÷ RR; Norm ÷ RR</t>
  </si>
  <si>
    <t xml:space="preserve">SMA0, SMA1</t>
  </si>
  <si>
    <t xml:space="preserve">Balance-weighted RR, overdue pool</t>
  </si>
  <si>
    <t xml:space="preserve">Σ B × RR ÷ Σ B over SMA0–NPA</t>
  </si>
  <si>
    <t xml:space="preserve">Expected forward-flow amount (SMA pool)</t>
  </si>
  <si>
    <t xml:space="preserve">Σ B(k) × FF(k), k ∈ SMA0..SMA2</t>
  </si>
  <si>
    <t xml:space="preserve">Trend</t>
  </si>
  <si>
    <t xml:space="preserve">RR change since Jan-26</t>
  </si>
  <si>
    <t xml:space="preserve">RR(k, Aug) − RR(k, Jan)</t>
  </si>
  <si>
    <t xml:space="preserve">RR change MoM (trend table)</t>
  </si>
  <si>
    <t xml:space="preserve">RR(k, Aug) − RR(k, Jul)</t>
  </si>
  <si>
    <t xml:space="preserve">8-month average / min / max</t>
  </si>
  <si>
    <t xml:space="preserve">AVERAGE, MIN, MAX of RR(k,t)</t>
  </si>
  <si>
    <t xml:space="preserve">Months of consecutive SMA0 decline</t>
  </si>
  <si>
    <t xml:space="preserve">COUNT RR(t) &lt; RR(t−1) from Feb peak</t>
  </si>
  <si>
    <t xml:space="preserve">Position of Aug in 8-month range</t>
  </si>
  <si>
    <t xml:space="preserve">Illustrative extra forward flow from cure deterioration</t>
  </si>
  <si>
    <t xml:space="preserve">B(SMA0) × (RR(Jan) − RR(Aug))</t>
  </si>
  <si>
    <t xml:space="preserve">BC performance</t>
  </si>
  <si>
    <t xml:space="preserve">Shortfall vs target</t>
  </si>
  <si>
    <t xml:space="preserve">Δ = RR_bc − T_bc (pp)</t>
  </si>
  <si>
    <t xml:space="preserve">3 BCs × 4 buckets</t>
  </si>
  <si>
    <t xml:space="preserve">Targets met</t>
  </si>
  <si>
    <t xml:space="preserve">COUNT RR ≥ T</t>
  </si>
  <si>
    <t xml:space="preserve">3 BCs</t>
  </si>
  <si>
    <t xml:space="preserve">BC dispersion</t>
  </si>
  <si>
    <t xml:space="preserve">MAX − MIN RR across BCs (pp)</t>
  </si>
  <si>
    <t xml:space="preserve">BC RR change MoM</t>
  </si>
  <si>
    <t xml:space="preserve">RR_bc MTD − STLM (pp)</t>
  </si>
  <si>
    <t xml:space="preserve">3 BCs × SMA0 / SMA1</t>
  </si>
  <si>
    <t xml:space="preserve">Pool composition</t>
  </si>
  <si>
    <t xml:space="preserve">Overdue pool and share</t>
  </si>
  <si>
    <t xml:space="preserve">Σ B(SMA0..NPA); ÷ GT</t>
  </si>
  <si>
    <t xml:space="preserve">SMA pool (1–90) and share</t>
  </si>
  <si>
    <t xml:space="preserve">Σ B(SMA0..SMA2); ÷ GT</t>
  </si>
  <si>
    <t xml:space="preserve">Bucket share of total pool</t>
  </si>
  <si>
    <t xml:space="preserve">B(k) ÷ GT</t>
  </si>
  <si>
    <t xml:space="preserve">Pool growth MoM</t>
  </si>
  <si>
    <t xml:space="preserve">B(k) MTD − STLM</t>
  </si>
  <si>
    <t xml:space="preserve">Ticket size</t>
  </si>
  <si>
    <t xml:space="preserve">ATS by bucket</t>
  </si>
  <si>
    <t xml:space="preserve">B(k) × 100 ÷ N(k)</t>
  </si>
  <si>
    <t xml:space="preserve">Data integrity</t>
  </si>
  <si>
    <t xml:space="preserve">Bucket label mapping</t>
  </si>
  <si>
    <t xml:space="preserve">Garbled labels mapped via forward-flow amounts</t>
  </si>
  <si>
    <t xml:space="preserve">Page</t>
  </si>
  <si>
    <t xml:space="preserve">1–30 = 55.96, 31–60 = 29.07, 61–90 = 24.41 tie to Block-2 forward-flow opening pool</t>
  </si>
  <si>
    <t xml:space="preserve">Δ columns</t>
  </si>
  <si>
    <t xml:space="preserve">Printed Δ = RR − Target (signed)</t>
  </si>
  <si>
    <t xml:space="preserve">BC table</t>
  </si>
  <si>
    <t xml:space="preserve">Recomputed live and equal to printed; every SMA0 / SMA1 delta is negative (shortfall)</t>
  </si>
  <si>
    <t xml:space="preserve">Block 2 — Collection efficiency, recovery on NPA / written-off pools, SMA forward flow</t>
  </si>
  <si>
    <t xml:space="preserve">Source: SMA and Collection Efficiency.pdf | MTD 26-Aug-2026 vs STLM 26-Jul-2026 | ₹ Cr, %</t>
  </si>
  <si>
    <t xml:space="preserve">A. Bucket-wise collection efficiency — MTD (26-Aug) and STLM (26-Jul)</t>
  </si>
  <si>
    <t xml:space="preserve">Demand ₹ Cr (Aug)</t>
  </si>
  <si>
    <t xml:space="preserve">Collection ₹ Cr (Aug)</t>
  </si>
  <si>
    <t xml:space="preserve">CE % printed</t>
  </si>
  <si>
    <t xml:space="preserve">CE % computed</t>
  </si>
  <si>
    <t xml:space="preserve">Shortfall ₹ Cr</t>
  </si>
  <si>
    <t xml:space="preserve">Share of demand</t>
  </si>
  <si>
    <t xml:space="preserve">Share of shortfall</t>
  </si>
  <si>
    <t xml:space="preserve">Demand ₹ Cr (Jul)</t>
  </si>
  <si>
    <t xml:space="preserve">Collection ₹ Cr (Jul)</t>
  </si>
  <si>
    <t xml:space="preserve">CE % printed (Jul)</t>
  </si>
  <si>
    <t xml:space="preserve">CE % computed (Jul)</t>
  </si>
  <si>
    <t xml:space="preserve">CE Δ MoM (pp)</t>
  </si>
  <si>
    <t xml:space="preserve">Demand Aug ÷ Jul</t>
  </si>
  <si>
    <t xml:space="preserve">CURRENT</t>
  </si>
  <si>
    <t xml:space="preserve">1–30 DPD</t>
  </si>
  <si>
    <t xml:space="preserve">31–60 DPD</t>
  </si>
  <si>
    <t xml:space="preserve">61–90 DPD</t>
  </si>
  <si>
    <t xml:space="preserve">Total (≤ 90)</t>
  </si>
  <si>
    <t xml:space="preserve">91–180 DPD</t>
  </si>
  <si>
    <t xml:space="preserve">&gt; 180 DPD</t>
  </si>
  <si>
    <t xml:space="preserve">Total (&gt; 90)</t>
  </si>
  <si>
    <t xml:space="preserve">Check: Σ (≤90 buckets) − Total (≤90); Σ (&gt;90) − Total (&gt;90); Totals − Grand Total</t>
  </si>
  <si>
    <t xml:space="preserve">CE on overdue buckets only (1–90): collection ÷ demand</t>
  </si>
  <si>
    <t xml:space="preserve">B. BC-wise recovery on NPA and written-off (WOFF) pools — MTD (26-Aug) and STLM (26-Jul)</t>
  </si>
  <si>
    <t xml:space="preserve">NPA POS</t>
  </si>
  <si>
    <t xml:space="preserve">NPA recovery</t>
  </si>
  <si>
    <t xml:space="preserve">NPA rate printed</t>
  </si>
  <si>
    <t xml:space="preserve">NPA rate computed</t>
  </si>
  <si>
    <t xml:space="preserve">WOFF POS</t>
  </si>
  <si>
    <t xml:space="preserve">WOFF recovery</t>
  </si>
  <si>
    <t xml:space="preserve">WOFF rate printed</t>
  </si>
  <si>
    <t xml:space="preserve">WOFF rate computed</t>
  </si>
  <si>
    <t xml:space="preserve">Total POS</t>
  </si>
  <si>
    <t xml:space="preserve">Total recovery</t>
  </si>
  <si>
    <t xml:space="preserve">Total rate computed</t>
  </si>
  <si>
    <t xml:space="preserve">Share of total POS</t>
  </si>
  <si>
    <t xml:space="preserve">Share of total recovery</t>
  </si>
  <si>
    <t xml:space="preserve">STLM NPA POS</t>
  </si>
  <si>
    <t xml:space="preserve">STLM NPA recovery</t>
  </si>
  <si>
    <t xml:space="preserve">STLM WOFF POS</t>
  </si>
  <si>
    <t xml:space="preserve">STLM WOFF recovery</t>
  </si>
  <si>
    <t xml:space="preserve">Total rate STLM</t>
  </si>
  <si>
    <t xml:space="preserve">Rate Δ MoM (pp)</t>
  </si>
  <si>
    <t xml:space="preserve">POS Δ MoM</t>
  </si>
  <si>
    <t xml:space="preserve">RFL</t>
  </si>
  <si>
    <t xml:space="preserve">STSPL</t>
  </si>
  <si>
    <t xml:space="preserve">Check: Σ BCs − Grand Total (NPA POS / WOFF POS / total recovery)</t>
  </si>
  <si>
    <t xml:space="preserve">C. Vintage-wise recovery — MTD (26-Aug) and STLM (26-Jul)</t>
  </si>
  <si>
    <t xml:space="preserve">Status / DPD / Vintage</t>
  </si>
  <si>
    <t xml:space="preserve">POS (Aug)</t>
  </si>
  <si>
    <t xml:space="preserve">Recovery (Aug)</t>
  </si>
  <si>
    <t xml:space="preserve">Rate printed</t>
  </si>
  <si>
    <t xml:space="preserve">Rate computed</t>
  </si>
  <si>
    <t xml:space="preserve">Share of POS</t>
  </si>
  <si>
    <t xml:space="preserve">Share of recovery</t>
  </si>
  <si>
    <t xml:space="preserve">POS (Jul)</t>
  </si>
  <si>
    <t xml:space="preserve">Recovery (Jul)</t>
  </si>
  <si>
    <t xml:space="preserve">Rate (Jul) computed</t>
  </si>
  <si>
    <t xml:space="preserve">Annualised rate ×12 (Aug)</t>
  </si>
  <si>
    <t xml:space="preserve">NPA 91–180 / V0</t>
  </si>
  <si>
    <t xml:space="preserve">NPA 181–365 / V1</t>
  </si>
  <si>
    <t xml:space="preserve">WOFF &lt; 456 / V2</t>
  </si>
  <si>
    <t xml:space="preserve">WOFF 457–637 / V3</t>
  </si>
  <si>
    <t xml:space="preserve">WOFF 638–818 / V4</t>
  </si>
  <si>
    <t xml:space="preserve">WOFF 819–999 / V5</t>
  </si>
  <si>
    <t xml:space="preserve">WOFF &gt; 1000 / V5+</t>
  </si>
  <si>
    <t xml:space="preserve">Check: Σ vintages − Grand Total (POS / recovery); vintage GT vs BC GT</t>
  </si>
  <si>
    <t xml:space="preserve">NPA pool (V0+V1) POS / rate; WOFF pool (V2–V5) POS / rate</t>
  </si>
  <si>
    <t xml:space="preserve">D. SMA forward-flow position — opening pool and status (26-Aug), 25-Aug status, MTD pool &amp; FF; BC-wise</t>
  </si>
  <si>
    <t xml:space="preserve">Opening accounts</t>
  </si>
  <si>
    <t xml:space="preserve">Opening amount ₹ Cr</t>
  </si>
  <si>
    <t xml:space="preserve">Resolution ₹ Cr</t>
  </si>
  <si>
    <t xml:space="preserve">RR % printed</t>
  </si>
  <si>
    <t xml:space="preserve">RR % computed</t>
  </si>
  <si>
    <t xml:space="preserve">FF ₹ Cr</t>
  </si>
  <si>
    <t xml:space="preserve">FF % printed</t>
  </si>
  <si>
    <t xml:space="preserve">RR + FF</t>
  </si>
  <si>
    <t xml:space="preserve">Resolution 25-Aug</t>
  </si>
  <si>
    <t xml:space="preserve">RR 25-Aug</t>
  </si>
  <si>
    <t xml:space="preserve">1-day Δ resolution</t>
  </si>
  <si>
    <t xml:space="preserve">MTD pool accounts</t>
  </si>
  <si>
    <t xml:space="preserve">MTD pool amount</t>
  </si>
  <si>
    <t xml:space="preserve">MTD FF accounts</t>
  </si>
  <si>
    <t xml:space="preserve">MTD FF amount</t>
  </si>
  <si>
    <t xml:space="preserve">MTD FF % printed</t>
  </si>
  <si>
    <t xml:space="preserve">MTD FF % computed (amount)</t>
  </si>
  <si>
    <t xml:space="preserve">FF % by accounts</t>
  </si>
  <si>
    <t xml:space="preserve">Total</t>
  </si>
  <si>
    <t xml:space="preserve">Check: Σ BC totals − Grand Total (opening amount / resolution / FF)</t>
  </si>
  <si>
    <t xml:space="preserve">Check: SMA pool opening amount vs Block-1 bucket balances (1–30 / 31–60 / 61–90)</t>
  </si>
  <si>
    <t xml:space="preserve">Overall collection efficiency is 85.0% because the &gt; 180 dpd bucket carries ₹186 Cr of demand (13% of total) at 9.8% collection; CE on ≤ 90 dpd is 97.2%.</t>
  </si>
  <si>
    <t xml:space="preserve">The &gt;180 bucket is ~80% of the shortfall — report CE with and without &gt;180.</t>
  </si>
  <si>
    <t xml:space="preserve">August demand (₹1,400 Cr) is 2.0x July's same-day demand — a window / billing-cycle difference, not volume growth.</t>
  </si>
  <si>
    <t xml:space="preserve">x</t>
  </si>
  <si>
    <t xml:space="preserve">Compare percentages across months, not rupees.</t>
  </si>
  <si>
    <t xml:space="preserve">Written-off pool recovery is 0.14% MTD (₹4.25 Cr on ₹2,940 Cr); NPA pool 0.78%. Annualised WOFF recovery &lt; 2%.</t>
  </si>
  <si>
    <t xml:space="preserve">Recovery is immaterial to P&amp;L; question the cost of pursuing V4/V5 vintages (₹2,276 Cr at 0.08–0.15%).</t>
  </si>
  <si>
    <t xml:space="preserve">MTD-pool accounts differ from opening-pool accounts for 31–60 and 61–90 (e.g. 9,685 vs 9,781) while amounts differ slightly — two pool definitions on the same page.</t>
  </si>
  <si>
    <t xml:space="preserve">count</t>
  </si>
  <si>
    <t xml:space="preserve">Confirm which pool is the denominator for FF %.</t>
  </si>
  <si>
    <t xml:space="preserve">Printed vs computed rates (collection, recovery, RR) — max absolute gap (pp):</t>
  </si>
  <si>
    <t xml:space="preserve">Rounding only.</t>
  </si>
  <si>
    <t xml:space="preserve">Forward-flow opening amounts equal Block-1 bucket balances (SMA0 / SMA1 / SMA2): Σ |gap|</t>
  </si>
  <si>
    <t xml:space="preserve">Both tables use the same July month-end pool.</t>
  </si>
  <si>
    <t xml:space="preserve">Notation and exhaustive metrics table for this block: see sheet B2_Metrics</t>
  </si>
  <si>
    <t xml:space="preserve">What is the Grand Total collection efficiency MTD?</t>
  </si>
  <si>
    <t xml:space="preserve">What is RFL's written-off POS?</t>
  </si>
  <si>
    <t xml:space="preserve">What is the SMA opening pool amount (1–90 dpd)?</t>
  </si>
  <si>
    <t xml:space="preserve">What is CE on the overdue 1–90 dpd buckets only?</t>
  </si>
  <si>
    <t xml:space="preserve">Σ collection ÷ Σ demand (1–90)</t>
  </si>
  <si>
    <t xml:space="preserve">What share of the collection shortfall comes from the &gt; 180 dpd bucket?</t>
  </si>
  <si>
    <t xml:space="preserve">Shortfall(&gt;180) ÷ total shortfall</t>
  </si>
  <si>
    <t xml:space="preserve">What is the annualised recovery rate on the written-off pool?</t>
  </si>
  <si>
    <t xml:space="preserve">MTD WOFF rate × 12</t>
  </si>
  <si>
    <t xml:space="preserve">How did the Grand Total forward-flow % move from 25-Aug to 26-Aug (pp)?</t>
  </si>
  <si>
    <t xml:space="preserve">FF%(26) − FF%(25)</t>
  </si>
  <si>
    <t xml:space="preserve">Decompose the 85.0% CE: what would CE be if &gt; 180 dpd demand were excluded?</t>
  </si>
  <si>
    <t xml:space="preserve">(Collection − &gt;180) ÷ (Demand − &gt;180)</t>
  </si>
  <si>
    <t xml:space="preserve">CE rises from 85% to ~96.5% — the headline is dragged by legacy demand.</t>
  </si>
  <si>
    <t xml:space="preserve">Is NPA recovery improving or worsening MoM, and what explains the change (rate vs POS)?</t>
  </si>
  <si>
    <t xml:space="preserve">Rate Δ (pp) and POS Δ</t>
  </si>
  <si>
    <t xml:space="preserve">Rate fell ~10 bp; POS grew ₹18 Cr → more NPA, less recovery.</t>
  </si>
  <si>
    <t xml:space="preserve">Do BC forward-flow totals reconcile to the Grand Total, and does the SMA pool tie to Block 1?</t>
  </si>
  <si>
    <t xml:space="preserve">Σ |gaps|</t>
  </si>
  <si>
    <t xml:space="preserve">Zero → the three tables share one pool.</t>
  </si>
  <si>
    <t xml:space="preserve">Not derivable: full-month collection efficiency (MTD only), demand by BC, cost of collection per BC, write-off amounts and provisions, roll-rates beyond 180 dpd, customer counts behind demand, and the pool definitions behind the two account bases.</t>
  </si>
  <si>
    <t xml:space="preserve">Collection efficiency, recovery and forward flow: notation and metrics</t>
  </si>
  <si>
    <t xml:space="preserve">Dm(b), Col(b)</t>
  </si>
  <si>
    <t xml:space="preserve">Demand and collection ₹ Cr for DPD bucket b (MTD)</t>
  </si>
  <si>
    <t xml:space="preserve">CE(b)</t>
  </si>
  <si>
    <t xml:space="preserve">Collection efficiency = Col ÷ Dm</t>
  </si>
  <si>
    <t xml:space="preserve">b</t>
  </si>
  <si>
    <t xml:space="preserve">Current, 1–30, 31–60, 61–90, Total(≤90), 91–180, &gt;180, Total(&gt;90), Grand Total</t>
  </si>
  <si>
    <t xml:space="preserve">POS_N / POS_W</t>
  </si>
  <si>
    <t xml:space="preserve">Principal outstanding on NPA / written-off (WOFF) pools, by BC or vintage</t>
  </si>
  <si>
    <t xml:space="preserve">Rec</t>
  </si>
  <si>
    <t xml:space="preserve">MTD recovery ₹ Cr; rate = Rec ÷ POS</t>
  </si>
  <si>
    <t xml:space="preserve">V0–V5+</t>
  </si>
  <si>
    <t xml:space="preserve">Vintage buckets by DPD (NPA: 91–180, 181–365; WOFF: &lt; 456 … &gt; 1000)</t>
  </si>
  <si>
    <t xml:space="preserve">OP(k), Res(k), FF(k)</t>
  </si>
  <si>
    <t xml:space="preserve">SMA forward flow: opening pool, resolution and flow-forward amounts for bucket k (1–30, 31–60, 61–90)</t>
  </si>
  <si>
    <t xml:space="preserve">RR%, FF%</t>
  </si>
  <si>
    <t xml:space="preserve">Res ÷ OP, FF ÷ OP; RR + FF = 100%</t>
  </si>
  <si>
    <t xml:space="preserve">MTD pool</t>
  </si>
  <si>
    <t xml:space="preserve">Second pool definition on the page (accounts/amount differ slightly from opening pool)</t>
  </si>
  <si>
    <t xml:space="preserve">STLM</t>
  </si>
  <si>
    <t xml:space="preserve">Same time last month (26-Jul-2026)</t>
  </si>
  <si>
    <t xml:space="preserve">Amounts ₹ Cr, rates in %, changes in pp; MTD to 26-Aug-2026 with 26-Jul-2026 comparatives.</t>
  </si>
  <si>
    <t xml:space="preserve">Demand / collection by bucket</t>
  </si>
  <si>
    <t xml:space="preserve">9 rows × 2 periods</t>
  </si>
  <si>
    <t xml:space="preserve">Recovery pools</t>
  </si>
  <si>
    <t xml:space="preserve">POS_N, POS_W, Rec by BC</t>
  </si>
  <si>
    <t xml:space="preserve">5 rows × 2 periods</t>
  </si>
  <si>
    <t xml:space="preserve">Forward-flow pool</t>
  </si>
  <si>
    <t xml:space="preserve">OP, Res, FF by bucket and BC</t>
  </si>
  <si>
    <t xml:space="preserve">16 rows</t>
  </si>
  <si>
    <t xml:space="preserve">CE buckets to totals</t>
  </si>
  <si>
    <t xml:space="preserve">Σ ≤90 − Total; Σ &gt;90 − Total; Totals − GT</t>
  </si>
  <si>
    <t xml:space="preserve">Aug</t>
  </si>
  <si>
    <t xml:space="preserve">Printed vs computed rates</t>
  </si>
  <si>
    <t xml:space="preserve">Max |printed − computed| (pp)</t>
  </si>
  <si>
    <t xml:space="preserve">CE, recovery, RR tables</t>
  </si>
  <si>
    <t xml:space="preserve">BC recovery to Grand Total</t>
  </si>
  <si>
    <t xml:space="preserve">Σ BCs − GT (NPA POS / WOFF POS / recovery)</t>
  </si>
  <si>
    <t xml:space="preserve">3 checks</t>
  </si>
  <si>
    <t xml:space="preserve">Vintage to Grand Total and to BC GT</t>
  </si>
  <si>
    <t xml:space="preserve">Σ vintages − GT; vintage GT − BC GT</t>
  </si>
  <si>
    <t xml:space="preserve">Forward-flow BCs to GT and to Block-1 pool</t>
  </si>
  <si>
    <t xml:space="preserve">Σ BC totals − GT; OP − B(k) Block 1</t>
  </si>
  <si>
    <t xml:space="preserve">6 checks</t>
  </si>
  <si>
    <t xml:space="preserve">Collection efficiency</t>
  </si>
  <si>
    <t xml:space="preserve">CE by bucket</t>
  </si>
  <si>
    <t xml:space="preserve">CE(b) computed</t>
  </si>
  <si>
    <t xml:space="preserve">9 × 2</t>
  </si>
  <si>
    <t xml:space="preserve">CE change MoM</t>
  </si>
  <si>
    <t xml:space="preserve">CE(b) Aug − Jul (pp)</t>
  </si>
  <si>
    <t xml:space="preserve">9 buckets</t>
  </si>
  <si>
    <t xml:space="preserve">CE ex &gt; 180 dpd</t>
  </si>
  <si>
    <t xml:space="preserve">(Col − Col(&gt;180)) ÷ (Dm − Dm(&gt;180))</t>
  </si>
  <si>
    <t xml:space="preserve">Aug / Jul</t>
  </si>
  <si>
    <t xml:space="preserve">CE on overdue 1–90 only</t>
  </si>
  <si>
    <t xml:space="preserve">Σ Col(1–90) ÷ Σ Dm(1–90)</t>
  </si>
  <si>
    <t xml:space="preserve">Shortfall by bucket</t>
  </si>
  <si>
    <t xml:space="preserve">Dm − Col</t>
  </si>
  <si>
    <t xml:space="preserve">Shortfall(b) ÷ total shortfall</t>
  </si>
  <si>
    <t xml:space="preserve">7 buckets</t>
  </si>
  <si>
    <t xml:space="preserve">Demand mix</t>
  </si>
  <si>
    <t xml:space="preserve">Dm(b) ÷ Dm(GT)</t>
  </si>
  <si>
    <t xml:space="preserve">Demand Aug ÷ Jul (same-day)</t>
  </si>
  <si>
    <t xml:space="preserve">Dm Aug ÷ Dm Jul</t>
  </si>
  <si>
    <t xml:space="preserve">Recovery</t>
  </si>
  <si>
    <t xml:space="preserve">Recovery rate by BC</t>
  </si>
  <si>
    <t xml:space="preserve">Rec ÷ POS — NPA, WOFF, total</t>
  </si>
  <si>
    <t xml:space="preserve">4 BCs + GT</t>
  </si>
  <si>
    <t xml:space="preserve">Annualised recovery rate</t>
  </si>
  <si>
    <t xml:space="preserve">MTD rate × 12</t>
  </si>
  <si>
    <t xml:space="preserve">GT NPA / WOFF</t>
  </si>
  <si>
    <t xml:space="preserve">Recovery rate change MoM</t>
  </si>
  <si>
    <t xml:space="preserve">Rate Aug − Jul (pp)</t>
  </si>
  <si>
    <t xml:space="preserve">POS change MoM</t>
  </si>
  <si>
    <t xml:space="preserve">POS Aug − Jul</t>
  </si>
  <si>
    <t xml:space="preserve">BC share of POS vs recovery</t>
  </si>
  <si>
    <t xml:space="preserve">POS share; recovery share</t>
  </si>
  <si>
    <t xml:space="preserve">4 BCs</t>
  </si>
  <si>
    <t xml:space="preserve">WOFF ÷ NPA pool ratio</t>
  </si>
  <si>
    <t xml:space="preserve">POS_W ÷ POS_N</t>
  </si>
  <si>
    <t xml:space="preserve">GT</t>
  </si>
  <si>
    <t xml:space="preserve">Vintage</t>
  </si>
  <si>
    <t xml:space="preserve">Recovery rate by vintage</t>
  </si>
  <si>
    <t xml:space="preserve">Rec ÷ POS, V0 … V5</t>
  </si>
  <si>
    <t xml:space="preserve">7 vintages × 2</t>
  </si>
  <si>
    <t xml:space="preserve">Vintage share of POS and recovery</t>
  </si>
  <si>
    <t xml:space="preserve">POS share / recovery share</t>
  </si>
  <si>
    <t xml:space="preserve">7 vintages</t>
  </si>
  <si>
    <t xml:space="preserve">NPA vs WOFF pool rates</t>
  </si>
  <si>
    <t xml:space="preserve">(V0+V1) and (V2–V5) POS and rates</t>
  </si>
  <si>
    <t xml:space="preserve">2 pools</t>
  </si>
  <si>
    <t xml:space="preserve">Vintage POS migration MoM</t>
  </si>
  <si>
    <t xml:space="preserve">POS Aug − Jul by vintage</t>
  </si>
  <si>
    <t xml:space="preserve">Rate decay with age</t>
  </si>
  <si>
    <t xml:space="preserve">Rate(V0) ÷ Rate(V5+ &gt; 1000)</t>
  </si>
  <si>
    <t xml:space="preserve">Window</t>
  </si>
  <si>
    <t xml:space="preserve">Forward flow</t>
  </si>
  <si>
    <t xml:space="preserve">RR and FF by bucket</t>
  </si>
  <si>
    <t xml:space="preserve">Res ÷ OP; FF ÷ OP</t>
  </si>
  <si>
    <t xml:space="preserve">3 buckets + GT</t>
  </si>
  <si>
    <t xml:space="preserve">RR + FF = 100%</t>
  </si>
  <si>
    <t xml:space="preserve">Check</t>
  </si>
  <si>
    <t xml:space="preserve">One-day change in resolution</t>
  </si>
  <si>
    <t xml:space="preserve">Res(26-Aug) − Res(25-Aug)</t>
  </si>
  <si>
    <t xml:space="preserve">GT + BCs</t>
  </si>
  <si>
    <t xml:space="preserve">BC RR by bucket</t>
  </si>
  <si>
    <t xml:space="preserve">Res ÷ OP by BC</t>
  </si>
  <si>
    <t xml:space="preserve">3 BCs × 3 buckets</t>
  </si>
  <si>
    <t xml:space="preserve">BC share of SMA pool</t>
  </si>
  <si>
    <t xml:space="preserve">OP_bc ÷ OP_GT</t>
  </si>
  <si>
    <t xml:space="preserve">MTD FF % by amount vs accounts</t>
  </si>
  <si>
    <t xml:space="preserve">FF amt ÷ pool amt; FF accts ÷ pool accts</t>
  </si>
  <si>
    <t xml:space="preserve">Pool definition gap</t>
  </si>
  <si>
    <t xml:space="preserve">MTD pool accounts − opening pool accounts</t>
  </si>
  <si>
    <t xml:space="preserve">3 buckets</t>
  </si>
  <si>
    <t xml:space="preserve">Obscured cell</t>
  </si>
  <si>
    <t xml:space="preserve">PAHAL Total, 25-Aug status</t>
  </si>
  <si>
    <t xml:space="preserve">1 row</t>
  </si>
  <si>
    <t xml:space="preserve">Left blank; recoverable from the BC's bucket rows (Σ resolution 1.18, Σ FF 4.62)</t>
  </si>
  <si>
    <t xml:space="preserve">Demand window</t>
  </si>
  <si>
    <t xml:space="preserve">Dm(GT) Aug ÷ Jul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</si>
</sst>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;\(#,##0.00\);\-"/>
    <numFmt numFmtId="167" formatCode="0.00%;\-0.00%;0.00%"/>
    <numFmt numFmtId="168" formatCode="#,##0.00"/>
    <numFmt numFmtId="169" formatCode="\+0.0&quot; pp&quot;;\-0.0&quot; pp&quot;;0.0&quot; pp&quot;"/>
    <numFmt numFmtId="170" formatCode="0.0%;\-0.0%;0.0%"/>
    <numFmt numFmtId="171" formatCode="0.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6" t="s">
        <v>4</v>
      </c>
      <c r="B6" s="7" t="s">
        <v>5</v>
      </c>
    </row>
    <row r="7" customFormat="false" ht="15" hidden="false" customHeight="false" outlineLevel="0" collapsed="false">
      <c r="A7" s="6" t="s">
        <v>6</v>
      </c>
      <c r="B7" s="7" t="s">
        <v>7</v>
      </c>
    </row>
    <row r="8" customFormat="false" ht="23.85" hidden="false" customHeight="false" outlineLevel="0" collapsed="false">
      <c r="A8" s="6" t="s">
        <v>8</v>
      </c>
      <c r="B8" s="7" t="s">
        <v>9</v>
      </c>
    </row>
    <row r="9" customFormat="false" ht="15" hidden="false" customHeight="false" outlineLevel="0" collapsed="false">
      <c r="A9" s="6" t="s">
        <v>10</v>
      </c>
      <c r="B9" s="7" t="s">
        <v>11</v>
      </c>
    </row>
    <row r="10" customFormat="false" ht="15" hidden="false" customHeight="false" outlineLevel="0" collapsed="false">
      <c r="A10" s="6"/>
      <c r="B10" s="7"/>
    </row>
    <row r="11" customFormat="false" ht="15" hidden="false" customHeight="false" outlineLevel="0" collapsed="false">
      <c r="A11" s="4" t="s">
        <v>12</v>
      </c>
      <c r="B11" s="5"/>
    </row>
    <row r="12" customFormat="false" ht="15" hidden="false" customHeight="false" outlineLevel="0" collapsed="false">
      <c r="A12" s="6" t="s">
        <v>13</v>
      </c>
      <c r="B12" s="7" t="s">
        <v>14</v>
      </c>
    </row>
    <row r="13" customFormat="false" ht="15" hidden="false" customHeight="false" outlineLevel="0" collapsed="false">
      <c r="A13" s="6" t="s">
        <v>15</v>
      </c>
      <c r="B13" s="7" t="s">
        <v>16</v>
      </c>
    </row>
    <row r="14" customFormat="false" ht="15" hidden="false" customHeight="false" outlineLevel="0" collapsed="false">
      <c r="A14" s="6" t="s">
        <v>17</v>
      </c>
      <c r="B14" s="7" t="s">
        <v>18</v>
      </c>
    </row>
    <row r="15" customFormat="false" ht="15" hidden="false" customHeight="false" outlineLevel="0" collapsed="false">
      <c r="A15" s="6" t="s">
        <v>19</v>
      </c>
      <c r="B15" s="7" t="s">
        <v>20</v>
      </c>
    </row>
    <row r="16" customFormat="false" ht="15" hidden="false" customHeight="false" outlineLevel="0" collapsed="false">
      <c r="A16" s="6" t="s">
        <v>21</v>
      </c>
      <c r="B16" s="7" t="s">
        <v>22</v>
      </c>
    </row>
    <row r="17" customFormat="false" ht="15" hidden="false" customHeight="false" outlineLevel="0" collapsed="false">
      <c r="A17" s="6"/>
      <c r="B17" s="7"/>
    </row>
    <row r="18" customFormat="false" ht="15" hidden="false" customHeight="false" outlineLevel="0" collapsed="false">
      <c r="A18" s="4" t="s">
        <v>23</v>
      </c>
      <c r="B18" s="5"/>
    </row>
    <row r="19" customFormat="false" ht="23.85" hidden="false" customHeight="false" outlineLevel="0" collapsed="false">
      <c r="A19" s="6" t="s">
        <v>24</v>
      </c>
      <c r="B19" s="7" t="s">
        <v>25</v>
      </c>
    </row>
    <row r="20" customFormat="false" ht="35.05" hidden="false" customHeight="false" outlineLevel="0" collapsed="false">
      <c r="A20" s="6" t="s">
        <v>26</v>
      </c>
      <c r="B20" s="7" t="s">
        <v>27</v>
      </c>
    </row>
    <row r="21" customFormat="false" ht="23.85" hidden="false" customHeight="false" outlineLevel="0" collapsed="false">
      <c r="A21" s="6" t="s">
        <v>28</v>
      </c>
      <c r="B21" s="7" t="s">
        <v>29</v>
      </c>
    </row>
    <row r="22" customFormat="false" ht="23.85" hidden="false" customHeight="false" outlineLevel="0" collapsed="false">
      <c r="A22" s="6" t="s">
        <v>30</v>
      </c>
      <c r="B22" s="7" t="s">
        <v>31</v>
      </c>
    </row>
    <row r="23" customFormat="false" ht="23.85" hidden="false" customHeight="false" outlineLevel="0" collapsed="false">
      <c r="A23" s="6" t="s">
        <v>32</v>
      </c>
      <c r="B23" s="7" t="s">
        <v>33</v>
      </c>
    </row>
    <row r="24" customFormat="false" ht="15" hidden="false" customHeight="false" outlineLevel="0" collapsed="false">
      <c r="A24" s="6" t="s">
        <v>34</v>
      </c>
      <c r="B24" s="7" t="s">
        <v>35</v>
      </c>
    </row>
    <row r="26" customFormat="false" ht="15" hidden="false" customHeight="false" outlineLevel="0" collapsed="false">
      <c r="A26" s="3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23" min="3" style="0" width="11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35.05" hidden="false" customHeight="false" outlineLevel="0" collapsed="false">
      <c r="A6" s="8" t="s">
        <v>39</v>
      </c>
      <c r="B6" s="8" t="s">
        <v>40</v>
      </c>
      <c r="C6" s="8" t="s">
        <v>41</v>
      </c>
      <c r="D6" s="8" t="s">
        <v>42</v>
      </c>
      <c r="E6" s="8" t="s">
        <v>43</v>
      </c>
      <c r="F6" s="8" t="s">
        <v>44</v>
      </c>
      <c r="G6" s="8" t="s">
        <v>45</v>
      </c>
      <c r="H6" s="8" t="s">
        <v>46</v>
      </c>
      <c r="I6" s="8" t="s">
        <v>47</v>
      </c>
      <c r="J6" s="8" t="s">
        <v>48</v>
      </c>
      <c r="K6" s="8" t="s">
        <v>49</v>
      </c>
      <c r="L6" s="8" t="s">
        <v>50</v>
      </c>
      <c r="M6" s="8" t="s">
        <v>51</v>
      </c>
      <c r="N6" s="8" t="s">
        <v>43</v>
      </c>
      <c r="O6" s="8" t="s">
        <v>44</v>
      </c>
      <c r="P6" s="8" t="s">
        <v>45</v>
      </c>
      <c r="Q6" s="8" t="s">
        <v>46</v>
      </c>
      <c r="R6" s="8" t="s">
        <v>47</v>
      </c>
      <c r="S6" s="8" t="s">
        <v>52</v>
      </c>
      <c r="T6" s="8" t="s">
        <v>53</v>
      </c>
      <c r="U6" s="8" t="s">
        <v>54</v>
      </c>
      <c r="V6" s="8" t="s">
        <v>55</v>
      </c>
      <c r="W6" s="8" t="s">
        <v>56</v>
      </c>
    </row>
    <row r="7" customFormat="false" ht="15" hidden="false" customHeight="false" outlineLevel="0" collapsed="false">
      <c r="A7" s="9" t="n">
        <v>1</v>
      </c>
      <c r="B7" s="9" t="s">
        <v>57</v>
      </c>
      <c r="C7" s="10" t="n">
        <v>1923659</v>
      </c>
      <c r="D7" s="11" t="n">
        <v>7603.87</v>
      </c>
      <c r="E7" s="12" t="n">
        <v>0.9838</v>
      </c>
      <c r="F7" s="12" t="n">
        <v>0.0162</v>
      </c>
      <c r="G7" s="12" t="n">
        <v>0</v>
      </c>
      <c r="H7" s="12" t="n">
        <v>0</v>
      </c>
      <c r="I7" s="13" t="n">
        <f aca="false">SUM(E7:H7)</f>
        <v>1</v>
      </c>
      <c r="J7" s="13" t="n">
        <f aca="false">E7+G7+H7</f>
        <v>0.9838</v>
      </c>
      <c r="K7" s="14" t="n">
        <f aca="false">D7*100/C7</f>
        <v>0.395281596166472</v>
      </c>
      <c r="L7" s="10" t="n">
        <v>1915951</v>
      </c>
      <c r="M7" s="11" t="n">
        <v>7506.11</v>
      </c>
      <c r="N7" s="12" t="n">
        <v>0.9826</v>
      </c>
      <c r="O7" s="12" t="n">
        <v>0.0174</v>
      </c>
      <c r="P7" s="12" t="n">
        <v>0</v>
      </c>
      <c r="Q7" s="12" t="n">
        <v>0</v>
      </c>
      <c r="R7" s="13" t="n">
        <f aca="false">SUM(N7:Q7)</f>
        <v>1</v>
      </c>
      <c r="S7" s="13" t="n">
        <f aca="false">N7+P7+Q7</f>
        <v>0.9826</v>
      </c>
      <c r="T7" s="15" t="n">
        <f aca="false">(J7-S7)*100</f>
        <v>0.119999999999998</v>
      </c>
      <c r="U7" s="15" t="n">
        <f aca="false">(F7-O7)*100</f>
        <v>-0.12</v>
      </c>
      <c r="V7" s="16" t="n">
        <f aca="false">D7-M7</f>
        <v>97.7600000000002</v>
      </c>
      <c r="W7" s="17" t="n">
        <f aca="false">D7/$D$12</f>
        <v>0.976870236166657</v>
      </c>
    </row>
    <row r="8" customFormat="false" ht="15" hidden="false" customHeight="false" outlineLevel="0" collapsed="false">
      <c r="A8" s="9" t="n">
        <v>2</v>
      </c>
      <c r="B8" s="9" t="s">
        <v>58</v>
      </c>
      <c r="C8" s="10" t="n">
        <v>19548</v>
      </c>
      <c r="D8" s="11" t="n">
        <v>55.96</v>
      </c>
      <c r="E8" s="12" t="n">
        <v>0.2934</v>
      </c>
      <c r="F8" s="12" t="n">
        <v>0.6267</v>
      </c>
      <c r="G8" s="12" t="n">
        <v>0</v>
      </c>
      <c r="H8" s="12" t="n">
        <v>0.0799</v>
      </c>
      <c r="I8" s="13" t="n">
        <f aca="false">SUM(E8:H8)</f>
        <v>1</v>
      </c>
      <c r="J8" s="13" t="n">
        <f aca="false">E8+G8+H8</f>
        <v>0.3733</v>
      </c>
      <c r="K8" s="14" t="n">
        <f aca="false">D8*100/C8</f>
        <v>0.286269695109474</v>
      </c>
      <c r="L8" s="10" t="n">
        <v>18325</v>
      </c>
      <c r="M8" s="11" t="n">
        <v>50.67</v>
      </c>
      <c r="N8" s="12" t="n">
        <v>0.3254</v>
      </c>
      <c r="O8" s="12" t="n">
        <v>0.5975</v>
      </c>
      <c r="P8" s="12" t="n">
        <v>0</v>
      </c>
      <c r="Q8" s="12" t="n">
        <v>0.0772</v>
      </c>
      <c r="R8" s="13" t="n">
        <f aca="false">SUM(N8:Q8)</f>
        <v>1.0001</v>
      </c>
      <c r="S8" s="13" t="n">
        <f aca="false">N8+P8+Q8</f>
        <v>0.4026</v>
      </c>
      <c r="T8" s="15" t="n">
        <f aca="false">(J8-S8)*100</f>
        <v>-2.93000000000001</v>
      </c>
      <c r="U8" s="15" t="n">
        <f aca="false">(F8-O8)*100</f>
        <v>2.92</v>
      </c>
      <c r="V8" s="16" t="n">
        <f aca="false">D8-M8</f>
        <v>5.29</v>
      </c>
      <c r="W8" s="17" t="n">
        <f aca="false">D8/$D$12</f>
        <v>0.00718918898085923</v>
      </c>
    </row>
    <row r="9" customFormat="false" ht="15" hidden="false" customHeight="false" outlineLevel="0" collapsed="false">
      <c r="A9" s="9" t="n">
        <v>3</v>
      </c>
      <c r="B9" s="9" t="s">
        <v>59</v>
      </c>
      <c r="C9" s="10" t="n">
        <v>9781</v>
      </c>
      <c r="D9" s="11" t="n">
        <v>29.07</v>
      </c>
      <c r="E9" s="12" t="n">
        <v>0.0653</v>
      </c>
      <c r="F9" s="12" t="n">
        <v>0.9124</v>
      </c>
      <c r="G9" s="12" t="n">
        <v>0.0101</v>
      </c>
      <c r="H9" s="12" t="n">
        <v>0.0122</v>
      </c>
      <c r="I9" s="13" t="n">
        <f aca="false">SUM(E9:H9)</f>
        <v>1</v>
      </c>
      <c r="J9" s="13" t="n">
        <f aca="false">E9+G9+H9</f>
        <v>0.0876</v>
      </c>
      <c r="K9" s="14" t="n">
        <f aca="false">D9*100/C9</f>
        <v>0.297208874348226</v>
      </c>
      <c r="L9" s="10" t="n">
        <v>9565</v>
      </c>
      <c r="M9" s="11" t="n">
        <v>26.35</v>
      </c>
      <c r="N9" s="12" t="n">
        <v>0.073</v>
      </c>
      <c r="O9" s="12" t="n">
        <v>0.9055</v>
      </c>
      <c r="P9" s="12" t="n">
        <v>0.0091</v>
      </c>
      <c r="Q9" s="12" t="n">
        <v>0.0124</v>
      </c>
      <c r="R9" s="13" t="n">
        <f aca="false">SUM(N9:Q9)</f>
        <v>1</v>
      </c>
      <c r="S9" s="13" t="n">
        <f aca="false">N9+P9+Q9</f>
        <v>0.0945</v>
      </c>
      <c r="T9" s="15" t="n">
        <f aca="false">(J9-S9)*100</f>
        <v>-0.689999999999999</v>
      </c>
      <c r="U9" s="15" t="n">
        <f aca="false">(F9-O9)*100</f>
        <v>0.690000000000002</v>
      </c>
      <c r="V9" s="16" t="n">
        <f aca="false">D9-M9</f>
        <v>2.72</v>
      </c>
      <c r="W9" s="17" t="n">
        <f aca="false">D9/$D$12</f>
        <v>0.00373462694198674</v>
      </c>
    </row>
    <row r="10" customFormat="false" ht="15" hidden="false" customHeight="false" outlineLevel="0" collapsed="false">
      <c r="A10" s="9" t="n">
        <v>4</v>
      </c>
      <c r="B10" s="9" t="s">
        <v>60</v>
      </c>
      <c r="C10" s="10" t="n">
        <v>8676</v>
      </c>
      <c r="D10" s="11" t="n">
        <v>24.41</v>
      </c>
      <c r="E10" s="12" t="n">
        <v>0.0292</v>
      </c>
      <c r="F10" s="12" t="n">
        <v>0.9622</v>
      </c>
      <c r="G10" s="12" t="n">
        <v>0.0034</v>
      </c>
      <c r="H10" s="12" t="n">
        <v>0.0052</v>
      </c>
      <c r="I10" s="13" t="n">
        <f aca="false">SUM(E10:H10)</f>
        <v>1</v>
      </c>
      <c r="J10" s="13" t="n">
        <f aca="false">E10+G10+H10</f>
        <v>0.0378</v>
      </c>
      <c r="K10" s="14" t="n">
        <f aca="false">D10*100/C10</f>
        <v>0.281350852927616</v>
      </c>
      <c r="L10" s="10" t="n">
        <v>10129</v>
      </c>
      <c r="M10" s="11" t="n">
        <v>24.38</v>
      </c>
      <c r="N10" s="12" t="n">
        <v>0.0368</v>
      </c>
      <c r="O10" s="12" t="n">
        <v>0.9516</v>
      </c>
      <c r="P10" s="12" t="n">
        <v>0.0037</v>
      </c>
      <c r="Q10" s="12" t="n">
        <v>0.008</v>
      </c>
      <c r="R10" s="13" t="n">
        <f aca="false">SUM(N10:Q10)</f>
        <v>1.0001</v>
      </c>
      <c r="S10" s="13" t="n">
        <f aca="false">N10+P10+Q10</f>
        <v>0.0485</v>
      </c>
      <c r="T10" s="15" t="n">
        <f aca="false">(J10-S10)*100</f>
        <v>-1.07</v>
      </c>
      <c r="U10" s="15" t="n">
        <f aca="false">(F10-O10)*100</f>
        <v>1.05999999999999</v>
      </c>
      <c r="V10" s="16" t="n">
        <f aca="false">D10-M10</f>
        <v>0.0300000000000011</v>
      </c>
      <c r="W10" s="17" t="n">
        <f aca="false">D10/$D$12</f>
        <v>0.00313595609404528</v>
      </c>
    </row>
    <row r="11" customFormat="false" ht="15" hidden="false" customHeight="false" outlineLevel="0" collapsed="false">
      <c r="A11" s="9" t="n">
        <v>5</v>
      </c>
      <c r="B11" s="9" t="s">
        <v>61</v>
      </c>
      <c r="C11" s="10" t="n">
        <v>43131</v>
      </c>
      <c r="D11" s="11" t="n">
        <v>70.61</v>
      </c>
      <c r="E11" s="12" t="n">
        <v>0.7142</v>
      </c>
      <c r="F11" s="12" t="n">
        <v>0.2783</v>
      </c>
      <c r="G11" s="12" t="n">
        <v>0.0002</v>
      </c>
      <c r="H11" s="12" t="n">
        <v>0.0073</v>
      </c>
      <c r="I11" s="13" t="n">
        <f aca="false">SUM(E11:H11)</f>
        <v>1</v>
      </c>
      <c r="J11" s="13" t="n">
        <f aca="false">E11+G11+H11</f>
        <v>0.7217</v>
      </c>
      <c r="K11" s="14" t="n">
        <f aca="false">D11*100/C11</f>
        <v>0.163710556212469</v>
      </c>
      <c r="L11" s="10" t="n">
        <v>45974</v>
      </c>
      <c r="M11" s="11" t="n">
        <v>69.31</v>
      </c>
      <c r="N11" s="12" t="n">
        <v>0.6867</v>
      </c>
      <c r="O11" s="12" t="n">
        <v>0.3045</v>
      </c>
      <c r="P11" s="12" t="n">
        <v>0.0005</v>
      </c>
      <c r="Q11" s="12" t="n">
        <v>0.0084</v>
      </c>
      <c r="R11" s="13" t="n">
        <f aca="false">SUM(N11:Q11)</f>
        <v>1.0001</v>
      </c>
      <c r="S11" s="13" t="n">
        <f aca="false">N11+P11+Q11</f>
        <v>0.6956</v>
      </c>
      <c r="T11" s="15" t="n">
        <f aca="false">(J11-S11)*100</f>
        <v>2.61000000000001</v>
      </c>
      <c r="U11" s="15" t="n">
        <f aca="false">(F11-O11)*100</f>
        <v>-2.62</v>
      </c>
      <c r="V11" s="16" t="n">
        <f aca="false">D11-M11</f>
        <v>1.3</v>
      </c>
      <c r="W11" s="17" t="n">
        <f aca="false">D11/$D$12</f>
        <v>0.00907127651784258</v>
      </c>
    </row>
    <row r="12" customFormat="false" ht="15" hidden="false" customHeight="false" outlineLevel="0" collapsed="false">
      <c r="A12" s="9" t="n">
        <v>6</v>
      </c>
      <c r="B12" s="18" t="s">
        <v>62</v>
      </c>
      <c r="C12" s="10" t="n">
        <v>2004795</v>
      </c>
      <c r="D12" s="11" t="n">
        <v>7783.91</v>
      </c>
      <c r="E12" s="12" t="n">
        <v>0.9699</v>
      </c>
      <c r="F12" s="12" t="n">
        <v>0.0293</v>
      </c>
      <c r="G12" s="12" t="n">
        <v>0.0001</v>
      </c>
      <c r="H12" s="12" t="n">
        <v>0.0007</v>
      </c>
      <c r="I12" s="13" t="n">
        <f aca="false">SUM(E12:H12)</f>
        <v>1</v>
      </c>
      <c r="J12" s="13" t="n">
        <f aca="false">E12+G12+H12</f>
        <v>0.9707</v>
      </c>
      <c r="K12" s="14" t="n">
        <f aca="false">D12*100/C12</f>
        <v>0.388264635536302</v>
      </c>
      <c r="L12" s="10" t="n">
        <v>1999944</v>
      </c>
      <c r="M12" s="11" t="n">
        <v>7676.82</v>
      </c>
      <c r="N12" s="12" t="n">
        <v>0.9694</v>
      </c>
      <c r="O12" s="12" t="n">
        <v>0.0299</v>
      </c>
      <c r="P12" s="12" t="n">
        <v>0</v>
      </c>
      <c r="Q12" s="12" t="n">
        <v>0.0007</v>
      </c>
      <c r="R12" s="13" t="n">
        <f aca="false">SUM(N12:Q12)</f>
        <v>1</v>
      </c>
      <c r="S12" s="13" t="n">
        <f aca="false">N12+P12+Q12</f>
        <v>0.9701</v>
      </c>
      <c r="T12" s="15" t="n">
        <f aca="false">(J12-S12)*100</f>
        <v>0.0600000000000045</v>
      </c>
      <c r="U12" s="15" t="n">
        <f aca="false">(F12-O12)*100</f>
        <v>-0.06</v>
      </c>
      <c r="V12" s="16" t="n">
        <f aca="false">D12-M12</f>
        <v>107.09</v>
      </c>
      <c r="W12" s="17" t="n">
        <f aca="false">D12/$D$12</f>
        <v>1</v>
      </c>
    </row>
    <row r="13" customFormat="false" ht="15" hidden="false" customHeight="false" outlineLevel="0" collapsed="false">
      <c r="B13" s="9" t="s">
        <v>63</v>
      </c>
      <c r="C13" s="19" t="n">
        <f aca="false">C12-SUM(C7:C11)</f>
        <v>0</v>
      </c>
      <c r="D13" s="16" t="n">
        <f aca="false">D12-SUM(D7:D11)</f>
        <v>-0.0100000000002183</v>
      </c>
      <c r="L13" s="19" t="n">
        <f aca="false">L12-SUM(L7:L11)</f>
        <v>0</v>
      </c>
      <c r="M13" s="16" t="n">
        <f aca="false">M12-SUM(M7:M11)</f>
        <v>0</v>
      </c>
    </row>
    <row r="14" customFormat="false" ht="15" hidden="false" customHeight="false" outlineLevel="0" collapsed="false">
      <c r="B14" s="9" t="s">
        <v>64</v>
      </c>
      <c r="J14" s="15" t="n">
        <f aca="false">(J12-SUMPRODUCT(D7:D11,J7:J11)/D12)*100</f>
        <v>-0.00210953107114831</v>
      </c>
      <c r="S14" s="15" t="n">
        <f aca="false">(S12-SUMPRODUCT(M7:M11,S7:S11)/M12)*100</f>
        <v>-0.00657677267410506</v>
      </c>
    </row>
    <row r="15" customFormat="false" ht="15" hidden="false" customHeight="false" outlineLevel="0" collapsed="false">
      <c r="B15" s="9" t="s">
        <v>65</v>
      </c>
      <c r="D15" s="16" t="n">
        <f aca="false">SUM(D8:D11)</f>
        <v>180.05</v>
      </c>
      <c r="M15" s="16" t="n">
        <f aca="false">SUM(M8:M11)</f>
        <v>170.71</v>
      </c>
      <c r="W15" s="17" t="n">
        <f aca="false">D15/D12</f>
        <v>0.0231310485347338</v>
      </c>
    </row>
    <row r="16" customFormat="false" ht="15" hidden="false" customHeight="false" outlineLevel="0" collapsed="false">
      <c r="B16" s="9" t="s">
        <v>66</v>
      </c>
      <c r="D16" s="16" t="n">
        <f aca="false">SUM(D8:D10)</f>
        <v>109.44</v>
      </c>
      <c r="M16" s="16" t="n">
        <f aca="false">SUM(M8:M10)</f>
        <v>101.4</v>
      </c>
      <c r="W16" s="17" t="n">
        <f aca="false">D16/D12</f>
        <v>0.0140597720168913</v>
      </c>
    </row>
    <row r="17" customFormat="false" ht="15" hidden="false" customHeight="false" outlineLevel="0" collapsed="false">
      <c r="B17" s="9" t="s">
        <v>67</v>
      </c>
      <c r="D17" s="16" t="n">
        <f aca="false">SUMPRODUCT(D8:D10,F8:F10)</f>
        <v>85.080902</v>
      </c>
      <c r="M17" s="16" t="n">
        <f aca="false">SUMPRODUCT(M8:M10,O8:O10)</f>
        <v>77.335258</v>
      </c>
    </row>
    <row r="19" customFormat="false" ht="15" hidden="false" customHeight="false" outlineLevel="0" collapsed="false">
      <c r="A19" s="4" t="s">
        <v>68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customFormat="false" ht="35.05" hidden="false" customHeight="false" outlineLevel="0" collapsed="false">
      <c r="A20" s="8" t="s">
        <v>39</v>
      </c>
      <c r="B20" s="8" t="s">
        <v>69</v>
      </c>
      <c r="C20" s="8" t="s">
        <v>70</v>
      </c>
      <c r="D20" s="8" t="s">
        <v>71</v>
      </c>
      <c r="E20" s="8" t="s">
        <v>72</v>
      </c>
      <c r="F20" s="8" t="s">
        <v>73</v>
      </c>
      <c r="G20" s="8" t="s">
        <v>74</v>
      </c>
      <c r="H20" s="8" t="s">
        <v>75</v>
      </c>
      <c r="I20" s="8" t="s">
        <v>76</v>
      </c>
      <c r="J20" s="8" t="s">
        <v>77</v>
      </c>
      <c r="K20" s="8" t="s">
        <v>78</v>
      </c>
      <c r="L20" s="8" t="s">
        <v>79</v>
      </c>
      <c r="M20" s="8" t="s">
        <v>80</v>
      </c>
      <c r="N20" s="8" t="s">
        <v>81</v>
      </c>
      <c r="O20" s="8" t="s">
        <v>82</v>
      </c>
      <c r="P20" s="8" t="s">
        <v>83</v>
      </c>
    </row>
    <row r="21" customFormat="false" ht="15" hidden="false" customHeight="false" outlineLevel="0" collapsed="false">
      <c r="A21" s="9" t="n">
        <v>1</v>
      </c>
      <c r="B21" s="9" t="s">
        <v>84</v>
      </c>
      <c r="C21" s="12" t="n">
        <v>0.9838</v>
      </c>
      <c r="D21" s="12" t="n">
        <v>0.9826</v>
      </c>
      <c r="E21" s="12" t="n">
        <v>0.9868</v>
      </c>
      <c r="F21" s="12" t="n">
        <v>0.9872</v>
      </c>
      <c r="G21" s="12" t="n">
        <v>0.9872</v>
      </c>
      <c r="H21" s="12" t="n">
        <v>0.988</v>
      </c>
      <c r="I21" s="12" t="n">
        <v>0.9903</v>
      </c>
      <c r="J21" s="12" t="n">
        <v>0.9821</v>
      </c>
      <c r="K21" s="15" t="n">
        <f aca="false">(C21-D21)*100</f>
        <v>0.119999999999998</v>
      </c>
      <c r="L21" s="15" t="n">
        <f aca="false">(C21-J21)*100</f>
        <v>0.170000000000003</v>
      </c>
      <c r="M21" s="13" t="n">
        <f aca="false">AVERAGE(C21:J21)</f>
        <v>0.986</v>
      </c>
      <c r="N21" s="13" t="n">
        <f aca="false">MIN(C21:J21)</f>
        <v>0.9821</v>
      </c>
      <c r="O21" s="13" t="n">
        <f aca="false">MAX(C21:J21)</f>
        <v>0.9903</v>
      </c>
      <c r="P21" s="19" t="n">
        <f aca="false">COUNTIF(D21:J21,"&lt;"&amp;C21)</f>
        <v>2</v>
      </c>
    </row>
    <row r="22" customFormat="false" ht="15" hidden="false" customHeight="false" outlineLevel="0" collapsed="false">
      <c r="A22" s="9" t="n">
        <v>2</v>
      </c>
      <c r="B22" s="9" t="s">
        <v>85</v>
      </c>
      <c r="C22" s="12" t="n">
        <v>0.3733</v>
      </c>
      <c r="D22" s="12" t="n">
        <v>0.4025</v>
      </c>
      <c r="E22" s="12" t="n">
        <v>0.421</v>
      </c>
      <c r="F22" s="12" t="n">
        <v>0.4237</v>
      </c>
      <c r="G22" s="12" t="n">
        <v>0.4509</v>
      </c>
      <c r="H22" s="12" t="n">
        <v>0.495</v>
      </c>
      <c r="I22" s="12" t="n">
        <v>0.5061</v>
      </c>
      <c r="J22" s="12" t="n">
        <v>0.4452</v>
      </c>
      <c r="K22" s="15" t="n">
        <f aca="false">(C22-D22)*100</f>
        <v>-2.92</v>
      </c>
      <c r="L22" s="15" t="n">
        <f aca="false">(C22-J22)*100</f>
        <v>-7.19</v>
      </c>
      <c r="M22" s="13" t="n">
        <f aca="false">AVERAGE(C22:J22)</f>
        <v>0.4397125</v>
      </c>
      <c r="N22" s="13" t="n">
        <f aca="false">MIN(C22:J22)</f>
        <v>0.3733</v>
      </c>
      <c r="O22" s="13" t="n">
        <f aca="false">MAX(C22:J22)</f>
        <v>0.5061</v>
      </c>
      <c r="P22" s="19" t="n">
        <f aca="false">COUNTIF(D22:J22,"&lt;"&amp;C22)</f>
        <v>0</v>
      </c>
    </row>
    <row r="23" customFormat="false" ht="15" hidden="false" customHeight="false" outlineLevel="0" collapsed="false">
      <c r="A23" s="9" t="n">
        <v>3</v>
      </c>
      <c r="B23" s="9" t="s">
        <v>86</v>
      </c>
      <c r="C23" s="12" t="n">
        <v>0.0876</v>
      </c>
      <c r="D23" s="12" t="n">
        <v>0.0945</v>
      </c>
      <c r="E23" s="12" t="n">
        <v>0.1053</v>
      </c>
      <c r="F23" s="12" t="n">
        <v>0.1264</v>
      </c>
      <c r="G23" s="12" t="n">
        <v>0.1433</v>
      </c>
      <c r="H23" s="12" t="n">
        <v>0.1539</v>
      </c>
      <c r="I23" s="12" t="n">
        <v>0.1568</v>
      </c>
      <c r="J23" s="12" t="n">
        <v>0.1518</v>
      </c>
      <c r="K23" s="15" t="n">
        <f aca="false">(C23-D23)*100</f>
        <v>-0.689999999999999</v>
      </c>
      <c r="L23" s="15" t="n">
        <f aca="false">(C23-J23)*100</f>
        <v>-6.42</v>
      </c>
      <c r="M23" s="13" t="n">
        <f aca="false">AVERAGE(C23:J23)</f>
        <v>0.12745</v>
      </c>
      <c r="N23" s="13" t="n">
        <f aca="false">MIN(C23:J23)</f>
        <v>0.0876</v>
      </c>
      <c r="O23" s="13" t="n">
        <f aca="false">MAX(C23:J23)</f>
        <v>0.1568</v>
      </c>
      <c r="P23" s="19" t="n">
        <f aca="false">COUNTIF(D23:J23,"&lt;"&amp;C23)</f>
        <v>0</v>
      </c>
    </row>
    <row r="24" customFormat="false" ht="15" hidden="false" customHeight="false" outlineLevel="0" collapsed="false">
      <c r="A24" s="9" t="n">
        <v>4</v>
      </c>
      <c r="B24" s="9" t="s">
        <v>87</v>
      </c>
      <c r="C24" s="12" t="n">
        <v>0.0378</v>
      </c>
      <c r="D24" s="12" t="n">
        <v>0.0484</v>
      </c>
      <c r="E24" s="12" t="n">
        <v>0.0227</v>
      </c>
      <c r="F24" s="12" t="n">
        <v>0.0747</v>
      </c>
      <c r="G24" s="12" t="n">
        <v>0.0389</v>
      </c>
      <c r="H24" s="12" t="n">
        <v>0.0343</v>
      </c>
      <c r="I24" s="12" t="n">
        <v>0.0616</v>
      </c>
      <c r="J24" s="12" t="n">
        <v>0.0489</v>
      </c>
      <c r="K24" s="15" t="n">
        <f aca="false">(C24-D24)*100</f>
        <v>-1.06</v>
      </c>
      <c r="L24" s="15" t="n">
        <f aca="false">(C24-J24)*100</f>
        <v>-1.11</v>
      </c>
      <c r="M24" s="13" t="n">
        <f aca="false">AVERAGE(C24:J24)</f>
        <v>0.0459125</v>
      </c>
      <c r="N24" s="13" t="n">
        <f aca="false">MIN(C24:J24)</f>
        <v>0.0227</v>
      </c>
      <c r="O24" s="13" t="n">
        <f aca="false">MAX(C24:J24)</f>
        <v>0.0747</v>
      </c>
      <c r="P24" s="19" t="n">
        <f aca="false">COUNTIF(D24:J24,"&lt;"&amp;C24)</f>
        <v>2</v>
      </c>
    </row>
    <row r="25" customFormat="false" ht="15" hidden="false" customHeight="false" outlineLevel="0" collapsed="false">
      <c r="B25" s="9" t="s">
        <v>88</v>
      </c>
      <c r="C25" s="15" t="n">
        <f aca="false">(C21-J7)*100</f>
        <v>0</v>
      </c>
      <c r="D25" s="15" t="n">
        <f aca="false">(C22-J8)*100</f>
        <v>0</v>
      </c>
      <c r="E25" s="15" t="n">
        <f aca="false">(C23-J9)*100</f>
        <v>0</v>
      </c>
      <c r="F25" s="15" t="n">
        <f aca="false">(C24-J10)*100</f>
        <v>0</v>
      </c>
    </row>
    <row r="27" customFormat="false" ht="15" hidden="false" customHeight="false" outlineLevel="0" collapsed="false">
      <c r="A27" s="4" t="s">
        <v>89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customFormat="false" ht="23.85" hidden="false" customHeight="false" outlineLevel="0" collapsed="false">
      <c r="A28" s="8" t="s">
        <v>39</v>
      </c>
      <c r="B28" s="8" t="s">
        <v>90</v>
      </c>
      <c r="C28" s="8" t="s">
        <v>91</v>
      </c>
      <c r="D28" s="8" t="s">
        <v>92</v>
      </c>
      <c r="E28" s="8" t="s">
        <v>93</v>
      </c>
      <c r="F28" s="8" t="s">
        <v>94</v>
      </c>
      <c r="G28" s="8" t="s">
        <v>92</v>
      </c>
      <c r="H28" s="8" t="s">
        <v>93</v>
      </c>
      <c r="I28" s="8" t="s">
        <v>95</v>
      </c>
      <c r="J28" s="8" t="s">
        <v>92</v>
      </c>
      <c r="K28" s="8" t="s">
        <v>93</v>
      </c>
      <c r="L28" s="8" t="s">
        <v>96</v>
      </c>
      <c r="M28" s="8" t="s">
        <v>92</v>
      </c>
      <c r="N28" s="8" t="s">
        <v>93</v>
      </c>
      <c r="O28" s="8" t="s">
        <v>97</v>
      </c>
      <c r="P28" s="8" t="s">
        <v>98</v>
      </c>
      <c r="Q28" s="8" t="s">
        <v>99</v>
      </c>
      <c r="R28" s="8" t="s">
        <v>100</v>
      </c>
      <c r="S28" s="8" t="s">
        <v>101</v>
      </c>
      <c r="T28" s="8" t="s">
        <v>102</v>
      </c>
      <c r="U28" s="8" t="s">
        <v>103</v>
      </c>
    </row>
    <row r="29" customFormat="false" ht="15" hidden="false" customHeight="false" outlineLevel="0" collapsed="false">
      <c r="A29" s="9" t="n">
        <v>1</v>
      </c>
      <c r="B29" s="18" t="s">
        <v>104</v>
      </c>
      <c r="C29" s="12" t="n">
        <v>0.9841</v>
      </c>
      <c r="D29" s="12" t="n">
        <v>0.993</v>
      </c>
      <c r="E29" s="15" t="n">
        <f aca="false">(C29-D29)*100</f>
        <v>-0.890000000000002</v>
      </c>
      <c r="F29" s="12" t="n">
        <v>0.3759</v>
      </c>
      <c r="G29" s="12" t="n">
        <v>0.5</v>
      </c>
      <c r="H29" s="15" t="n">
        <f aca="false">(F29-G29)*100</f>
        <v>-12.41</v>
      </c>
      <c r="I29" s="12" t="n">
        <v>0.0833</v>
      </c>
      <c r="J29" s="12" t="n">
        <v>0.2</v>
      </c>
      <c r="K29" s="15" t="n">
        <f aca="false">(I29-J29)*100</f>
        <v>-11.67</v>
      </c>
      <c r="L29" s="12" t="n">
        <v>0.035</v>
      </c>
      <c r="M29" s="12" t="n">
        <v>0.035</v>
      </c>
      <c r="N29" s="15" t="n">
        <f aca="false">(L29-M29)*100</f>
        <v>0</v>
      </c>
      <c r="O29" s="12" t="n">
        <v>0.9827</v>
      </c>
      <c r="P29" s="12" t="n">
        <v>0.4021</v>
      </c>
      <c r="Q29" s="12" t="n">
        <v>0.0909</v>
      </c>
      <c r="R29" s="12" t="n">
        <v>0.045</v>
      </c>
      <c r="S29" s="15" t="n">
        <f aca="false">(F29-P29)*100</f>
        <v>-2.62</v>
      </c>
      <c r="T29" s="15" t="n">
        <f aca="false">(I29-Q29)*100</f>
        <v>-0.76</v>
      </c>
      <c r="U29" s="19" t="n">
        <f aca="false">(C29&gt;=D29)+(F29&gt;=G29)+(I29&gt;=J29)+(L29&gt;=M29)</f>
        <v>1</v>
      </c>
    </row>
    <row r="30" customFormat="false" ht="15" hidden="false" customHeight="false" outlineLevel="0" collapsed="false">
      <c r="A30" s="9" t="n">
        <v>2</v>
      </c>
      <c r="B30" s="18" t="s">
        <v>105</v>
      </c>
      <c r="C30" s="12" t="n">
        <v>0.984</v>
      </c>
      <c r="D30" s="12" t="n">
        <v>0.993</v>
      </c>
      <c r="E30" s="15" t="n">
        <f aca="false">(C30-D30)*100</f>
        <v>-0.89999999999999</v>
      </c>
      <c r="F30" s="12" t="n">
        <v>0.3785</v>
      </c>
      <c r="G30" s="12" t="n">
        <v>0.5</v>
      </c>
      <c r="H30" s="15" t="n">
        <f aca="false">(F30-G30)*100</f>
        <v>-12.15</v>
      </c>
      <c r="I30" s="12" t="n">
        <v>0.1595</v>
      </c>
      <c r="J30" s="12" t="n">
        <v>0.25</v>
      </c>
      <c r="K30" s="15" t="n">
        <f aca="false">(I30-J30)*100</f>
        <v>-9.05</v>
      </c>
      <c r="L30" s="12" t="n">
        <v>0.1234</v>
      </c>
      <c r="M30" s="12" t="n">
        <v>0.035</v>
      </c>
      <c r="N30" s="15" t="n">
        <f aca="false">(L30-M30)*100</f>
        <v>8.84</v>
      </c>
      <c r="O30" s="12" t="n">
        <v>0.9881</v>
      </c>
      <c r="P30" s="12" t="n">
        <v>0.3979</v>
      </c>
      <c r="Q30" s="12" t="n">
        <v>0.1482</v>
      </c>
      <c r="R30" s="12" t="n">
        <v>0.1618</v>
      </c>
      <c r="S30" s="15" t="n">
        <f aca="false">(F30-P30)*100</f>
        <v>-1.94</v>
      </c>
      <c r="T30" s="15" t="n">
        <f aca="false">(I30-Q30)*100</f>
        <v>1.13</v>
      </c>
      <c r="U30" s="19" t="n">
        <f aca="false">(C30&gt;=D30)+(F30&gt;=G30)+(I30&gt;=J30)+(L30&gt;=M30)</f>
        <v>1</v>
      </c>
    </row>
    <row r="31" customFormat="false" ht="15" hidden="false" customHeight="false" outlineLevel="0" collapsed="false">
      <c r="A31" s="9" t="n">
        <v>3</v>
      </c>
      <c r="B31" s="18" t="s">
        <v>106</v>
      </c>
      <c r="C31" s="12" t="n">
        <v>0.9793</v>
      </c>
      <c r="D31" s="12" t="n">
        <v>0.993</v>
      </c>
      <c r="E31" s="15" t="n">
        <f aca="false">(C31-D31)*100</f>
        <v>-1.36999999999999</v>
      </c>
      <c r="F31" s="12" t="n">
        <v>0.3234</v>
      </c>
      <c r="G31" s="12" t="n">
        <v>0.5</v>
      </c>
      <c r="H31" s="15" t="n">
        <f aca="false">(F31-G31)*100</f>
        <v>-17.66</v>
      </c>
      <c r="I31" s="12" t="n">
        <v>0.1348</v>
      </c>
      <c r="J31" s="12" t="n">
        <v>0.25</v>
      </c>
      <c r="K31" s="15" t="n">
        <f aca="false">(I31-J31)*100</f>
        <v>-11.52</v>
      </c>
      <c r="L31" s="12" t="n">
        <v>0.046</v>
      </c>
      <c r="M31" s="12" t="n">
        <v>0.035</v>
      </c>
      <c r="N31" s="15" t="n">
        <f aca="false">(L31-M31)*100</f>
        <v>1.1</v>
      </c>
      <c r="O31" s="12" t="n">
        <v>0.9778</v>
      </c>
      <c r="P31" s="12" t="n">
        <v>0.4121</v>
      </c>
      <c r="Q31" s="12" t="n">
        <v>0.127</v>
      </c>
      <c r="R31" s="12" t="n">
        <v>0.0576</v>
      </c>
      <c r="S31" s="15" t="n">
        <f aca="false">(F31-P31)*100</f>
        <v>-8.87</v>
      </c>
      <c r="T31" s="15" t="n">
        <f aca="false">(I31-Q31)*100</f>
        <v>0.78</v>
      </c>
      <c r="U31" s="19" t="n">
        <f aca="false">(C31&gt;=D31)+(F31&gt;=G31)+(I31&gt;=J31)+(L31&gt;=M31)</f>
        <v>1</v>
      </c>
    </row>
    <row r="34" customFormat="false" ht="15" hidden="false" customHeight="false" outlineLevel="0" collapsed="false">
      <c r="A34" s="4" t="s">
        <v>107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customFormat="false" ht="23.85" hidden="false" customHeight="false" outlineLevel="0" collapsed="false">
      <c r="A35" s="8" t="s">
        <v>39</v>
      </c>
      <c r="B35" s="8" t="s">
        <v>108</v>
      </c>
      <c r="C35" s="8" t="s">
        <v>109</v>
      </c>
      <c r="D35" s="8" t="s">
        <v>110</v>
      </c>
      <c r="E35" s="8" t="s">
        <v>111</v>
      </c>
    </row>
    <row r="36" customFormat="false" ht="135.8" hidden="false" customHeight="false" outlineLevel="0" collapsed="false">
      <c r="A36" s="9" t="n">
        <v>1</v>
      </c>
      <c r="B36" s="20" t="s">
        <v>112</v>
      </c>
      <c r="C36" s="15" t="n">
        <f aca="false">(C22-I22)*100</f>
        <v>-13.28</v>
      </c>
      <c r="D36" s="9" t="s">
        <v>113</v>
      </c>
      <c r="E36" s="21" t="s">
        <v>114</v>
      </c>
    </row>
    <row r="37" customFormat="false" ht="57.45" hidden="false" customHeight="false" outlineLevel="0" collapsed="false">
      <c r="A37" s="9" t="n">
        <v>2</v>
      </c>
      <c r="B37" s="20" t="s">
        <v>115</v>
      </c>
      <c r="C37" s="13" t="n">
        <f aca="false">F9</f>
        <v>0.9124</v>
      </c>
      <c r="D37" s="9" t="s">
        <v>116</v>
      </c>
      <c r="E37" s="21" t="s">
        <v>117</v>
      </c>
    </row>
    <row r="38" customFormat="false" ht="57.45" hidden="false" customHeight="false" outlineLevel="0" collapsed="false">
      <c r="A38" s="9" t="n">
        <v>3</v>
      </c>
      <c r="B38" s="20" t="s">
        <v>118</v>
      </c>
      <c r="C38" s="15" t="n">
        <f aca="false">H29</f>
        <v>-12.41</v>
      </c>
      <c r="D38" s="9" t="s">
        <v>113</v>
      </c>
      <c r="E38" s="21" t="s">
        <v>119</v>
      </c>
    </row>
    <row r="39" customFormat="false" ht="79.85" hidden="false" customHeight="false" outlineLevel="0" collapsed="false">
      <c r="A39" s="9" t="n">
        <v>4</v>
      </c>
      <c r="B39" s="20" t="s">
        <v>120</v>
      </c>
      <c r="C39" s="17" t="n">
        <f aca="false">W15</f>
        <v>0.0231310485347338</v>
      </c>
      <c r="D39" s="9" t="s">
        <v>116</v>
      </c>
      <c r="E39" s="21" t="s">
        <v>121</v>
      </c>
    </row>
    <row r="40" customFormat="false" ht="35.05" hidden="false" customHeight="false" outlineLevel="0" collapsed="false">
      <c r="A40" s="9" t="n">
        <v>5</v>
      </c>
      <c r="B40" s="20" t="s">
        <v>122</v>
      </c>
      <c r="C40" s="15" t="n">
        <f aca="false">MAX(ABS(I7-1),ABS(I8-1),ABS(I9-1),ABS(I10-1),ABS(I11-1),ABS(I12-1))*100</f>
        <v>0</v>
      </c>
      <c r="D40" s="9" t="s">
        <v>113</v>
      </c>
      <c r="E40" s="21" t="s">
        <v>123</v>
      </c>
    </row>
    <row r="41" customFormat="false" ht="23.85" hidden="false" customHeight="false" outlineLevel="0" collapsed="false">
      <c r="A41" s="9" t="n">
        <v>6</v>
      </c>
      <c r="B41" s="20" t="s">
        <v>124</v>
      </c>
      <c r="C41" s="15" t="n">
        <f aca="false">MAX(ABS(C25),ABS(D25),ABS(E25),ABS(F25))</f>
        <v>0</v>
      </c>
      <c r="D41" s="9" t="s">
        <v>113</v>
      </c>
      <c r="E41" s="21" t="s">
        <v>125</v>
      </c>
    </row>
    <row r="43" customFormat="false" ht="15" hidden="false" customHeight="false" outlineLevel="0" collapsed="false">
      <c r="A43" s="4" t="s">
        <v>126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5" customFormat="false" ht="15" hidden="false" customHeight="false" outlineLevel="0" collapsed="false">
      <c r="A45" s="4" t="s">
        <v>127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customFormat="false" ht="35.05" hidden="false" customHeight="false" outlineLevel="0" collapsed="false">
      <c r="A46" s="8" t="s">
        <v>39</v>
      </c>
      <c r="B46" s="8" t="s">
        <v>128</v>
      </c>
      <c r="C46" s="8" t="s">
        <v>129</v>
      </c>
      <c r="D46" s="8" t="s">
        <v>130</v>
      </c>
      <c r="E46" s="8" t="s">
        <v>131</v>
      </c>
      <c r="F46" s="8" t="s">
        <v>110</v>
      </c>
      <c r="G46" s="8" t="s">
        <v>132</v>
      </c>
    </row>
    <row r="47" customFormat="false" ht="68.65" hidden="false" customHeight="false" outlineLevel="0" collapsed="false">
      <c r="A47" s="9" t="n">
        <v>1</v>
      </c>
      <c r="B47" s="18" t="s">
        <v>133</v>
      </c>
      <c r="C47" s="21" t="s">
        <v>134</v>
      </c>
      <c r="D47" s="21" t="s">
        <v>135</v>
      </c>
      <c r="E47" s="16" t="n">
        <f aca="false">D8</f>
        <v>55.96</v>
      </c>
      <c r="F47" s="9" t="s">
        <v>136</v>
      </c>
      <c r="G47" s="21"/>
    </row>
    <row r="48" customFormat="false" ht="68.65" hidden="false" customHeight="false" outlineLevel="0" collapsed="false">
      <c r="A48" s="9" t="n">
        <v>2</v>
      </c>
      <c r="B48" s="18" t="s">
        <v>133</v>
      </c>
      <c r="C48" s="21" t="s">
        <v>137</v>
      </c>
      <c r="D48" s="21" t="s">
        <v>135</v>
      </c>
      <c r="E48" s="13" t="n">
        <f aca="false">C22</f>
        <v>0.3733</v>
      </c>
      <c r="F48" s="9" t="s">
        <v>116</v>
      </c>
      <c r="G48" s="21"/>
    </row>
    <row r="49" customFormat="false" ht="68.65" hidden="false" customHeight="false" outlineLevel="0" collapsed="false">
      <c r="A49" s="9" t="n">
        <v>3</v>
      </c>
      <c r="B49" s="18" t="s">
        <v>133</v>
      </c>
      <c r="C49" s="21" t="s">
        <v>138</v>
      </c>
      <c r="D49" s="21" t="s">
        <v>135</v>
      </c>
      <c r="E49" s="13" t="n">
        <f aca="false">C31</f>
        <v>0.9793</v>
      </c>
      <c r="F49" s="9" t="s">
        <v>116</v>
      </c>
      <c r="G49" s="21"/>
    </row>
    <row r="50" customFormat="false" ht="57.45" hidden="false" customHeight="false" outlineLevel="0" collapsed="false">
      <c r="A50" s="9" t="n">
        <v>4</v>
      </c>
      <c r="B50" s="18" t="s">
        <v>139</v>
      </c>
      <c r="C50" s="21" t="s">
        <v>140</v>
      </c>
      <c r="D50" s="21" t="s">
        <v>141</v>
      </c>
      <c r="E50" s="15" t="n">
        <f aca="false">L22</f>
        <v>-7.19</v>
      </c>
      <c r="F50" s="9" t="s">
        <v>113</v>
      </c>
      <c r="G50" s="21"/>
    </row>
    <row r="51" customFormat="false" ht="91" hidden="false" customHeight="false" outlineLevel="0" collapsed="false">
      <c r="A51" s="9" t="n">
        <v>5</v>
      </c>
      <c r="B51" s="18" t="s">
        <v>139</v>
      </c>
      <c r="C51" s="21" t="s">
        <v>142</v>
      </c>
      <c r="D51" s="21" t="s">
        <v>143</v>
      </c>
      <c r="E51" s="13" t="n">
        <f aca="false">SUMPRODUCT(D8:D11,J8:J11)/D15</f>
        <v>0.418318994723688</v>
      </c>
      <c r="F51" s="9" t="s">
        <v>116</v>
      </c>
      <c r="G51" s="21"/>
    </row>
    <row r="52" customFormat="false" ht="79.85" hidden="false" customHeight="false" outlineLevel="0" collapsed="false">
      <c r="A52" s="9" t="n">
        <v>6</v>
      </c>
      <c r="B52" s="18" t="s">
        <v>139</v>
      </c>
      <c r="C52" s="21" t="s">
        <v>144</v>
      </c>
      <c r="D52" s="21" t="s">
        <v>145</v>
      </c>
      <c r="E52" s="16" t="n">
        <f aca="false">D17</f>
        <v>85.080902</v>
      </c>
      <c r="F52" s="9" t="s">
        <v>136</v>
      </c>
      <c r="G52" s="21"/>
    </row>
    <row r="53" customFormat="false" ht="91" hidden="false" customHeight="false" outlineLevel="0" collapsed="false">
      <c r="A53" s="9" t="n">
        <v>7</v>
      </c>
      <c r="B53" s="18" t="s">
        <v>139</v>
      </c>
      <c r="C53" s="21" t="s">
        <v>146</v>
      </c>
      <c r="D53" s="21" t="s">
        <v>147</v>
      </c>
      <c r="E53" s="15" t="n">
        <f aca="false">(MAX(F29:F31)-MIN(F29:F31))*100</f>
        <v>5.51</v>
      </c>
      <c r="F53" s="9" t="s">
        <v>113</v>
      </c>
      <c r="G53" s="21"/>
    </row>
    <row r="54" customFormat="false" ht="91" hidden="false" customHeight="false" outlineLevel="0" collapsed="false">
      <c r="A54" s="9" t="n">
        <v>8</v>
      </c>
      <c r="B54" s="18" t="s">
        <v>148</v>
      </c>
      <c r="C54" s="21" t="s">
        <v>149</v>
      </c>
      <c r="D54" s="21" t="s">
        <v>150</v>
      </c>
      <c r="E54" s="15" t="n">
        <f aca="false">(E8-N8)*100</f>
        <v>-3.2</v>
      </c>
      <c r="F54" s="9" t="s">
        <v>113</v>
      </c>
      <c r="G54" s="21" t="s">
        <v>151</v>
      </c>
    </row>
    <row r="55" customFormat="false" ht="113.4" hidden="false" customHeight="false" outlineLevel="0" collapsed="false">
      <c r="A55" s="9" t="n">
        <v>9</v>
      </c>
      <c r="B55" s="18" t="s">
        <v>148</v>
      </c>
      <c r="C55" s="21" t="s">
        <v>152</v>
      </c>
      <c r="D55" s="21" t="s">
        <v>153</v>
      </c>
      <c r="E55" s="16" t="n">
        <f aca="false">D8*(J22-C22)</f>
        <v>4.023524</v>
      </c>
      <c r="F55" s="9" t="s">
        <v>136</v>
      </c>
      <c r="G55" s="21" t="s">
        <v>154</v>
      </c>
    </row>
    <row r="56" customFormat="false" ht="79.85" hidden="false" customHeight="false" outlineLevel="0" collapsed="false">
      <c r="A56" s="9" t="n">
        <v>10</v>
      </c>
      <c r="B56" s="18" t="s">
        <v>148</v>
      </c>
      <c r="C56" s="21" t="s">
        <v>155</v>
      </c>
      <c r="D56" s="21" t="s">
        <v>156</v>
      </c>
      <c r="E56" s="15" t="n">
        <f aca="false">J14</f>
        <v>-0.00210953107114831</v>
      </c>
      <c r="F56" s="9" t="s">
        <v>113</v>
      </c>
      <c r="G56" s="21" t="s">
        <v>157</v>
      </c>
    </row>
    <row r="58" customFormat="false" ht="15" hidden="false" customHeight="false" outlineLevel="0" collapsed="false">
      <c r="A58" s="4" t="s">
        <v>158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customFormat="false" ht="69.75" hidden="false" customHeight="true" outlineLevel="0" collapsed="false">
      <c r="A59" s="22" t="s">
        <v>159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</row>
    <row r="61" customFormat="false" ht="15" hidden="false" customHeight="false" outlineLevel="0" collapsed="false">
      <c r="A61" s="3" t="s">
        <v>2</v>
      </c>
    </row>
  </sheetData>
  <mergeCells count="1">
    <mergeCell ref="A59:T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2" t="s">
        <v>161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162</v>
      </c>
      <c r="B5" s="5"/>
      <c r="C5" s="5"/>
      <c r="D5" s="5"/>
      <c r="E5" s="5"/>
      <c r="F5" s="5"/>
    </row>
    <row r="6" customFormat="false" ht="15" hidden="false" customHeight="false" outlineLevel="0" collapsed="false">
      <c r="B6" s="23" t="s">
        <v>163</v>
      </c>
      <c r="C6" s="23" t="s">
        <v>164</v>
      </c>
      <c r="D6" s="23"/>
      <c r="E6" s="23"/>
      <c r="F6" s="23"/>
    </row>
    <row r="7" customFormat="false" ht="15" hidden="false" customHeight="true" outlineLevel="0" collapsed="false">
      <c r="B7" s="18" t="s">
        <v>165</v>
      </c>
      <c r="C7" s="21" t="s">
        <v>166</v>
      </c>
      <c r="D7" s="21"/>
      <c r="E7" s="21"/>
      <c r="F7" s="21"/>
    </row>
    <row r="8" customFormat="false" ht="15" hidden="false" customHeight="true" outlineLevel="0" collapsed="false">
      <c r="B8" s="18" t="s">
        <v>167</v>
      </c>
      <c r="C8" s="21" t="s">
        <v>168</v>
      </c>
      <c r="D8" s="21"/>
      <c r="E8" s="21"/>
      <c r="F8" s="21"/>
    </row>
    <row r="9" customFormat="false" ht="15" hidden="false" customHeight="true" outlineLevel="0" collapsed="false">
      <c r="B9" s="18" t="s">
        <v>169</v>
      </c>
      <c r="C9" s="21" t="s">
        <v>170</v>
      </c>
      <c r="D9" s="21"/>
      <c r="E9" s="21"/>
      <c r="F9" s="21"/>
    </row>
    <row r="10" customFormat="false" ht="15" hidden="false" customHeight="true" outlineLevel="0" collapsed="false">
      <c r="B10" s="18" t="s">
        <v>171</v>
      </c>
      <c r="C10" s="21" t="s">
        <v>172</v>
      </c>
      <c r="D10" s="21"/>
      <c r="E10" s="21"/>
      <c r="F10" s="21"/>
    </row>
    <row r="11" customFormat="false" ht="15" hidden="false" customHeight="true" outlineLevel="0" collapsed="false">
      <c r="B11" s="18" t="s">
        <v>173</v>
      </c>
      <c r="C11" s="21" t="s">
        <v>174</v>
      </c>
      <c r="D11" s="21"/>
      <c r="E11" s="21"/>
      <c r="F11" s="21"/>
    </row>
    <row r="12" customFormat="false" ht="15" hidden="false" customHeight="true" outlineLevel="0" collapsed="false">
      <c r="B12" s="18" t="s">
        <v>175</v>
      </c>
      <c r="C12" s="21" t="s">
        <v>176</v>
      </c>
      <c r="D12" s="21"/>
      <c r="E12" s="21"/>
      <c r="F12" s="21"/>
    </row>
    <row r="13" customFormat="false" ht="15" hidden="false" customHeight="true" outlineLevel="0" collapsed="false">
      <c r="B13" s="18" t="s">
        <v>177</v>
      </c>
      <c r="C13" s="21" t="s">
        <v>178</v>
      </c>
      <c r="D13" s="21"/>
      <c r="E13" s="21"/>
      <c r="F13" s="21"/>
    </row>
    <row r="14" customFormat="false" ht="15" hidden="false" customHeight="true" outlineLevel="0" collapsed="false">
      <c r="B14" s="18" t="s">
        <v>179</v>
      </c>
      <c r="C14" s="21" t="s">
        <v>180</v>
      </c>
      <c r="D14" s="21"/>
      <c r="E14" s="21"/>
      <c r="F14" s="21"/>
    </row>
    <row r="15" customFormat="false" ht="15" hidden="false" customHeight="true" outlineLevel="0" collapsed="false">
      <c r="B15" s="18" t="s">
        <v>181</v>
      </c>
      <c r="C15" s="21" t="s">
        <v>182</v>
      </c>
      <c r="D15" s="21"/>
      <c r="E15" s="21"/>
      <c r="F15" s="21"/>
    </row>
    <row r="16" customFormat="false" ht="15" hidden="false" customHeight="false" outlineLevel="0" collapsed="false">
      <c r="B16" s="24" t="s">
        <v>183</v>
      </c>
    </row>
    <row r="18" customFormat="false" ht="15" hidden="false" customHeight="false" outlineLevel="0" collapsed="false">
      <c r="A18" s="4" t="s">
        <v>184</v>
      </c>
      <c r="B18" s="5"/>
      <c r="C18" s="5"/>
      <c r="D18" s="5"/>
      <c r="E18" s="5"/>
      <c r="F18" s="5"/>
    </row>
    <row r="19" customFormat="false" ht="15" hidden="false" customHeight="false" outlineLevel="0" collapsed="false">
      <c r="A19" s="8" t="s">
        <v>39</v>
      </c>
      <c r="B19" s="8" t="s">
        <v>185</v>
      </c>
      <c r="C19" s="8" t="s">
        <v>186</v>
      </c>
      <c r="D19" s="8" t="s">
        <v>187</v>
      </c>
      <c r="E19" s="8" t="s">
        <v>188</v>
      </c>
      <c r="F19" s="8" t="s">
        <v>189</v>
      </c>
    </row>
    <row r="20" customFormat="false" ht="15" hidden="false" customHeight="false" outlineLevel="0" collapsed="false">
      <c r="A20" s="9" t="n">
        <v>1</v>
      </c>
      <c r="B20" s="21" t="s">
        <v>190</v>
      </c>
      <c r="C20" s="21" t="s">
        <v>191</v>
      </c>
      <c r="D20" s="21" t="s">
        <v>192</v>
      </c>
      <c r="E20" s="21" t="s">
        <v>193</v>
      </c>
      <c r="F20" s="25" t="str">
        <f aca="false">"MTD "&amp;TEXT(B1_SMA_Pool!D7,"#,##0.00;-#,##0.00;0.00")&amp;" / "&amp;TEXT(B1_SMA_Pool!D8,"#,##0.00;-#,##0.00;0.00")&amp;" / "&amp;TEXT(B1_SMA_Pool!D9,"#,##0.00;-#,##0.00;0.00")&amp;" / "&amp;TEXT(B1_SMA_Pool!D10,"#,##0.00;-#,##0.00;0.00")&amp;" / "&amp;TEXT(B1_SMA_Pool!D11,"#,##0.00;-#,##0.00;0.00")&amp;" / "&amp;TEXT(B1_SMA_Pool!D12,"#,##0.00;-#,##0.00;0.00")</f>
        <v>MTD 7,603.87 / 55.96 / 29.07 / 24.41 / 70.61 / 7,783.91</v>
      </c>
    </row>
    <row r="21" customFormat="false" ht="15" hidden="false" customHeight="false" outlineLevel="0" collapsed="false">
      <c r="A21" s="9" t="n">
        <v>2</v>
      </c>
      <c r="B21" s="21" t="s">
        <v>190</v>
      </c>
      <c r="C21" s="21" t="s">
        <v>194</v>
      </c>
      <c r="D21" s="21" t="s">
        <v>169</v>
      </c>
      <c r="E21" s="21" t="s">
        <v>195</v>
      </c>
      <c r="F21" s="25" t="str">
        <f aca="false">"SMA0 MTD "&amp;TEXT(B1_SMA_Pool!E8,"0.00%")&amp;" / "&amp;TEXT(B1_SMA_Pool!F8,"0.00%")&amp;" / "&amp;TEXT(B1_SMA_Pool!G8,"0.00%")&amp;" / "&amp;TEXT(B1_SMA_Pool!H8,"0.00%")</f>
        <v>SMA0 MTD 29.34% / 62.67% / 0.00% / 7.99%</v>
      </c>
    </row>
    <row r="22" customFormat="false" ht="15" hidden="false" customHeight="false" outlineLevel="0" collapsed="false">
      <c r="A22" s="9" t="n">
        <v>3</v>
      </c>
      <c r="B22" s="21" t="s">
        <v>190</v>
      </c>
      <c r="C22" s="21" t="s">
        <v>196</v>
      </c>
      <c r="D22" s="21" t="s">
        <v>175</v>
      </c>
      <c r="E22" s="21" t="s">
        <v>197</v>
      </c>
      <c r="F22" s="25" t="str">
        <f aca="false">"SMA0 Jan → Aug "&amp;TEXT(B1_SMA_Pool!J22,"0.00%")&amp;" / "&amp;TEXT(B1_SMA_Pool!I22,"0.00%")&amp;" / "&amp;TEXT(B1_SMA_Pool!H22,"0.00%")&amp;" / "&amp;TEXT(B1_SMA_Pool!G22,"0.00%")&amp;" / "&amp;TEXT(B1_SMA_Pool!F22,"0.00%")&amp;" / "&amp;TEXT(B1_SMA_Pool!E22,"0.00%")&amp;" / "&amp;TEXT(B1_SMA_Pool!D22,"0.00%")&amp;" / "&amp;TEXT(B1_SMA_Pool!C22,"0.00%")</f>
        <v>SMA0 Jan → Aug 44.52% / 50.61% / 49.50% / 45.09% / 42.37% / 42.10% / 40.25% / 37.33%</v>
      </c>
    </row>
    <row r="23" customFormat="false" ht="15" hidden="false" customHeight="false" outlineLevel="0" collapsed="false">
      <c r="A23" s="9" t="n">
        <v>4</v>
      </c>
      <c r="B23" s="21" t="s">
        <v>190</v>
      </c>
      <c r="C23" s="21" t="s">
        <v>198</v>
      </c>
      <c r="D23" s="21" t="s">
        <v>177</v>
      </c>
      <c r="E23" s="21" t="s">
        <v>199</v>
      </c>
      <c r="F23" s="25" t="str">
        <f aca="false">"SMA0 MTD "&amp;TEXT(B1_SMA_Pool!F29,"0.00%")&amp;" / "&amp;TEXT(B1_SMA_Pool!F30,"0.00%")&amp;" / "&amp;TEXT(B1_SMA_Pool!F31,"0.00%")&amp;" vs target "&amp;TEXT(B1_SMA_Pool!G29,"0.00%")</f>
        <v>SMA0 MTD 37.59% / 37.85% / 32.34% vs target 50.00%</v>
      </c>
    </row>
    <row r="24" customFormat="false" ht="15" hidden="false" customHeight="false" outlineLevel="0" collapsed="false">
      <c r="A24" s="9" t="n">
        <v>5</v>
      </c>
      <c r="B24" s="21" t="s">
        <v>200</v>
      </c>
      <c r="C24" s="21" t="s">
        <v>201</v>
      </c>
      <c r="D24" s="21" t="s">
        <v>202</v>
      </c>
      <c r="E24" s="21" t="s">
        <v>203</v>
      </c>
      <c r="F24" s="25" t="str">
        <f aca="false">"max dev "&amp;TEXT(MAX(ABS(B1_SMA_Pool!I7-1),ABS(B1_SMA_Pool!I8-1),ABS(B1_SMA_Pool!I9-1),ABS(B1_SMA_Pool!I10-1),ABS(B1_SMA_Pool!I11-1),ABS(B1_SMA_Pool!I12-1))*100,"+0.0"" pp"";-0.0"" pp"";0.0"" pp""")</f>
        <v>max dev 0.0 pp</v>
      </c>
    </row>
    <row r="25" customFormat="false" ht="15" hidden="false" customHeight="false" outlineLevel="0" collapsed="false">
      <c r="A25" s="9" t="n">
        <v>6</v>
      </c>
      <c r="B25" s="21" t="s">
        <v>200</v>
      </c>
      <c r="C25" s="21" t="s">
        <v>204</v>
      </c>
      <c r="D25" s="21" t="s">
        <v>205</v>
      </c>
      <c r="E25" s="21" t="s">
        <v>206</v>
      </c>
      <c r="F25" s="25" t="str">
        <f aca="false">"MTD "&amp;TEXT(B1_SMA_Pool!C13,"#,##0")&amp;" / "&amp;TEXT(B1_SMA_Pool!D13,"#,##0.00;-#,##0.00;0.00")&amp;"; STLM "&amp;TEXT(B1_SMA_Pool!L13,"#,##0")&amp;" / "&amp;TEXT(B1_SMA_Pool!M13,"#,##0.00;-#,##0.00;0.00")</f>
        <v>MTD 0 / -0.01; STLM 0 / 0.00</v>
      </c>
    </row>
    <row r="26" customFormat="false" ht="15" hidden="false" customHeight="false" outlineLevel="0" collapsed="false">
      <c r="A26" s="9" t="n">
        <v>7</v>
      </c>
      <c r="B26" s="21" t="s">
        <v>200</v>
      </c>
      <c r="C26" s="21" t="s">
        <v>207</v>
      </c>
      <c r="D26" s="21" t="s">
        <v>208</v>
      </c>
      <c r="E26" s="21" t="s">
        <v>206</v>
      </c>
      <c r="F26" s="25" t="str">
        <f aca="false">TEXT(B1_SMA_Pool!J14,"+0.0"" pp"";-0.0"" pp"";0.0"" pp""")&amp;" / "&amp;TEXT(B1_SMA_Pool!S14,"+0.0"" pp"";-0.0"" pp"";0.0"" pp""")</f>
        <v>-0.0 pp / -0.0 pp</v>
      </c>
    </row>
    <row r="27" customFormat="false" ht="15" hidden="false" customHeight="false" outlineLevel="0" collapsed="false">
      <c r="A27" s="9" t="n">
        <v>8</v>
      </c>
      <c r="B27" s="21" t="s">
        <v>200</v>
      </c>
      <c r="C27" s="21" t="s">
        <v>209</v>
      </c>
      <c r="D27" s="21" t="s">
        <v>210</v>
      </c>
      <c r="E27" s="21" t="s">
        <v>211</v>
      </c>
      <c r="F27" s="25" t="str">
        <f aca="false">TEXT(B1_SMA_Pool!C25,"+0.0"" pp"";-0.0"" pp"";0.0"" pp""")&amp;" / "&amp;TEXT(B1_SMA_Pool!D25,"+0.0"" pp"";-0.0"" pp"";0.0"" pp""")&amp;" / "&amp;TEXT(B1_SMA_Pool!E25,"+0.0"" pp"";-0.0"" pp"";0.0"" pp""")&amp;" / "&amp;TEXT(B1_SMA_Pool!F25,"+0.0"" pp"";-0.0"" pp"";0.0"" pp""")</f>
        <v>0.0 pp / 0.0 pp / 0.0 pp / 0.0 pp</v>
      </c>
    </row>
    <row r="28" customFormat="false" ht="15" hidden="false" customHeight="false" outlineLevel="0" collapsed="false">
      <c r="A28" s="9" t="n">
        <v>9</v>
      </c>
      <c r="B28" s="21" t="s">
        <v>212</v>
      </c>
      <c r="C28" s="21" t="s">
        <v>213</v>
      </c>
      <c r="D28" s="21" t="s">
        <v>214</v>
      </c>
      <c r="E28" s="21" t="s">
        <v>215</v>
      </c>
      <c r="F28" s="25" t="str">
        <f aca="false">"MTD "&amp;TEXT(B1_SMA_Pool!J7,"0.00%")&amp;" / "&amp;TEXT(B1_SMA_Pool!J8,"0.00%")&amp;" / "&amp;TEXT(B1_SMA_Pool!J9,"0.00%")&amp;" / "&amp;TEXT(B1_SMA_Pool!J10,"0.00%")&amp;" / "&amp;TEXT(B1_SMA_Pool!J11,"0.00%")&amp;" / "&amp;TEXT(B1_SMA_Pool!J12,"0.00%")</f>
        <v>MTD 98.38% / 37.33% / 8.76% / 3.78% / 72.17% / 97.07%</v>
      </c>
    </row>
    <row r="29" customFormat="false" ht="15" hidden="false" customHeight="false" outlineLevel="0" collapsed="false">
      <c r="A29" s="9" t="n">
        <v>10</v>
      </c>
      <c r="B29" s="21" t="s">
        <v>212</v>
      </c>
      <c r="C29" s="21" t="s">
        <v>216</v>
      </c>
      <c r="D29" s="21" t="s">
        <v>217</v>
      </c>
      <c r="E29" s="21" t="s">
        <v>215</v>
      </c>
      <c r="F29" s="25" t="str">
        <f aca="false">"MTD "&amp;TEXT(B1_SMA_Pool!F7,"0.00%")&amp;" / "&amp;TEXT(B1_SMA_Pool!F8,"0.00%")&amp;" / "&amp;TEXT(B1_SMA_Pool!F9,"0.00%")&amp;" / "&amp;TEXT(B1_SMA_Pool!F10,"0.00%")&amp;" / "&amp;TEXT(B1_SMA_Pool!F11,"0.00%")&amp;" / "&amp;TEXT(B1_SMA_Pool!F12,"0.00%")</f>
        <v>MTD 1.62% / 62.67% / 91.24% / 96.22% / 27.83% / 2.93%</v>
      </c>
    </row>
    <row r="30" customFormat="false" ht="15" hidden="false" customHeight="false" outlineLevel="0" collapsed="false">
      <c r="A30" s="9" t="n">
        <v>11</v>
      </c>
      <c r="B30" s="21" t="s">
        <v>212</v>
      </c>
      <c r="C30" s="21" t="s">
        <v>218</v>
      </c>
      <c r="D30" s="21" t="s">
        <v>219</v>
      </c>
      <c r="E30" s="21" t="s">
        <v>215</v>
      </c>
      <c r="F30" s="25" t="str">
        <f aca="false">"MTD "&amp;TEXT(B1_SMA_Pool!G8,"0.00%")&amp;" / "&amp;TEXT(B1_SMA_Pool!G9,"0.00%")&amp;" / "&amp;TEXT(B1_SMA_Pool!G10,"0.00%")&amp;" / "&amp;TEXT(B1_SMA_Pool!G11,"0.00%")</f>
        <v>MTD 0.00% / 1.01% / 0.34% / 0.02%</v>
      </c>
    </row>
    <row r="31" customFormat="false" ht="15" hidden="false" customHeight="false" outlineLevel="0" collapsed="false">
      <c r="A31" s="9" t="n">
        <v>12</v>
      </c>
      <c r="B31" s="21" t="s">
        <v>212</v>
      </c>
      <c r="C31" s="21" t="s">
        <v>220</v>
      </c>
      <c r="D31" s="21" t="s">
        <v>221</v>
      </c>
      <c r="E31" s="21" t="s">
        <v>222</v>
      </c>
      <c r="F31" s="25" t="str">
        <f aca="false">TEXT(B1_SMA_Pool!T7,"+0.0"" pp"";-0.0"" pp"";0.0"" pp""")&amp;" / "&amp;TEXT(B1_SMA_Pool!T8,"+0.0"" pp"";-0.0"" pp"";0.0"" pp""")&amp;" / "&amp;TEXT(B1_SMA_Pool!T9,"+0.0"" pp"";-0.0"" pp"";0.0"" pp""")&amp;" / "&amp;TEXT(B1_SMA_Pool!T10,"+0.0"" pp"";-0.0"" pp"";0.0"" pp""")&amp;" / "&amp;TEXT(B1_SMA_Pool!T11,"+0.0"" pp"";-0.0"" pp"";0.0"" pp""")&amp;" / "&amp;TEXT(B1_SMA_Pool!T12,"+0.0"" pp"";-0.0"" pp"";0.0"" pp""")</f>
        <v>+0.1 pp / -2.9 pp / -0.7 pp / -1.1 pp / +2.6 pp / +0.1 pp</v>
      </c>
    </row>
    <row r="32" customFormat="false" ht="15" hidden="false" customHeight="false" outlineLevel="0" collapsed="false">
      <c r="A32" s="9" t="n">
        <v>13</v>
      </c>
      <c r="B32" s="21" t="s">
        <v>212</v>
      </c>
      <c r="C32" s="21" t="s">
        <v>223</v>
      </c>
      <c r="D32" s="21" t="s">
        <v>224</v>
      </c>
      <c r="E32" s="21" t="s">
        <v>222</v>
      </c>
      <c r="F32" s="25" t="str">
        <f aca="false">TEXT(B1_SMA_Pool!U7,"+0.0"" pp"";-0.0"" pp"";0.0"" pp""")&amp;" / "&amp;TEXT(B1_SMA_Pool!U8,"+0.0"" pp"";-0.0"" pp"";0.0"" pp""")&amp;" / "&amp;TEXT(B1_SMA_Pool!U9,"+0.0"" pp"";-0.0"" pp"";0.0"" pp""")&amp;" / "&amp;TEXT(B1_SMA_Pool!U10,"+0.0"" pp"";-0.0"" pp"";0.0"" pp""")&amp;" / "&amp;TEXT(B1_SMA_Pool!U11,"+0.0"" pp"";-0.0"" pp"";0.0"" pp""")&amp;" / "&amp;TEXT(B1_SMA_Pool!U12,"+0.0"" pp"";-0.0"" pp"";0.0"" pp""")</f>
        <v>-0.1 pp / +2.9 pp / +0.7 pp / +1.1 pp / -2.6 pp / -0.1 pp</v>
      </c>
    </row>
    <row r="33" customFormat="false" ht="15" hidden="false" customHeight="false" outlineLevel="0" collapsed="false">
      <c r="A33" s="9" t="n">
        <v>14</v>
      </c>
      <c r="B33" s="21" t="s">
        <v>212</v>
      </c>
      <c r="C33" s="21" t="s">
        <v>225</v>
      </c>
      <c r="D33" s="21" t="s">
        <v>226</v>
      </c>
      <c r="E33" s="21" t="s">
        <v>227</v>
      </c>
      <c r="F33" s="25" t="str">
        <f aca="false">"SMA0 "&amp;TEXT(B1_SMA_Pool!E8/B1_SMA_Pool!J8,"0.0%")&amp;" / "&amp;TEXT(B1_SMA_Pool!G8/B1_SMA_Pool!J8,"0.0%")&amp;" / "&amp;TEXT(B1_SMA_Pool!H8/B1_SMA_Pool!J8,"0.0%")&amp;"; SMA1 "&amp;TEXT(B1_SMA_Pool!E9/B1_SMA_Pool!J9,"0.0%")&amp;" / "&amp;TEXT(B1_SMA_Pool!G9/B1_SMA_Pool!J9,"0.0%")&amp;" / "&amp;TEXT(B1_SMA_Pool!H9/B1_SMA_Pool!J9,"0.0%")</f>
        <v>SMA0 78.6% / 0.0% / 21.4%; SMA1 74.5% / 11.5% / 13.9%</v>
      </c>
    </row>
    <row r="34" customFormat="false" ht="15" hidden="false" customHeight="false" outlineLevel="0" collapsed="false">
      <c r="A34" s="9" t="n">
        <v>15</v>
      </c>
      <c r="B34" s="21" t="s">
        <v>212</v>
      </c>
      <c r="C34" s="21" t="s">
        <v>228</v>
      </c>
      <c r="D34" s="21" t="s">
        <v>229</v>
      </c>
      <c r="E34" s="21" t="s">
        <v>206</v>
      </c>
      <c r="F34" s="25" t="str">
        <f aca="false">"MTD "&amp;TEXT(SUMPRODUCT(B1_SMA_Pool!D8:D11,B1_SMA_Pool!J8:J11)/B1_SMA_Pool!D15,"0.00%")&amp;"; STLM "&amp;TEXT(SUMPRODUCT(B1_SMA_Pool!M8:M11,B1_SMA_Pool!S8:S11)/B1_SMA_Pool!M15,"0.00%")</f>
        <v>MTD 41.83%; STLM 42.34%</v>
      </c>
    </row>
    <row r="35" customFormat="false" ht="15" hidden="false" customHeight="false" outlineLevel="0" collapsed="false">
      <c r="A35" s="9" t="n">
        <v>16</v>
      </c>
      <c r="B35" s="21" t="s">
        <v>212</v>
      </c>
      <c r="C35" s="21" t="s">
        <v>230</v>
      </c>
      <c r="D35" s="21" t="s">
        <v>231</v>
      </c>
      <c r="E35" s="21" t="s">
        <v>206</v>
      </c>
      <c r="F35" s="25" t="str">
        <f aca="false">"MTD "&amp;TEXT(B1_SMA_Pool!D17,"#,##0.00;-#,##0.00;0.00")&amp;"; STLM "&amp;TEXT(B1_SMA_Pool!M17,"#,##0.00;-#,##0.00;0.00")</f>
        <v>MTD 85.08; STLM 77.34</v>
      </c>
    </row>
    <row r="36" customFormat="false" ht="15" hidden="false" customHeight="false" outlineLevel="0" collapsed="false">
      <c r="A36" s="9" t="n">
        <v>17</v>
      </c>
      <c r="B36" s="21" t="s">
        <v>232</v>
      </c>
      <c r="C36" s="21" t="s">
        <v>233</v>
      </c>
      <c r="D36" s="21" t="s">
        <v>234</v>
      </c>
      <c r="E36" s="21" t="s">
        <v>211</v>
      </c>
      <c r="F36" s="25" t="str">
        <f aca="false">TEXT(B1_SMA_Pool!L21,"+0.0"" pp"";-0.0"" pp"";0.0"" pp""")&amp;" / "&amp;TEXT(B1_SMA_Pool!L22,"+0.0"" pp"";-0.0"" pp"";0.0"" pp""")&amp;" / "&amp;TEXT(B1_SMA_Pool!L23,"+0.0"" pp"";-0.0"" pp"";0.0"" pp""")&amp;" / "&amp;TEXT(B1_SMA_Pool!L24,"+0.0"" pp"";-0.0"" pp"";0.0"" pp""")&amp;" (Current / SMA0 / SMA1 / SMA2)"</f>
        <v>+0.2 pp / -7.2 pp / -6.4 pp / -1.1 pp (Current / SMA0 / SMA1 / SMA2)</v>
      </c>
    </row>
    <row r="37" customFormat="false" ht="15" hidden="false" customHeight="false" outlineLevel="0" collapsed="false">
      <c r="A37" s="9" t="n">
        <v>18</v>
      </c>
      <c r="B37" s="21" t="s">
        <v>232</v>
      </c>
      <c r="C37" s="21" t="s">
        <v>235</v>
      </c>
      <c r="D37" s="21" t="s">
        <v>236</v>
      </c>
      <c r="E37" s="21" t="s">
        <v>211</v>
      </c>
      <c r="F37" s="25" t="str">
        <f aca="false">TEXT(B1_SMA_Pool!K21,"+0.0"" pp"";-0.0"" pp"";0.0"" pp""")&amp;" / "&amp;TEXT(B1_SMA_Pool!K22,"+0.0"" pp"";-0.0"" pp"";0.0"" pp""")&amp;" / "&amp;TEXT(B1_SMA_Pool!K23,"+0.0"" pp"";-0.0"" pp"";0.0"" pp""")&amp;" / "&amp;TEXT(B1_SMA_Pool!K24,"+0.0"" pp"";-0.0"" pp"";0.0"" pp""")</f>
        <v>+0.1 pp / -2.9 pp / -0.7 pp / -1.1 pp</v>
      </c>
    </row>
    <row r="38" customFormat="false" ht="15" hidden="false" customHeight="false" outlineLevel="0" collapsed="false">
      <c r="A38" s="9" t="n">
        <v>19</v>
      </c>
      <c r="B38" s="21" t="s">
        <v>232</v>
      </c>
      <c r="C38" s="21" t="s">
        <v>237</v>
      </c>
      <c r="D38" s="21" t="s">
        <v>238</v>
      </c>
      <c r="E38" s="21" t="s">
        <v>211</v>
      </c>
      <c r="F38" s="25" t="str">
        <f aca="false">"SMA0 "&amp;TEXT(B1_SMA_Pool!M22,"0.00%")&amp;" / "&amp;TEXT(B1_SMA_Pool!N22,"0.00%")&amp;" / "&amp;TEXT(B1_SMA_Pool!O22,"0.00%")</f>
        <v>SMA0 43.97% / 37.33% / 50.61%</v>
      </c>
    </row>
    <row r="39" customFormat="false" ht="15" hidden="false" customHeight="false" outlineLevel="0" collapsed="false">
      <c r="A39" s="9" t="n">
        <v>20</v>
      </c>
      <c r="B39" s="21" t="s">
        <v>232</v>
      </c>
      <c r="C39" s="21" t="s">
        <v>239</v>
      </c>
      <c r="D39" s="21" t="s">
        <v>240</v>
      </c>
      <c r="E39" s="21" t="s">
        <v>85</v>
      </c>
      <c r="F39" s="25" t="str">
        <f aca="false">TEXT(SUMPRODUCT(--(B1_SMA_Pool!C22:H22&lt;B1_SMA_Pool!D22:I22)),"#,##0")&amp;" of 6 months since Feb-26 peak"</f>
        <v>6 of 6 months since Feb-26 peak</v>
      </c>
    </row>
    <row r="40" customFormat="false" ht="15" hidden="false" customHeight="false" outlineLevel="0" collapsed="false">
      <c r="A40" s="9" t="n">
        <v>21</v>
      </c>
      <c r="B40" s="21" t="s">
        <v>232</v>
      </c>
      <c r="C40" s="21" t="s">
        <v>241</v>
      </c>
      <c r="D40" s="21" t="s">
        <v>83</v>
      </c>
      <c r="E40" s="21" t="s">
        <v>211</v>
      </c>
      <c r="F40" s="25" t="str">
        <f aca="false">TEXT(B1_SMA_Pool!P21,"#,##0")&amp;" / "&amp;TEXT(B1_SMA_Pool!P22,"#,##0")&amp;" / "&amp;TEXT(B1_SMA_Pool!P23,"#,##0")&amp;" / "&amp;TEXT(B1_SMA_Pool!P24,"#,##0")</f>
        <v>2 / 0 / 0 / 2</v>
      </c>
    </row>
    <row r="41" customFormat="false" ht="23.85" hidden="false" customHeight="false" outlineLevel="0" collapsed="false">
      <c r="A41" s="9" t="n">
        <v>22</v>
      </c>
      <c r="B41" s="21" t="s">
        <v>232</v>
      </c>
      <c r="C41" s="21" t="s">
        <v>242</v>
      </c>
      <c r="D41" s="21" t="s">
        <v>243</v>
      </c>
      <c r="E41" s="21" t="s">
        <v>85</v>
      </c>
      <c r="F41" s="25" t="str">
        <f aca="false">TEXT(B1_SMA_Pool!D8*(B1_SMA_Pool!J22-B1_SMA_Pool!C22),"#,##0.00;-#,##0.00;0.00")&amp;" ₹ Cr per month"</f>
        <v>4.02 ₹ Cr per month</v>
      </c>
    </row>
    <row r="42" customFormat="false" ht="15" hidden="false" customHeight="false" outlineLevel="0" collapsed="false">
      <c r="A42" s="9" t="n">
        <v>23</v>
      </c>
      <c r="B42" s="21" t="s">
        <v>244</v>
      </c>
      <c r="C42" s="21" t="s">
        <v>245</v>
      </c>
      <c r="D42" s="21" t="s">
        <v>246</v>
      </c>
      <c r="E42" s="21" t="s">
        <v>247</v>
      </c>
      <c r="F42" s="25" t="str">
        <f aca="false">"SMA0 "&amp;TEXT(B1_SMA_Pool!H29,"+0.0"" pp"";-0.0"" pp"";0.0"" pp""")&amp;" / "&amp;TEXT(B1_SMA_Pool!H30,"+0.0"" pp"";-0.0"" pp"";0.0"" pp""")&amp;" / "&amp;TEXT(B1_SMA_Pool!H31,"+0.0"" pp"";-0.0"" pp"";0.0"" pp""")&amp;"; SMA1 "&amp;TEXT(B1_SMA_Pool!K29,"+0.0"" pp"";-0.0"" pp"";0.0"" pp""")&amp;" / "&amp;TEXT(B1_SMA_Pool!K30,"+0.0"" pp"";-0.0"" pp"";0.0"" pp""")&amp;" / "&amp;TEXT(B1_SMA_Pool!K31,"+0.0"" pp"";-0.0"" pp"";0.0"" pp""")</f>
        <v>SMA0 -12.4 pp / -12.2 pp / -17.7 pp; SMA1 -11.7 pp / -9.1 pp / -11.5 pp</v>
      </c>
    </row>
    <row r="43" customFormat="false" ht="15" hidden="false" customHeight="false" outlineLevel="0" collapsed="false">
      <c r="A43" s="9" t="n">
        <v>24</v>
      </c>
      <c r="B43" s="21" t="s">
        <v>244</v>
      </c>
      <c r="C43" s="21" t="s">
        <v>248</v>
      </c>
      <c r="D43" s="21" t="s">
        <v>249</v>
      </c>
      <c r="E43" s="21" t="s">
        <v>250</v>
      </c>
      <c r="F43" s="25" t="str">
        <f aca="false">TEXT(B1_SMA_Pool!U29,"#,##0")&amp;" / "&amp;TEXT(B1_SMA_Pool!U30,"#,##0")&amp;" / "&amp;TEXT(B1_SMA_Pool!U31,"#,##0")&amp;" of 4"</f>
        <v>1 / 1 / 1 of 4</v>
      </c>
    </row>
    <row r="44" customFormat="false" ht="15" hidden="false" customHeight="false" outlineLevel="0" collapsed="false">
      <c r="A44" s="9" t="n">
        <v>25</v>
      </c>
      <c r="B44" s="21" t="s">
        <v>244</v>
      </c>
      <c r="C44" s="21" t="s">
        <v>251</v>
      </c>
      <c r="D44" s="21" t="s">
        <v>252</v>
      </c>
      <c r="E44" s="21" t="s">
        <v>211</v>
      </c>
      <c r="F44" s="25" t="str">
        <f aca="false">"Current "&amp;TEXT((MAX(B1_SMA_Pool!C29:C31)-MIN(B1_SMA_Pool!C29:C31))*100,"+0.0"" pp"";-0.0"" pp"";0.0"" pp""")&amp;"; SMA0 "&amp;TEXT((MAX(B1_SMA_Pool!F29:F31)-MIN(B1_SMA_Pool!F29:F31))*100,"+0.0"" pp"";-0.0"" pp"";0.0"" pp""")&amp;"; SMA1 "&amp;TEXT((MAX(B1_SMA_Pool!I29:I31)-MIN(B1_SMA_Pool!I29:I31))*100,"+0.0"" pp"";-0.0"" pp"";0.0"" pp""")</f>
        <v>Current +0.5 pp; SMA0 +5.5 pp; SMA1 +7.6 pp</v>
      </c>
    </row>
    <row r="45" customFormat="false" ht="15" hidden="false" customHeight="false" outlineLevel="0" collapsed="false">
      <c r="A45" s="9" t="n">
        <v>26</v>
      </c>
      <c r="B45" s="21" t="s">
        <v>244</v>
      </c>
      <c r="C45" s="21" t="s">
        <v>253</v>
      </c>
      <c r="D45" s="21" t="s">
        <v>254</v>
      </c>
      <c r="E45" s="21" t="s">
        <v>255</v>
      </c>
      <c r="F45" s="25" t="str">
        <f aca="false">"SMA0 "&amp;TEXT(B1_SMA_Pool!S29,"+0.0"" pp"";-0.0"" pp"";0.0"" pp""")&amp;" / "&amp;TEXT(B1_SMA_Pool!S30,"+0.0"" pp"";-0.0"" pp"";0.0"" pp""")&amp;" / "&amp;TEXT(B1_SMA_Pool!S31,"+0.0"" pp"";-0.0"" pp"";0.0"" pp""")&amp;"; SMA1 "&amp;TEXT(B1_SMA_Pool!T29,"+0.0"" pp"";-0.0"" pp"";0.0"" pp""")&amp;" / "&amp;TEXT(B1_SMA_Pool!T30,"+0.0"" pp"";-0.0"" pp"";0.0"" pp""")&amp;" / "&amp;TEXT(B1_SMA_Pool!T31,"+0.0"" pp"";-0.0"" pp"";0.0"" pp""")</f>
        <v>SMA0 -2.6 pp / -1.9 pp / -8.9 pp; SMA1 -0.8 pp / +1.1 pp / +0.8 pp</v>
      </c>
    </row>
    <row r="46" customFormat="false" ht="15" hidden="false" customHeight="false" outlineLevel="0" collapsed="false">
      <c r="A46" s="9" t="n">
        <v>27</v>
      </c>
      <c r="B46" s="21" t="s">
        <v>256</v>
      </c>
      <c r="C46" s="21" t="s">
        <v>257</v>
      </c>
      <c r="D46" s="21" t="s">
        <v>258</v>
      </c>
      <c r="E46" s="21" t="s">
        <v>206</v>
      </c>
      <c r="F46" s="25" t="str">
        <f aca="false">TEXT(B1_SMA_Pool!D15,"#,##0.00;-#,##0.00;0.00")&amp;" / "&amp;TEXT(B1_SMA_Pool!W15,"0.0%")</f>
        <v>180.05 / 2.3%</v>
      </c>
    </row>
    <row r="47" customFormat="false" ht="15" hidden="false" customHeight="false" outlineLevel="0" collapsed="false">
      <c r="A47" s="9" t="n">
        <v>28</v>
      </c>
      <c r="B47" s="21" t="s">
        <v>256</v>
      </c>
      <c r="C47" s="21" t="s">
        <v>259</v>
      </c>
      <c r="D47" s="21" t="s">
        <v>260</v>
      </c>
      <c r="E47" s="21" t="s">
        <v>206</v>
      </c>
      <c r="F47" s="25" t="str">
        <f aca="false">TEXT(B1_SMA_Pool!D16,"#,##0.00;-#,##0.00;0.00")&amp;" / "&amp;TEXT(B1_SMA_Pool!W16,"0.0%")</f>
        <v>109.44 / 1.4%</v>
      </c>
    </row>
    <row r="48" customFormat="false" ht="15" hidden="false" customHeight="false" outlineLevel="0" collapsed="false">
      <c r="A48" s="9" t="n">
        <v>29</v>
      </c>
      <c r="B48" s="21" t="s">
        <v>256</v>
      </c>
      <c r="C48" s="21" t="s">
        <v>261</v>
      </c>
      <c r="D48" s="21" t="s">
        <v>262</v>
      </c>
      <c r="E48" s="21" t="s">
        <v>222</v>
      </c>
      <c r="F48" s="25" t="str">
        <f aca="false">TEXT(B1_SMA_Pool!W7,"0.0%")&amp;" / "&amp;TEXT(B1_SMA_Pool!W8,"0.0%")&amp;" / "&amp;TEXT(B1_SMA_Pool!W9,"0.0%")&amp;" / "&amp;TEXT(B1_SMA_Pool!W10,"0.0%")&amp;" / "&amp;TEXT(B1_SMA_Pool!W11,"0.0%")</f>
        <v>97.7% / 0.7% / 0.4% / 0.3% / 0.9%</v>
      </c>
    </row>
    <row r="49" customFormat="false" ht="15" hidden="false" customHeight="false" outlineLevel="0" collapsed="false">
      <c r="A49" s="9" t="n">
        <v>30</v>
      </c>
      <c r="B49" s="21" t="s">
        <v>256</v>
      </c>
      <c r="C49" s="21" t="s">
        <v>263</v>
      </c>
      <c r="D49" s="21" t="s">
        <v>264</v>
      </c>
      <c r="E49" s="21" t="s">
        <v>222</v>
      </c>
      <c r="F49" s="25" t="str">
        <f aca="false">TEXT(B1_SMA_Pool!V7,"#,##0.00;-#,##0.00;0.00")&amp;" / "&amp;TEXT(B1_SMA_Pool!V8,"#,##0.00;-#,##0.00;0.00")&amp;" / "&amp;TEXT(B1_SMA_Pool!V9,"#,##0.00;-#,##0.00;0.00")&amp;" / "&amp;TEXT(B1_SMA_Pool!V10,"#,##0.00;-#,##0.00;0.00")&amp;" / "&amp;TEXT(B1_SMA_Pool!V11,"#,##0.00;-#,##0.00;0.00")&amp;" / "&amp;TEXT(B1_SMA_Pool!V12,"#,##0.00;-#,##0.00;0.00")</f>
        <v>97.76 / 5.29 / 2.72 / 0.03 / 1.30 / 107.09</v>
      </c>
    </row>
    <row r="50" customFormat="false" ht="15" hidden="false" customHeight="false" outlineLevel="0" collapsed="false">
      <c r="A50" s="9" t="n">
        <v>31</v>
      </c>
      <c r="B50" s="21" t="s">
        <v>265</v>
      </c>
      <c r="C50" s="21" t="s">
        <v>266</v>
      </c>
      <c r="D50" s="21" t="s">
        <v>267</v>
      </c>
      <c r="E50" s="21" t="s">
        <v>222</v>
      </c>
      <c r="F50" s="25" t="str">
        <f aca="false">TEXT(B1_SMA_Pool!K7,"#,##0.00")&amp;" / "&amp;TEXT(B1_SMA_Pool!K8,"#,##0.00")&amp;" / "&amp;TEXT(B1_SMA_Pool!K9,"#,##0.00")&amp;" / "&amp;TEXT(B1_SMA_Pool!K10,"#,##0.00")&amp;" / "&amp;TEXT(B1_SMA_Pool!K11,"#,##0.00")&amp;" / "&amp;TEXT(B1_SMA_Pool!K12,"#,##0.00")&amp;" ₹ lakh"</f>
        <v>0.40 / 0.29 / 0.30 / 0.28 / 0.16 / 0.39 ₹ lakh</v>
      </c>
    </row>
    <row r="51" customFormat="false" ht="15" hidden="false" customHeight="false" outlineLevel="0" collapsed="false">
      <c r="A51" s="9" t="n">
        <v>32</v>
      </c>
      <c r="B51" s="21" t="s">
        <v>268</v>
      </c>
      <c r="C51" s="21" t="s">
        <v>269</v>
      </c>
      <c r="D51" s="21" t="s">
        <v>270</v>
      </c>
      <c r="E51" s="21" t="s">
        <v>271</v>
      </c>
      <c r="F51" s="21" t="s">
        <v>272</v>
      </c>
    </row>
    <row r="52" customFormat="false" ht="15" hidden="false" customHeight="false" outlineLevel="0" collapsed="false">
      <c r="A52" s="9" t="n">
        <v>33</v>
      </c>
      <c r="B52" s="21" t="s">
        <v>268</v>
      </c>
      <c r="C52" s="21" t="s">
        <v>273</v>
      </c>
      <c r="D52" s="21" t="s">
        <v>274</v>
      </c>
      <c r="E52" s="21" t="s">
        <v>275</v>
      </c>
      <c r="F52" s="21" t="s">
        <v>276</v>
      </c>
    </row>
    <row r="54" customFormat="false" ht="15" hidden="false" customHeight="false" outlineLevel="0" collapsed="false">
      <c r="A54" s="3" t="s">
        <v>2</v>
      </c>
    </row>
  </sheetData>
  <mergeCells count="10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22" min="4" style="0" width="11"/>
  </cols>
  <sheetData>
    <row r="1" customFormat="false" ht="17.35" hidden="false" customHeight="false" outlineLevel="0" collapsed="false">
      <c r="A1" s="1" t="s">
        <v>277</v>
      </c>
    </row>
    <row r="2" customFormat="false" ht="15" hidden="false" customHeight="false" outlineLevel="0" collapsed="false">
      <c r="A2" s="2" t="s">
        <v>278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279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35.05" hidden="false" customHeight="false" outlineLevel="0" collapsed="false">
      <c r="A6" s="8" t="s">
        <v>39</v>
      </c>
      <c r="B6" s="8" t="s">
        <v>69</v>
      </c>
      <c r="C6" s="8" t="s">
        <v>280</v>
      </c>
      <c r="D6" s="8" t="s">
        <v>281</v>
      </c>
      <c r="E6" s="8" t="s">
        <v>282</v>
      </c>
      <c r="F6" s="8" t="s">
        <v>283</v>
      </c>
      <c r="G6" s="8" t="s">
        <v>284</v>
      </c>
      <c r="H6" s="8" t="s">
        <v>285</v>
      </c>
      <c r="I6" s="8" t="s">
        <v>286</v>
      </c>
      <c r="J6" s="8" t="s">
        <v>287</v>
      </c>
      <c r="K6" s="8" t="s">
        <v>288</v>
      </c>
      <c r="L6" s="8" t="s">
        <v>289</v>
      </c>
      <c r="M6" s="8" t="s">
        <v>290</v>
      </c>
      <c r="N6" s="8" t="s">
        <v>291</v>
      </c>
      <c r="O6" s="8" t="s">
        <v>292</v>
      </c>
    </row>
    <row r="7" customFormat="false" ht="15" hidden="false" customHeight="false" outlineLevel="0" collapsed="false">
      <c r="A7" s="9" t="n">
        <v>1</v>
      </c>
      <c r="B7" s="9" t="s">
        <v>293</v>
      </c>
      <c r="C7" s="11" t="n">
        <v>1184.23</v>
      </c>
      <c r="D7" s="11" t="n">
        <v>1163.74</v>
      </c>
      <c r="E7" s="12" t="n">
        <v>0.9827</v>
      </c>
      <c r="F7" s="13" t="n">
        <f aca="false">D7/C7</f>
        <v>0.982697617861395</v>
      </c>
      <c r="G7" s="16" t="n">
        <f aca="false">C7-D7</f>
        <v>20.49</v>
      </c>
      <c r="H7" s="17" t="n">
        <f aca="false">C7/$C$15</f>
        <v>0.845739628489605</v>
      </c>
      <c r="I7" s="17" t="n">
        <f aca="false">G7/$G$15</f>
        <v>0.0976597874267195</v>
      </c>
      <c r="J7" s="11" t="n">
        <v>583.51</v>
      </c>
      <c r="K7" s="11" t="n">
        <v>572.18</v>
      </c>
      <c r="L7" s="12" t="n">
        <v>0.9806</v>
      </c>
      <c r="M7" s="13" t="n">
        <f aca="false">K7/J7</f>
        <v>0.980583023427191</v>
      </c>
      <c r="N7" s="15" t="n">
        <f aca="false">(F7-M7)*100</f>
        <v>0.21145944342047</v>
      </c>
      <c r="O7" s="26" t="n">
        <f aca="false">C7/J7</f>
        <v>2.02949392469709</v>
      </c>
    </row>
    <row r="8" customFormat="false" ht="15" hidden="false" customHeight="false" outlineLevel="0" collapsed="false">
      <c r="A8" s="9" t="n">
        <v>2</v>
      </c>
      <c r="B8" s="9" t="s">
        <v>294</v>
      </c>
      <c r="C8" s="11" t="n">
        <v>10.16</v>
      </c>
      <c r="D8" s="11" t="n">
        <v>4.85</v>
      </c>
      <c r="E8" s="12" t="n">
        <v>0.4776</v>
      </c>
      <c r="F8" s="13" t="n">
        <f aca="false">D8/C8</f>
        <v>0.477362204724409</v>
      </c>
      <c r="G8" s="16" t="n">
        <f aca="false">C8-D8</f>
        <v>5.31</v>
      </c>
      <c r="H8" s="17" t="n">
        <f aca="false">C8/$C$15</f>
        <v>0.00725595080808153</v>
      </c>
      <c r="I8" s="17" t="n">
        <f aca="false">G8/$G$15</f>
        <v>0.0253086125542157</v>
      </c>
      <c r="J8" s="11" t="n">
        <v>4.74</v>
      </c>
      <c r="K8" s="11" t="n">
        <v>2.45</v>
      </c>
      <c r="L8" s="12" t="n">
        <v>0.5166</v>
      </c>
      <c r="M8" s="13" t="n">
        <f aca="false">K8/J8</f>
        <v>0.516877637130802</v>
      </c>
      <c r="N8" s="15" t="n">
        <f aca="false">(F8-M8)*100</f>
        <v>-3.95154324063923</v>
      </c>
      <c r="O8" s="26" t="n">
        <f aca="false">C8/J8</f>
        <v>2.14345991561181</v>
      </c>
    </row>
    <row r="9" customFormat="false" ht="15" hidden="false" customHeight="false" outlineLevel="0" collapsed="false">
      <c r="A9" s="9" t="n">
        <v>3</v>
      </c>
      <c r="B9" s="9" t="s">
        <v>295</v>
      </c>
      <c r="C9" s="11" t="n">
        <v>5</v>
      </c>
      <c r="D9" s="11" t="n">
        <v>0.81</v>
      </c>
      <c r="E9" s="12" t="n">
        <v>0.1618</v>
      </c>
      <c r="F9" s="13" t="n">
        <f aca="false">D9/C9</f>
        <v>0.162</v>
      </c>
      <c r="G9" s="16" t="n">
        <f aca="false">C9-D9</f>
        <v>4.19</v>
      </c>
      <c r="H9" s="17" t="n">
        <f aca="false">C9/$C$15</f>
        <v>0.00357084193311099</v>
      </c>
      <c r="I9" s="17" t="n">
        <f aca="false">G9/$G$15</f>
        <v>0.0199704494542682</v>
      </c>
      <c r="J9" s="11" t="n">
        <v>2.4</v>
      </c>
      <c r="K9" s="11" t="n">
        <v>0.42</v>
      </c>
      <c r="L9" s="12" t="n">
        <v>0.1737</v>
      </c>
      <c r="M9" s="13" t="n">
        <f aca="false">K9/J9</f>
        <v>0.175</v>
      </c>
      <c r="N9" s="15" t="n">
        <f aca="false">(F9-M9)*100</f>
        <v>-1.3</v>
      </c>
      <c r="O9" s="26" t="n">
        <f aca="false">C9/J9</f>
        <v>2.08333333333333</v>
      </c>
    </row>
    <row r="10" customFormat="false" ht="15" hidden="false" customHeight="false" outlineLevel="0" collapsed="false">
      <c r="A10" s="9" t="n">
        <v>4</v>
      </c>
      <c r="B10" s="9" t="s">
        <v>296</v>
      </c>
      <c r="C10" s="11" t="n">
        <v>4.18</v>
      </c>
      <c r="D10" s="11" t="n">
        <v>0.48</v>
      </c>
      <c r="E10" s="12" t="n">
        <v>0.1145</v>
      </c>
      <c r="F10" s="13" t="n">
        <f aca="false">D10/C10</f>
        <v>0.114832535885167</v>
      </c>
      <c r="G10" s="16" t="n">
        <f aca="false">C10-D10</f>
        <v>3.7</v>
      </c>
      <c r="H10" s="17" t="n">
        <f aca="false">C10/$C$15</f>
        <v>0.00298522385608079</v>
      </c>
      <c r="I10" s="17" t="n">
        <f aca="false">G10/$G$15</f>
        <v>0.0176350030980411</v>
      </c>
      <c r="J10" s="11" t="n">
        <v>2.21</v>
      </c>
      <c r="K10" s="11" t="n">
        <v>0.32</v>
      </c>
      <c r="L10" s="12" t="n">
        <v>0.1467</v>
      </c>
      <c r="M10" s="13" t="n">
        <f aca="false">K10/J10</f>
        <v>0.144796380090498</v>
      </c>
      <c r="N10" s="15" t="n">
        <f aca="false">(F10-M10)*100</f>
        <v>-2.99638442053303</v>
      </c>
      <c r="O10" s="26" t="n">
        <f aca="false">C10/J10</f>
        <v>1.89140271493213</v>
      </c>
    </row>
    <row r="11" customFormat="false" ht="15" hidden="false" customHeight="false" outlineLevel="0" collapsed="false">
      <c r="A11" s="9" t="n">
        <v>5</v>
      </c>
      <c r="B11" s="18" t="s">
        <v>297</v>
      </c>
      <c r="C11" s="11" t="n">
        <v>1203.56</v>
      </c>
      <c r="D11" s="11" t="n">
        <v>1169.88</v>
      </c>
      <c r="E11" s="12" t="n">
        <v>0.972</v>
      </c>
      <c r="F11" s="13" t="n">
        <f aca="false">D11/C11</f>
        <v>0.972016351490578</v>
      </c>
      <c r="G11" s="16" t="n">
        <f aca="false">C11-D11</f>
        <v>33.6799999999998</v>
      </c>
      <c r="H11" s="17" t="n">
        <f aca="false">C11/$C$15</f>
        <v>0.859544503403012</v>
      </c>
      <c r="I11" s="17" t="n">
        <f aca="false">G11/$G$15</f>
        <v>0.160526190362708</v>
      </c>
      <c r="J11" s="11" t="n">
        <v>592.86</v>
      </c>
      <c r="K11" s="11" t="n">
        <v>575.37</v>
      </c>
      <c r="L11" s="12" t="n">
        <v>0.9705</v>
      </c>
      <c r="M11" s="13" t="n">
        <f aca="false">K11/J11</f>
        <v>0.970498937354519</v>
      </c>
      <c r="N11" s="15" t="n">
        <f aca="false">(F11-M11)*100</f>
        <v>0.151741413605933</v>
      </c>
      <c r="O11" s="26" t="n">
        <f aca="false">C11/J11</f>
        <v>2.03009142124616</v>
      </c>
    </row>
    <row r="12" customFormat="false" ht="15" hidden="false" customHeight="false" outlineLevel="0" collapsed="false">
      <c r="A12" s="9" t="n">
        <v>6</v>
      </c>
      <c r="B12" s="9" t="s">
        <v>298</v>
      </c>
      <c r="C12" s="11" t="n">
        <v>10.86</v>
      </c>
      <c r="D12" s="11" t="n">
        <v>2.37</v>
      </c>
      <c r="E12" s="12" t="n">
        <v>0.2185</v>
      </c>
      <c r="F12" s="13" t="n">
        <f aca="false">D12/C12</f>
        <v>0.218232044198895</v>
      </c>
      <c r="G12" s="16" t="n">
        <f aca="false">C12-D12</f>
        <v>8.49</v>
      </c>
      <c r="H12" s="17" t="n">
        <f aca="false">C12/$C$15</f>
        <v>0.00775586867871707</v>
      </c>
      <c r="I12" s="17" t="n">
        <f aca="false">G12/$G$15</f>
        <v>0.040465182784424</v>
      </c>
      <c r="J12" s="11" t="n">
        <v>5.57</v>
      </c>
      <c r="K12" s="11" t="n">
        <v>1.51</v>
      </c>
      <c r="L12" s="12" t="n">
        <v>0.2702</v>
      </c>
      <c r="M12" s="13" t="n">
        <f aca="false">K12/J12</f>
        <v>0.271095152603232</v>
      </c>
      <c r="N12" s="15" t="n">
        <f aca="false">(F12-M12)*100</f>
        <v>-5.28631084043365</v>
      </c>
      <c r="O12" s="26" t="n">
        <f aca="false">C12/J12</f>
        <v>1.94973070017953</v>
      </c>
    </row>
    <row r="13" customFormat="false" ht="15" hidden="false" customHeight="false" outlineLevel="0" collapsed="false">
      <c r="A13" s="9" t="n">
        <v>7</v>
      </c>
      <c r="B13" s="9" t="s">
        <v>299</v>
      </c>
      <c r="C13" s="11" t="n">
        <v>185.81</v>
      </c>
      <c r="D13" s="11" t="n">
        <v>18.17</v>
      </c>
      <c r="E13" s="12" t="n">
        <v>0.0978</v>
      </c>
      <c r="F13" s="13" t="n">
        <f aca="false">D13/C13</f>
        <v>0.0977880630751843</v>
      </c>
      <c r="G13" s="16" t="n">
        <f aca="false">C13-D13</f>
        <v>167.64</v>
      </c>
      <c r="H13" s="17" t="n">
        <f aca="false">C13/$C$15</f>
        <v>0.132699627918271</v>
      </c>
      <c r="I13" s="17" t="n">
        <f aca="false">G13/$G$15</f>
        <v>0.799008626852867</v>
      </c>
      <c r="J13" s="11" t="n">
        <v>98.13</v>
      </c>
      <c r="K13" s="11" t="n">
        <v>9.27</v>
      </c>
      <c r="L13" s="12" t="n">
        <v>0.0945</v>
      </c>
      <c r="M13" s="13" t="n">
        <f aca="false">K13/J13</f>
        <v>0.0944665239987771</v>
      </c>
      <c r="N13" s="15" t="n">
        <f aca="false">(F13-M13)*100</f>
        <v>0.332153907640721</v>
      </c>
      <c r="O13" s="26" t="n">
        <f aca="false">C13/J13</f>
        <v>1.89350861102619</v>
      </c>
    </row>
    <row r="14" customFormat="false" ht="15" hidden="false" customHeight="false" outlineLevel="0" collapsed="false">
      <c r="A14" s="9" t="n">
        <v>8</v>
      </c>
      <c r="B14" s="18" t="s">
        <v>300</v>
      </c>
      <c r="C14" s="11" t="n">
        <v>196.67</v>
      </c>
      <c r="D14" s="11" t="n">
        <v>20.54</v>
      </c>
      <c r="E14" s="12" t="n">
        <v>0.1044</v>
      </c>
      <c r="F14" s="13" t="n">
        <f aca="false">D14/C14</f>
        <v>0.104438907815122</v>
      </c>
      <c r="G14" s="16" t="n">
        <f aca="false">C14-D14</f>
        <v>176.13</v>
      </c>
      <c r="H14" s="17" t="n">
        <f aca="false">C14/$C$15</f>
        <v>0.140455496596988</v>
      </c>
      <c r="I14" s="17" t="n">
        <f aca="false">G14/$G$15</f>
        <v>0.839473809637291</v>
      </c>
      <c r="J14" s="11" t="n">
        <v>103.7</v>
      </c>
      <c r="K14" s="11" t="n">
        <v>10.78</v>
      </c>
      <c r="L14" s="12" t="n">
        <v>0.1039</v>
      </c>
      <c r="M14" s="13" t="n">
        <f aca="false">K14/J14</f>
        <v>0.103953712632594</v>
      </c>
      <c r="N14" s="15" t="n">
        <f aca="false">(F14-M14)*100</f>
        <v>0.0485195182527765</v>
      </c>
      <c r="O14" s="26" t="n">
        <f aca="false">C14/J14</f>
        <v>1.89652844744455</v>
      </c>
    </row>
    <row r="15" customFormat="false" ht="15" hidden="false" customHeight="false" outlineLevel="0" collapsed="false">
      <c r="A15" s="9" t="n">
        <v>9</v>
      </c>
      <c r="B15" s="18" t="s">
        <v>62</v>
      </c>
      <c r="C15" s="11" t="n">
        <v>1400.23</v>
      </c>
      <c r="D15" s="11" t="n">
        <v>1190.42</v>
      </c>
      <c r="E15" s="12" t="n">
        <v>0.8502</v>
      </c>
      <c r="F15" s="13" t="n">
        <f aca="false">D15/C15</f>
        <v>0.850160330802797</v>
      </c>
      <c r="G15" s="16" t="n">
        <f aca="false">C15-D15</f>
        <v>209.81</v>
      </c>
      <c r="H15" s="17" t="n">
        <f aca="false">C15/$C$15</f>
        <v>1</v>
      </c>
      <c r="I15" s="17" t="n">
        <f aca="false">G15/$G$15</f>
        <v>1</v>
      </c>
      <c r="J15" s="11" t="n">
        <v>696.57</v>
      </c>
      <c r="K15" s="11" t="n">
        <v>586.15</v>
      </c>
      <c r="L15" s="12" t="n">
        <v>0.8415</v>
      </c>
      <c r="M15" s="13" t="n">
        <f aca="false">K15/J15</f>
        <v>0.84148039680147</v>
      </c>
      <c r="N15" s="15" t="n">
        <f aca="false">(F15-M15)*100</f>
        <v>0.867993400132672</v>
      </c>
      <c r="O15" s="26" t="n">
        <f aca="false">C15/J15</f>
        <v>2.01017844581306</v>
      </c>
    </row>
    <row r="16" customFormat="false" ht="15" hidden="false" customHeight="false" outlineLevel="0" collapsed="false">
      <c r="B16" s="9" t="s">
        <v>301</v>
      </c>
      <c r="C16" s="16" t="n">
        <f aca="false">SUM(C7:C10)-C11</f>
        <v>0.00999999999999091</v>
      </c>
      <c r="D16" s="16" t="n">
        <f aca="false">SUM(C12:C13)-C14</f>
        <v>0</v>
      </c>
      <c r="E16" s="16" t="n">
        <f aca="false">C11+C14-C15</f>
        <v>0</v>
      </c>
    </row>
    <row r="17" customFormat="false" ht="15" hidden="false" customHeight="false" outlineLevel="0" collapsed="false">
      <c r="B17" s="9" t="s">
        <v>302</v>
      </c>
      <c r="F17" s="13" t="n">
        <f aca="false">SUM(D8:D10)/SUM(C8:C10)</f>
        <v>0.317476732161324</v>
      </c>
      <c r="M17" s="13" t="n">
        <f aca="false">SUM(K8:K10)/SUM(J8:J10)</f>
        <v>0.341176470588235</v>
      </c>
    </row>
    <row r="19" customFormat="false" ht="15" hidden="false" customHeight="false" outlineLevel="0" collapsed="false">
      <c r="A19" s="4" t="s">
        <v>303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customFormat="false" ht="35.05" hidden="false" customHeight="false" outlineLevel="0" collapsed="false">
      <c r="A20" s="8" t="s">
        <v>39</v>
      </c>
      <c r="B20" s="8" t="s">
        <v>90</v>
      </c>
      <c r="C20" s="8" t="s">
        <v>304</v>
      </c>
      <c r="D20" s="8" t="s">
        <v>305</v>
      </c>
      <c r="E20" s="8" t="s">
        <v>306</v>
      </c>
      <c r="F20" s="8" t="s">
        <v>307</v>
      </c>
      <c r="G20" s="8" t="s">
        <v>308</v>
      </c>
      <c r="H20" s="8" t="s">
        <v>309</v>
      </c>
      <c r="I20" s="8" t="s">
        <v>310</v>
      </c>
      <c r="J20" s="8" t="s">
        <v>311</v>
      </c>
      <c r="K20" s="8" t="s">
        <v>312</v>
      </c>
      <c r="L20" s="8" t="s">
        <v>313</v>
      </c>
      <c r="M20" s="8" t="s">
        <v>314</v>
      </c>
      <c r="N20" s="8" t="s">
        <v>315</v>
      </c>
      <c r="O20" s="8" t="s">
        <v>316</v>
      </c>
      <c r="P20" s="8" t="s">
        <v>317</v>
      </c>
      <c r="Q20" s="8" t="s">
        <v>318</v>
      </c>
      <c r="R20" s="8" t="s">
        <v>319</v>
      </c>
      <c r="S20" s="8" t="s">
        <v>320</v>
      </c>
      <c r="T20" s="8" t="s">
        <v>321</v>
      </c>
      <c r="U20" s="8" t="s">
        <v>322</v>
      </c>
      <c r="V20" s="8" t="s">
        <v>323</v>
      </c>
    </row>
    <row r="21" customFormat="false" ht="15" hidden="false" customHeight="false" outlineLevel="0" collapsed="false">
      <c r="A21" s="9" t="n">
        <v>1</v>
      </c>
      <c r="B21" s="9" t="s">
        <v>324</v>
      </c>
      <c r="C21" s="11" t="n">
        <v>520.73</v>
      </c>
      <c r="D21" s="11" t="n">
        <v>4.25</v>
      </c>
      <c r="E21" s="12" t="n">
        <v>0.0082</v>
      </c>
      <c r="F21" s="13" t="n">
        <f aca="false">IF(C21=0,"",D21/C21)</f>
        <v>0.00816161926526223</v>
      </c>
      <c r="G21" s="11" t="n">
        <v>2513.29</v>
      </c>
      <c r="H21" s="11" t="n">
        <v>3.81</v>
      </c>
      <c r="I21" s="12" t="n">
        <v>0.0015</v>
      </c>
      <c r="J21" s="13" t="n">
        <f aca="false">H21/G21</f>
        <v>0.00151594125628161</v>
      </c>
      <c r="K21" s="16" t="n">
        <f aca="false">C21+G21</f>
        <v>3034.02</v>
      </c>
      <c r="L21" s="16" t="n">
        <f aca="false">D21+H21</f>
        <v>8.06</v>
      </c>
      <c r="M21" s="13" t="n">
        <f aca="false">L21/K21</f>
        <v>0.00265654148621301</v>
      </c>
      <c r="N21" s="17" t="n">
        <f aca="false">K21/$K$25</f>
        <v>0.862731605227539</v>
      </c>
      <c r="O21" s="17" t="n">
        <f aca="false">L21/$L$25</f>
        <v>0.921142857142857</v>
      </c>
      <c r="P21" s="11" t="n">
        <v>503.92</v>
      </c>
      <c r="Q21" s="11" t="n">
        <v>4.56</v>
      </c>
      <c r="R21" s="11" t="n">
        <v>2517.42</v>
      </c>
      <c r="S21" s="11" t="n">
        <v>3.72</v>
      </c>
      <c r="T21" s="13" t="n">
        <f aca="false">(Q21+S21)/(P21+R21)</f>
        <v>0.00274050586825713</v>
      </c>
      <c r="U21" s="15" t="n">
        <f aca="false">(M21-T21)*100</f>
        <v>-0.00839643820441192</v>
      </c>
      <c r="V21" s="16" t="n">
        <f aca="false">K21-(P21+R21)</f>
        <v>12.6799999999998</v>
      </c>
    </row>
    <row r="22" customFormat="false" ht="15" hidden="false" customHeight="false" outlineLevel="0" collapsed="false">
      <c r="A22" s="9" t="n">
        <v>2</v>
      </c>
      <c r="B22" s="9" t="s">
        <v>105</v>
      </c>
      <c r="C22" s="11" t="n">
        <v>27.82</v>
      </c>
      <c r="D22" s="11" t="n">
        <v>0.13</v>
      </c>
      <c r="E22" s="12" t="n">
        <v>0.0048</v>
      </c>
      <c r="F22" s="13" t="n">
        <f aca="false">IF(C22=0,"",D22/C22)</f>
        <v>0.00467289719626168</v>
      </c>
      <c r="G22" s="11" t="n">
        <v>144.64</v>
      </c>
      <c r="H22" s="11" t="n">
        <v>0.19</v>
      </c>
      <c r="I22" s="12" t="n">
        <v>0.0013</v>
      </c>
      <c r="J22" s="13" t="n">
        <f aca="false">H22/G22</f>
        <v>0.00131360619469027</v>
      </c>
      <c r="K22" s="16" t="n">
        <f aca="false">C22+G22</f>
        <v>172.46</v>
      </c>
      <c r="L22" s="16" t="n">
        <f aca="false">D22+H22</f>
        <v>0.32</v>
      </c>
      <c r="M22" s="13" t="n">
        <f aca="false">L22/K22</f>
        <v>0.00185550272526963</v>
      </c>
      <c r="N22" s="17" t="n">
        <f aca="false">K22/$K$25</f>
        <v>0.0490394567727112</v>
      </c>
      <c r="O22" s="17" t="n">
        <f aca="false">L22/$L$25</f>
        <v>0.0365714285714286</v>
      </c>
      <c r="P22" s="11" t="n">
        <v>27.53</v>
      </c>
      <c r="Q22" s="11" t="n">
        <v>0.21</v>
      </c>
      <c r="R22" s="11" t="n">
        <v>144.88</v>
      </c>
      <c r="S22" s="11" t="n">
        <v>0.28</v>
      </c>
      <c r="T22" s="13" t="n">
        <f aca="false">(Q22+S22)/(P22+R22)</f>
        <v>0.00284206252537556</v>
      </c>
      <c r="U22" s="15" t="n">
        <f aca="false">(M22-T22)*100</f>
        <v>-0.098655980010593</v>
      </c>
      <c r="V22" s="16" t="n">
        <f aca="false">K22-(P22+R22)</f>
        <v>0.049999999999983</v>
      </c>
    </row>
    <row r="23" customFormat="false" ht="15" hidden="false" customHeight="false" outlineLevel="0" collapsed="false">
      <c r="A23" s="9" t="n">
        <v>3</v>
      </c>
      <c r="B23" s="9" t="s">
        <v>106</v>
      </c>
      <c r="C23" s="11" t="n">
        <v>28.58</v>
      </c>
      <c r="D23" s="11" t="n">
        <v>0.11</v>
      </c>
      <c r="E23" s="12" t="n">
        <v>0.004</v>
      </c>
      <c r="F23" s="13" t="n">
        <f aca="false">IF(C23=0,"",D23/C23)</f>
        <v>0.00384884534639608</v>
      </c>
      <c r="G23" s="11" t="n">
        <v>255.83</v>
      </c>
      <c r="H23" s="11" t="n">
        <v>0.23</v>
      </c>
      <c r="I23" s="12" t="n">
        <v>0.0009</v>
      </c>
      <c r="J23" s="13" t="n">
        <f aca="false">H23/G23</f>
        <v>0.000899034515107689</v>
      </c>
      <c r="K23" s="16" t="n">
        <f aca="false">C23+G23</f>
        <v>284.41</v>
      </c>
      <c r="L23" s="16" t="n">
        <f aca="false">D23+H23</f>
        <v>0.34</v>
      </c>
      <c r="M23" s="13" t="n">
        <f aca="false">L23/K23</f>
        <v>0.00119545726240287</v>
      </c>
      <c r="N23" s="17" t="n">
        <f aca="false">K23/$K$25</f>
        <v>0.0808727351312003</v>
      </c>
      <c r="O23" s="17" t="n">
        <f aca="false">L23/$L$25</f>
        <v>0.0388571428571429</v>
      </c>
      <c r="P23" s="11" t="n">
        <v>27.58</v>
      </c>
      <c r="Q23" s="11" t="n">
        <v>0.13</v>
      </c>
      <c r="R23" s="11" t="n">
        <v>256.07</v>
      </c>
      <c r="S23" s="11" t="n">
        <v>0.25</v>
      </c>
      <c r="T23" s="13" t="n">
        <f aca="false">(Q23+S23)/(P23+R23)</f>
        <v>0.0013396791820906</v>
      </c>
      <c r="U23" s="15" t="n">
        <f aca="false">(M23-T23)*100</f>
        <v>-0.0144221919687736</v>
      </c>
      <c r="V23" s="16" t="n">
        <f aca="false">K23-(P23+R23)</f>
        <v>0.760000000000048</v>
      </c>
    </row>
    <row r="24" customFormat="false" ht="15" hidden="false" customHeight="false" outlineLevel="0" collapsed="false">
      <c r="A24" s="9" t="n">
        <v>4</v>
      </c>
      <c r="B24" s="9" t="s">
        <v>325</v>
      </c>
      <c r="C24" s="11" t="n">
        <v>0</v>
      </c>
      <c r="D24" s="11" t="n">
        <v>0</v>
      </c>
      <c r="E24" s="12" t="n">
        <v>0</v>
      </c>
      <c r="F24" s="13" t="str">
        <f aca="false">IF(C24=0,"",D24/C24)</f>
        <v/>
      </c>
      <c r="G24" s="11" t="n">
        <v>25.85</v>
      </c>
      <c r="H24" s="11" t="n">
        <v>0.02</v>
      </c>
      <c r="I24" s="12" t="n">
        <v>0.0007</v>
      </c>
      <c r="J24" s="13" t="n">
        <f aca="false">H24/G24</f>
        <v>0.000773694390715667</v>
      </c>
      <c r="K24" s="16" t="n">
        <f aca="false">C24+G24</f>
        <v>25.85</v>
      </c>
      <c r="L24" s="16" t="n">
        <f aca="false">D24+H24</f>
        <v>0.02</v>
      </c>
      <c r="M24" s="13" t="n">
        <f aca="false">L24/K24</f>
        <v>0.000773694390715667</v>
      </c>
      <c r="N24" s="17" t="n">
        <f aca="false">K24/$K$25</f>
        <v>0.00735051581569399</v>
      </c>
      <c r="O24" s="17" t="n">
        <f aca="false">L24/$L$25</f>
        <v>0.00228571428571429</v>
      </c>
      <c r="P24" s="11" t="n">
        <v>0</v>
      </c>
      <c r="Q24" s="11" t="n">
        <v>0</v>
      </c>
      <c r="R24" s="11" t="n">
        <v>25.88</v>
      </c>
      <c r="S24" s="11" t="n">
        <v>0.01</v>
      </c>
      <c r="T24" s="13" t="n">
        <f aca="false">(Q24+S24)/(P24+R24)</f>
        <v>0.000386398763523957</v>
      </c>
      <c r="U24" s="15" t="n">
        <f aca="false">(M24-T24)*100</f>
        <v>0.0387295627191711</v>
      </c>
      <c r="V24" s="16" t="n">
        <f aca="false">K24-(P24+R24)</f>
        <v>-0.0299999999999976</v>
      </c>
    </row>
    <row r="25" customFormat="false" ht="15" hidden="false" customHeight="false" outlineLevel="0" collapsed="false">
      <c r="A25" s="9" t="n">
        <v>5</v>
      </c>
      <c r="B25" s="18" t="s">
        <v>62</v>
      </c>
      <c r="C25" s="11" t="n">
        <v>577.14</v>
      </c>
      <c r="D25" s="11" t="n">
        <v>4.5</v>
      </c>
      <c r="E25" s="12" t="n">
        <v>0.0078</v>
      </c>
      <c r="F25" s="13" t="n">
        <f aca="false">IF(C25=0,"",D25/C25)</f>
        <v>0.00779706830231833</v>
      </c>
      <c r="G25" s="11" t="n">
        <v>2939.62</v>
      </c>
      <c r="H25" s="11" t="n">
        <v>4.25</v>
      </c>
      <c r="I25" s="12" t="n">
        <v>0.0014</v>
      </c>
      <c r="J25" s="13" t="n">
        <f aca="false">H25/G25</f>
        <v>0.00144576509889033</v>
      </c>
      <c r="K25" s="16" t="n">
        <f aca="false">C25+G25</f>
        <v>3516.76</v>
      </c>
      <c r="L25" s="16" t="n">
        <f aca="false">D25+H25</f>
        <v>8.75</v>
      </c>
      <c r="M25" s="13" t="n">
        <f aca="false">L25/K25</f>
        <v>0.00248808562426779</v>
      </c>
      <c r="N25" s="17" t="n">
        <f aca="false">K25/$K$25</f>
        <v>1</v>
      </c>
      <c r="O25" s="17" t="n">
        <f aca="false">L25/$L$25</f>
        <v>1</v>
      </c>
      <c r="P25" s="11" t="n">
        <v>559.03</v>
      </c>
      <c r="Q25" s="11" t="n">
        <v>4.9</v>
      </c>
      <c r="R25" s="11" t="n">
        <v>2944.25</v>
      </c>
      <c r="S25" s="11" t="n">
        <v>4.26</v>
      </c>
      <c r="T25" s="13" t="n">
        <f aca="false">(Q25+S25)/(P25+R25)</f>
        <v>0.00261469251672718</v>
      </c>
      <c r="U25" s="15" t="n">
        <f aca="false">(M25-T25)*100</f>
        <v>-0.0126606892459389</v>
      </c>
      <c r="V25" s="16" t="n">
        <f aca="false">K25-(P25+R25)</f>
        <v>13.48</v>
      </c>
    </row>
    <row r="26" customFormat="false" ht="15" hidden="false" customHeight="false" outlineLevel="0" collapsed="false">
      <c r="B26" s="9" t="s">
        <v>326</v>
      </c>
      <c r="C26" s="16" t="n">
        <f aca="false">SUM(C21:C24)-C25</f>
        <v>-0.00999999999999091</v>
      </c>
      <c r="G26" s="16" t="n">
        <f aca="false">SUM(G21:G24)-G25</f>
        <v>-0.00999999999976353</v>
      </c>
      <c r="L26" s="16" t="n">
        <f aca="false">SUM(L21:L24)-L25</f>
        <v>-0.00999999999999979</v>
      </c>
    </row>
    <row r="28" customFormat="false" ht="15" hidden="false" customHeight="false" outlineLevel="0" collapsed="false">
      <c r="A28" s="4" t="s">
        <v>327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customFormat="false" ht="35.05" hidden="false" customHeight="false" outlineLevel="0" collapsed="false">
      <c r="A29" s="8" t="s">
        <v>39</v>
      </c>
      <c r="B29" s="8" t="s">
        <v>328</v>
      </c>
      <c r="C29" s="8" t="s">
        <v>329</v>
      </c>
      <c r="D29" s="8" t="s">
        <v>330</v>
      </c>
      <c r="E29" s="8" t="s">
        <v>331</v>
      </c>
      <c r="F29" s="8" t="s">
        <v>332</v>
      </c>
      <c r="G29" s="8" t="s">
        <v>333</v>
      </c>
      <c r="H29" s="8" t="s">
        <v>334</v>
      </c>
      <c r="I29" s="8" t="s">
        <v>335</v>
      </c>
      <c r="J29" s="8" t="s">
        <v>336</v>
      </c>
      <c r="K29" s="8" t="s">
        <v>337</v>
      </c>
      <c r="L29" s="8" t="s">
        <v>322</v>
      </c>
      <c r="M29" s="8" t="s">
        <v>323</v>
      </c>
      <c r="N29" s="8" t="s">
        <v>338</v>
      </c>
    </row>
    <row r="30" customFormat="false" ht="15" hidden="false" customHeight="false" outlineLevel="0" collapsed="false">
      <c r="A30" s="9" t="n">
        <v>1</v>
      </c>
      <c r="B30" s="9" t="s">
        <v>339</v>
      </c>
      <c r="C30" s="11" t="n">
        <v>58.6</v>
      </c>
      <c r="D30" s="11" t="n">
        <v>0.56</v>
      </c>
      <c r="E30" s="12" t="n">
        <v>0.0096</v>
      </c>
      <c r="F30" s="13" t="n">
        <f aca="false">D30/C30</f>
        <v>0.00955631399317406</v>
      </c>
      <c r="G30" s="17" t="n">
        <f aca="false">C30/$C$37</f>
        <v>0.0166630648665249</v>
      </c>
      <c r="H30" s="17" t="n">
        <f aca="false">D30/$D$37</f>
        <v>0.064</v>
      </c>
      <c r="I30" s="11" t="n">
        <v>54.51</v>
      </c>
      <c r="J30" s="11" t="n">
        <v>0.61</v>
      </c>
      <c r="K30" s="13" t="n">
        <f aca="false">J30/I30</f>
        <v>0.0111906072280316</v>
      </c>
      <c r="L30" s="15" t="n">
        <f aca="false">(F30-K30)*100</f>
        <v>-0.163429323485749</v>
      </c>
      <c r="M30" s="16" t="n">
        <f aca="false">C30-I30</f>
        <v>4.09</v>
      </c>
      <c r="N30" s="13" t="n">
        <f aca="false">F30*12</f>
        <v>0.114675767918089</v>
      </c>
    </row>
    <row r="31" customFormat="false" ht="15" hidden="false" customHeight="false" outlineLevel="0" collapsed="false">
      <c r="A31" s="9" t="n">
        <v>2</v>
      </c>
      <c r="B31" s="9" t="s">
        <v>340</v>
      </c>
      <c r="C31" s="11" t="n">
        <v>518.54</v>
      </c>
      <c r="D31" s="11" t="n">
        <v>3.94</v>
      </c>
      <c r="E31" s="12" t="n">
        <v>0.0076</v>
      </c>
      <c r="F31" s="13" t="n">
        <f aca="false">D31/C31</f>
        <v>0.00759825664365334</v>
      </c>
      <c r="G31" s="17" t="n">
        <f aca="false">C31/$C$37</f>
        <v>0.147448219383751</v>
      </c>
      <c r="H31" s="17" t="n">
        <f aca="false">D31/$D$37</f>
        <v>0.450285714285714</v>
      </c>
      <c r="I31" s="11" t="n">
        <v>504.53</v>
      </c>
      <c r="J31" s="11" t="n">
        <v>4.29</v>
      </c>
      <c r="K31" s="13" t="n">
        <f aca="false">J31/I31</f>
        <v>0.00850296315382633</v>
      </c>
      <c r="L31" s="15" t="n">
        <f aca="false">(F31-K31)*100</f>
        <v>-0.0904706510172999</v>
      </c>
      <c r="M31" s="16" t="n">
        <f aca="false">C31-I31</f>
        <v>14.01</v>
      </c>
      <c r="N31" s="13" t="n">
        <f aca="false">F31*12</f>
        <v>0.09117907972384</v>
      </c>
    </row>
    <row r="32" customFormat="false" ht="15" hidden="false" customHeight="false" outlineLevel="0" collapsed="false">
      <c r="A32" s="9" t="n">
        <v>3</v>
      </c>
      <c r="B32" s="9" t="s">
        <v>341</v>
      </c>
      <c r="C32" s="11" t="n">
        <v>99.35</v>
      </c>
      <c r="D32" s="11" t="n">
        <v>0.29</v>
      </c>
      <c r="E32" s="12" t="n">
        <v>0.003</v>
      </c>
      <c r="F32" s="13" t="n">
        <f aca="false">D32/C32</f>
        <v>0.00291897332662305</v>
      </c>
      <c r="G32" s="17" t="n">
        <f aca="false">C32/$C$37</f>
        <v>0.0282504350595434</v>
      </c>
      <c r="H32" s="17" t="n">
        <f aca="false">D32/$D$37</f>
        <v>0.0331428571428571</v>
      </c>
      <c r="I32" s="11" t="n">
        <v>173.78</v>
      </c>
      <c r="J32" s="11" t="n">
        <v>0.49</v>
      </c>
      <c r="K32" s="13" t="n">
        <f aca="false">J32/I32</f>
        <v>0.00281965703763379</v>
      </c>
      <c r="L32" s="15" t="n">
        <f aca="false">(F32-K32)*100</f>
        <v>0.00993162889892599</v>
      </c>
      <c r="M32" s="16" t="n">
        <f aca="false">C32-I32</f>
        <v>-74.43</v>
      </c>
      <c r="N32" s="13" t="n">
        <f aca="false">F32*12</f>
        <v>0.0350276799194766</v>
      </c>
    </row>
    <row r="33" customFormat="false" ht="15" hidden="false" customHeight="false" outlineLevel="0" collapsed="false">
      <c r="A33" s="9" t="n">
        <v>4</v>
      </c>
      <c r="B33" s="9" t="s">
        <v>342</v>
      </c>
      <c r="C33" s="11" t="n">
        <v>563.87</v>
      </c>
      <c r="D33" s="11" t="n">
        <v>1.71</v>
      </c>
      <c r="E33" s="12" t="n">
        <v>0.003</v>
      </c>
      <c r="F33" s="13" t="n">
        <f aca="false">D33/C33</f>
        <v>0.00303261390036711</v>
      </c>
      <c r="G33" s="17" t="n">
        <f aca="false">C33/$C$37</f>
        <v>0.160337924680672</v>
      </c>
      <c r="H33" s="17" t="n">
        <f aca="false">D33/$D$37</f>
        <v>0.195428571428571</v>
      </c>
      <c r="I33" s="11" t="n">
        <v>639.92</v>
      </c>
      <c r="J33" s="11" t="n">
        <v>1.68</v>
      </c>
      <c r="K33" s="13" t="n">
        <f aca="false">J33/I33</f>
        <v>0.00262532816602075</v>
      </c>
      <c r="L33" s="15" t="n">
        <f aca="false">(F33-K33)*100</f>
        <v>0.0407285734346353</v>
      </c>
      <c r="M33" s="16" t="n">
        <f aca="false">C33-I33</f>
        <v>-76.05</v>
      </c>
      <c r="N33" s="13" t="n">
        <f aca="false">F33*12</f>
        <v>0.0363913668044053</v>
      </c>
    </row>
    <row r="34" customFormat="false" ht="15" hidden="false" customHeight="false" outlineLevel="0" collapsed="false">
      <c r="A34" s="9" t="n">
        <v>5</v>
      </c>
      <c r="B34" s="9" t="s">
        <v>343</v>
      </c>
      <c r="C34" s="11" t="n">
        <v>610.61</v>
      </c>
      <c r="D34" s="11" t="n">
        <v>0.94</v>
      </c>
      <c r="E34" s="12" t="n">
        <v>0.0015</v>
      </c>
      <c r="F34" s="13" t="n">
        <f aca="false">D34/C34</f>
        <v>0.00153944416239498</v>
      </c>
      <c r="G34" s="17" t="n">
        <f aca="false">C34/$C$37</f>
        <v>0.173628567203904</v>
      </c>
      <c r="H34" s="17" t="n">
        <f aca="false">D34/$D$37</f>
        <v>0.107428571428571</v>
      </c>
      <c r="I34" s="11" t="n">
        <v>522.61</v>
      </c>
      <c r="J34" s="11" t="n">
        <v>0.74</v>
      </c>
      <c r="K34" s="13" t="n">
        <f aca="false">J34/I34</f>
        <v>0.00141596984366928</v>
      </c>
      <c r="L34" s="15" t="n">
        <f aca="false">(F34-K34)*100</f>
        <v>0.0123474318725707</v>
      </c>
      <c r="M34" s="16" t="n">
        <f aca="false">C34-I34</f>
        <v>88</v>
      </c>
      <c r="N34" s="13" t="n">
        <f aca="false">F34*12</f>
        <v>0.0184733299487398</v>
      </c>
    </row>
    <row r="35" customFormat="false" ht="15" hidden="false" customHeight="false" outlineLevel="0" collapsed="false">
      <c r="A35" s="9" t="n">
        <v>6</v>
      </c>
      <c r="B35" s="9" t="s">
        <v>344</v>
      </c>
      <c r="C35" s="11" t="n">
        <v>282.69</v>
      </c>
      <c r="D35" s="11" t="n">
        <v>0.24</v>
      </c>
      <c r="E35" s="12" t="n">
        <v>0.0008</v>
      </c>
      <c r="F35" s="13" t="n">
        <f aca="false">D35/C35</f>
        <v>0.000848986522338958</v>
      </c>
      <c r="G35" s="17" t="n">
        <f aca="false">C35/$C$37</f>
        <v>0.08038364858563</v>
      </c>
      <c r="H35" s="17" t="n">
        <f aca="false">D35/$D$37</f>
        <v>0.0274285714285714</v>
      </c>
      <c r="I35" s="11" t="n">
        <v>268.95</v>
      </c>
      <c r="J35" s="11" t="n">
        <v>0.21</v>
      </c>
      <c r="K35" s="13" t="n">
        <f aca="false">J35/I35</f>
        <v>0.000780814277746793</v>
      </c>
      <c r="L35" s="15" t="n">
        <f aca="false">(F35-K35)*100</f>
        <v>0.00681722445921647</v>
      </c>
      <c r="M35" s="16" t="n">
        <f aca="false">C35-I35</f>
        <v>13.74</v>
      </c>
      <c r="N35" s="13" t="n">
        <f aca="false">F35*12</f>
        <v>0.0101878382680675</v>
      </c>
    </row>
    <row r="36" customFormat="false" ht="15" hidden="false" customHeight="false" outlineLevel="0" collapsed="false">
      <c r="A36" s="9" t="n">
        <v>7</v>
      </c>
      <c r="B36" s="9" t="s">
        <v>345</v>
      </c>
      <c r="C36" s="11" t="n">
        <v>1383.1</v>
      </c>
      <c r="D36" s="11" t="n">
        <v>1.08</v>
      </c>
      <c r="E36" s="12" t="n">
        <v>0.0008</v>
      </c>
      <c r="F36" s="13" t="n">
        <f aca="false">D36/C36</f>
        <v>0.000780854601981057</v>
      </c>
      <c r="G36" s="17" t="n">
        <f aca="false">C36/$C$37</f>
        <v>0.393288140219975</v>
      </c>
      <c r="H36" s="17" t="n">
        <f aca="false">D36/$D$37</f>
        <v>0.123428571428571</v>
      </c>
      <c r="I36" s="11" t="n">
        <v>1339</v>
      </c>
      <c r="J36" s="11" t="n">
        <v>1.13</v>
      </c>
      <c r="K36" s="13" t="n">
        <f aca="false">J36/I36</f>
        <v>0.000843913368185213</v>
      </c>
      <c r="L36" s="15" t="n">
        <f aca="false">(F36-K36)*100</f>
        <v>-0.00630587662041556</v>
      </c>
      <c r="M36" s="16" t="n">
        <f aca="false">C36-I36</f>
        <v>44.0999999999999</v>
      </c>
      <c r="N36" s="13" t="n">
        <f aca="false">F36*12</f>
        <v>0.00937025522377269</v>
      </c>
    </row>
    <row r="37" customFormat="false" ht="15" hidden="false" customHeight="false" outlineLevel="0" collapsed="false">
      <c r="A37" s="9" t="n">
        <v>8</v>
      </c>
      <c r="B37" s="18" t="s">
        <v>62</v>
      </c>
      <c r="C37" s="11" t="n">
        <v>3516.76</v>
      </c>
      <c r="D37" s="11" t="n">
        <v>8.75</v>
      </c>
      <c r="E37" s="12" t="n">
        <v>0.0025</v>
      </c>
      <c r="F37" s="13" t="n">
        <f aca="false">D37/C37</f>
        <v>0.00248808562426779</v>
      </c>
      <c r="G37" s="17" t="n">
        <f aca="false">C37/$C$37</f>
        <v>1</v>
      </c>
      <c r="H37" s="17" t="n">
        <f aca="false">D37/$D$37</f>
        <v>1</v>
      </c>
      <c r="I37" s="11" t="n">
        <v>3503.29</v>
      </c>
      <c r="J37" s="11" t="n">
        <v>9.16</v>
      </c>
      <c r="K37" s="13" t="n">
        <f aca="false">J37/I37</f>
        <v>0.00261468505319286</v>
      </c>
      <c r="L37" s="15" t="n">
        <f aca="false">(F37-K37)*100</f>
        <v>-0.0126599428925064</v>
      </c>
      <c r="M37" s="16" t="n">
        <f aca="false">C37-I37</f>
        <v>13.4700000000003</v>
      </c>
      <c r="N37" s="13" t="n">
        <f aca="false">F37*12</f>
        <v>0.0298570274912135</v>
      </c>
    </row>
    <row r="38" customFormat="false" ht="15" hidden="false" customHeight="false" outlineLevel="0" collapsed="false">
      <c r="B38" s="9" t="s">
        <v>346</v>
      </c>
      <c r="C38" s="16" t="n">
        <f aca="false">SUM(C30:C36)-C37</f>
        <v>0</v>
      </c>
      <c r="D38" s="16" t="n">
        <f aca="false">SUM(D30:D36)-D37</f>
        <v>0.00999999999999979</v>
      </c>
      <c r="I38" s="16" t="n">
        <f aca="false">C37-K25</f>
        <v>0</v>
      </c>
    </row>
    <row r="39" customFormat="false" ht="15" hidden="false" customHeight="false" outlineLevel="0" collapsed="false">
      <c r="B39" s="9" t="s">
        <v>347</v>
      </c>
      <c r="C39" s="16" t="n">
        <f aca="false">C30+C31</f>
        <v>577.14</v>
      </c>
      <c r="F39" s="13" t="n">
        <f aca="false">(D30+D31)/C39</f>
        <v>0.00779706830231833</v>
      </c>
      <c r="I39" s="16" t="n">
        <f aca="false">SUM(C32:C36)</f>
        <v>2939.62</v>
      </c>
      <c r="K39" s="13" t="n">
        <f aca="false">SUM(D32:D36)/I39</f>
        <v>0.00144916689912302</v>
      </c>
    </row>
    <row r="41" customFormat="false" ht="15" hidden="false" customHeight="false" outlineLevel="0" collapsed="false">
      <c r="A41" s="4" t="s">
        <v>348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customFormat="false" ht="35.05" hidden="false" customHeight="false" outlineLevel="0" collapsed="false">
      <c r="A42" s="8" t="s">
        <v>39</v>
      </c>
      <c r="B42" s="8" t="s">
        <v>90</v>
      </c>
      <c r="C42" s="8" t="s">
        <v>69</v>
      </c>
      <c r="D42" s="8" t="s">
        <v>349</v>
      </c>
      <c r="E42" s="8" t="s">
        <v>350</v>
      </c>
      <c r="F42" s="8" t="s">
        <v>351</v>
      </c>
      <c r="G42" s="8" t="s">
        <v>352</v>
      </c>
      <c r="H42" s="8" t="s">
        <v>353</v>
      </c>
      <c r="I42" s="8" t="s">
        <v>354</v>
      </c>
      <c r="J42" s="8" t="s">
        <v>355</v>
      </c>
      <c r="K42" s="8" t="s">
        <v>356</v>
      </c>
      <c r="L42" s="8" t="s">
        <v>357</v>
      </c>
      <c r="M42" s="8" t="s">
        <v>358</v>
      </c>
      <c r="N42" s="8" t="s">
        <v>359</v>
      </c>
      <c r="O42" s="8" t="s">
        <v>360</v>
      </c>
      <c r="P42" s="8" t="s">
        <v>361</v>
      </c>
      <c r="Q42" s="8" t="s">
        <v>362</v>
      </c>
      <c r="R42" s="8" t="s">
        <v>363</v>
      </c>
      <c r="S42" s="8" t="s">
        <v>364</v>
      </c>
      <c r="T42" s="8" t="s">
        <v>365</v>
      </c>
      <c r="U42" s="8" t="s">
        <v>366</v>
      </c>
    </row>
    <row r="43" customFormat="false" ht="15" hidden="false" customHeight="false" outlineLevel="0" collapsed="false">
      <c r="A43" s="9" t="n">
        <v>1</v>
      </c>
      <c r="B43" s="9" t="s">
        <v>367</v>
      </c>
      <c r="C43" s="9" t="s">
        <v>294</v>
      </c>
      <c r="D43" s="10" t="n">
        <v>19543</v>
      </c>
      <c r="E43" s="11" t="n">
        <v>55.96</v>
      </c>
      <c r="F43" s="11" t="n">
        <v>20.89</v>
      </c>
      <c r="G43" s="12" t="n">
        <v>0.3733</v>
      </c>
      <c r="H43" s="13" t="n">
        <f aca="false">F43/E43</f>
        <v>0.373302358827734</v>
      </c>
      <c r="I43" s="11" t="n">
        <v>35.07</v>
      </c>
      <c r="J43" s="12" t="n">
        <v>0.6267</v>
      </c>
      <c r="K43" s="13" t="n">
        <f aca="false">H43+I43/E43</f>
        <v>1</v>
      </c>
      <c r="L43" s="11" t="n">
        <v>20.53</v>
      </c>
      <c r="M43" s="12" t="n">
        <v>0.3669</v>
      </c>
      <c r="N43" s="16" t="n">
        <f aca="false">IF(L43="","obscured",F43-L43)</f>
        <v>0.359999999999999</v>
      </c>
      <c r="O43" s="10" t="n">
        <v>19543</v>
      </c>
      <c r="P43" s="11" t="n">
        <v>55.96</v>
      </c>
      <c r="Q43" s="10" t="n">
        <v>11717</v>
      </c>
      <c r="R43" s="11" t="n">
        <v>35.07</v>
      </c>
      <c r="S43" s="12" t="n">
        <v>0.6267</v>
      </c>
      <c r="T43" s="13" t="n">
        <f aca="false">R43/P43</f>
        <v>0.626697641172266</v>
      </c>
      <c r="U43" s="17" t="n">
        <f aca="false">Q43/O43</f>
        <v>0.599549710893926</v>
      </c>
    </row>
    <row r="44" customFormat="false" ht="15" hidden="false" customHeight="false" outlineLevel="0" collapsed="false">
      <c r="A44" s="9" t="n">
        <v>2</v>
      </c>
      <c r="B44" s="9" t="s">
        <v>367</v>
      </c>
      <c r="C44" s="9" t="s">
        <v>295</v>
      </c>
      <c r="D44" s="10" t="n">
        <v>9781</v>
      </c>
      <c r="E44" s="11" t="n">
        <v>29.07</v>
      </c>
      <c r="F44" s="11" t="n">
        <v>2.55</v>
      </c>
      <c r="G44" s="12" t="n">
        <v>0.0876</v>
      </c>
      <c r="H44" s="13" t="n">
        <f aca="false">F44/E44</f>
        <v>0.087719298245614</v>
      </c>
      <c r="I44" s="11" t="n">
        <v>26.52</v>
      </c>
      <c r="J44" s="12" t="n">
        <v>0.9124</v>
      </c>
      <c r="K44" s="13" t="n">
        <f aca="false">H44+I44/E44</f>
        <v>1</v>
      </c>
      <c r="L44" s="11" t="n">
        <v>2.52</v>
      </c>
      <c r="M44" s="12" t="n">
        <v>0.0866</v>
      </c>
      <c r="N44" s="16" t="n">
        <f aca="false">IF(L44="","obscured",F44-L44)</f>
        <v>0.0299999999999998</v>
      </c>
      <c r="O44" s="10" t="n">
        <v>9685</v>
      </c>
      <c r="P44" s="11" t="n">
        <v>28.82</v>
      </c>
      <c r="Q44" s="10" t="n">
        <v>8714</v>
      </c>
      <c r="R44" s="11" t="n">
        <v>26.52</v>
      </c>
      <c r="S44" s="12" t="n">
        <v>0.92</v>
      </c>
      <c r="T44" s="13" t="n">
        <f aca="false">R44/P44</f>
        <v>0.920194309507287</v>
      </c>
      <c r="U44" s="17" t="n">
        <f aca="false">Q44/O44</f>
        <v>0.899741868869386</v>
      </c>
    </row>
    <row r="45" customFormat="false" ht="15" hidden="false" customHeight="false" outlineLevel="0" collapsed="false">
      <c r="A45" s="9" t="n">
        <v>3</v>
      </c>
      <c r="B45" s="9" t="s">
        <v>367</v>
      </c>
      <c r="C45" s="9" t="s">
        <v>296</v>
      </c>
      <c r="D45" s="10" t="n">
        <v>8674</v>
      </c>
      <c r="E45" s="11" t="n">
        <v>24.41</v>
      </c>
      <c r="F45" s="11" t="n">
        <v>0.92</v>
      </c>
      <c r="G45" s="12" t="n">
        <v>0.0378</v>
      </c>
      <c r="H45" s="13" t="n">
        <f aca="false">F45/E45</f>
        <v>0.0376894715280623</v>
      </c>
      <c r="I45" s="11" t="n">
        <v>23.48</v>
      </c>
      <c r="J45" s="12" t="n">
        <v>0.9622</v>
      </c>
      <c r="K45" s="13" t="n">
        <f aca="false">H45+I45/E45</f>
        <v>0.999590331831217</v>
      </c>
      <c r="L45" s="11" t="n">
        <v>0.92</v>
      </c>
      <c r="M45" s="12" t="n">
        <v>0.0378</v>
      </c>
      <c r="N45" s="16" t="n">
        <f aca="false">IF(L45="","obscured",F45-L45)</f>
        <v>0</v>
      </c>
      <c r="O45" s="10" t="n">
        <v>8383</v>
      </c>
      <c r="P45" s="11" t="n">
        <v>23.73</v>
      </c>
      <c r="Q45" s="10" t="n">
        <v>8233</v>
      </c>
      <c r="R45" s="11" t="n">
        <v>23.48</v>
      </c>
      <c r="S45" s="12" t="n">
        <v>0.9897</v>
      </c>
      <c r="T45" s="13" t="n">
        <f aca="false">R45/P45</f>
        <v>0.989464812473662</v>
      </c>
      <c r="U45" s="17" t="n">
        <f aca="false">Q45/O45</f>
        <v>0.98210664439938</v>
      </c>
    </row>
    <row r="46" customFormat="false" ht="15" hidden="false" customHeight="false" outlineLevel="0" collapsed="false">
      <c r="A46" s="9" t="n">
        <v>4</v>
      </c>
      <c r="B46" s="18" t="s">
        <v>367</v>
      </c>
      <c r="C46" s="9" t="s">
        <v>62</v>
      </c>
      <c r="D46" s="10" t="n">
        <v>37998</v>
      </c>
      <c r="E46" s="11" t="n">
        <v>109.44</v>
      </c>
      <c r="F46" s="11" t="n">
        <v>24.36</v>
      </c>
      <c r="G46" s="12" t="n">
        <v>0.2226</v>
      </c>
      <c r="H46" s="13" t="n">
        <f aca="false">F46/E46</f>
        <v>0.222587719298246</v>
      </c>
      <c r="I46" s="11" t="n">
        <v>85.08</v>
      </c>
      <c r="J46" s="12" t="n">
        <v>0.7774</v>
      </c>
      <c r="K46" s="13" t="n">
        <f aca="false">H46+I46/E46</f>
        <v>1</v>
      </c>
      <c r="L46" s="11" t="n">
        <v>23.97</v>
      </c>
      <c r="M46" s="12" t="n">
        <v>0.2191</v>
      </c>
      <c r="N46" s="16" t="n">
        <f aca="false">IF(L46="","obscured",F46-L46)</f>
        <v>0.390000000000001</v>
      </c>
      <c r="O46" s="10" t="n">
        <v>37611</v>
      </c>
      <c r="P46" s="11" t="n">
        <v>108.52</v>
      </c>
      <c r="Q46" s="10" t="n">
        <v>28664</v>
      </c>
      <c r="R46" s="11" t="n">
        <v>85.08</v>
      </c>
      <c r="S46" s="12" t="n">
        <v>0.784</v>
      </c>
      <c r="T46" s="13" t="n">
        <f aca="false">R46/P46</f>
        <v>0.784002948765205</v>
      </c>
      <c r="U46" s="17" t="n">
        <f aca="false">Q46/O46</f>
        <v>0.762117465635054</v>
      </c>
    </row>
    <row r="47" customFormat="false" ht="15" hidden="false" customHeight="false" outlineLevel="0" collapsed="false">
      <c r="A47" s="9" t="n">
        <v>5</v>
      </c>
      <c r="B47" s="9" t="s">
        <v>324</v>
      </c>
      <c r="C47" s="9" t="s">
        <v>294</v>
      </c>
      <c r="D47" s="10" t="n">
        <v>17531</v>
      </c>
      <c r="E47" s="11" t="n">
        <v>51.86</v>
      </c>
      <c r="F47" s="11" t="n">
        <v>19.49</v>
      </c>
      <c r="G47" s="12" t="n">
        <v>0.3759</v>
      </c>
      <c r="H47" s="13" t="n">
        <f aca="false">F47/E47</f>
        <v>0.375819514076359</v>
      </c>
      <c r="I47" s="11" t="n">
        <v>32.37</v>
      </c>
      <c r="J47" s="12" t="n">
        <v>0.6241</v>
      </c>
      <c r="K47" s="13" t="n">
        <f aca="false">H47+I47/E47</f>
        <v>1</v>
      </c>
      <c r="L47" s="11" t="n">
        <v>19.17</v>
      </c>
      <c r="M47" s="12" t="n">
        <v>0.3695</v>
      </c>
      <c r="N47" s="16" t="n">
        <f aca="false">IF(L47="","obscured",F47-L47)</f>
        <v>0.319999999999997</v>
      </c>
      <c r="O47" s="10" t="n">
        <v>17531</v>
      </c>
      <c r="P47" s="11" t="n">
        <v>51.86</v>
      </c>
      <c r="Q47" s="10" t="n">
        <v>10348</v>
      </c>
      <c r="R47" s="11" t="n">
        <v>32.37</v>
      </c>
      <c r="S47" s="12" t="n">
        <v>0.6241</v>
      </c>
      <c r="T47" s="13" t="n">
        <f aca="false">R47/P47</f>
        <v>0.624180485923641</v>
      </c>
      <c r="U47" s="17" t="n">
        <f aca="false">Q47/O47</f>
        <v>0.590268666932862</v>
      </c>
    </row>
    <row r="48" customFormat="false" ht="15" hidden="false" customHeight="false" outlineLevel="0" collapsed="false">
      <c r="A48" s="9" t="n">
        <v>6</v>
      </c>
      <c r="B48" s="9" t="s">
        <v>324</v>
      </c>
      <c r="C48" s="9" t="s">
        <v>295</v>
      </c>
      <c r="D48" s="10" t="n">
        <v>8602</v>
      </c>
      <c r="E48" s="11" t="n">
        <v>26.92</v>
      </c>
      <c r="F48" s="11" t="n">
        <v>2.24</v>
      </c>
      <c r="G48" s="12" t="n">
        <v>0.0833</v>
      </c>
      <c r="H48" s="13" t="n">
        <f aca="false">F48/E48</f>
        <v>0.0832095096582467</v>
      </c>
      <c r="I48" s="11" t="n">
        <v>24.68</v>
      </c>
      <c r="J48" s="12" t="n">
        <v>0.9167</v>
      </c>
      <c r="K48" s="13" t="n">
        <f aca="false">H48+I48/E48</f>
        <v>1</v>
      </c>
      <c r="L48" s="11" t="n">
        <v>2.22</v>
      </c>
      <c r="M48" s="12" t="n">
        <v>0.0823</v>
      </c>
      <c r="N48" s="16" t="n">
        <f aca="false">IF(L48="","obscured",F48-L48)</f>
        <v>0.02</v>
      </c>
      <c r="O48" s="10" t="n">
        <v>8531</v>
      </c>
      <c r="P48" s="11" t="n">
        <v>26.73</v>
      </c>
      <c r="Q48" s="10" t="n">
        <v>7711</v>
      </c>
      <c r="R48" s="11" t="n">
        <v>24.68</v>
      </c>
      <c r="S48" s="12" t="n">
        <v>0.9234</v>
      </c>
      <c r="T48" s="13" t="n">
        <f aca="false">R48/P48</f>
        <v>0.923307145529368</v>
      </c>
      <c r="U48" s="17" t="n">
        <f aca="false">Q48/O48</f>
        <v>0.903879967178525</v>
      </c>
    </row>
    <row r="49" customFormat="false" ht="15" hidden="false" customHeight="false" outlineLevel="0" collapsed="false">
      <c r="A49" s="9" t="n">
        <v>7</v>
      </c>
      <c r="B49" s="9" t="s">
        <v>324</v>
      </c>
      <c r="C49" s="9" t="s">
        <v>296</v>
      </c>
      <c r="D49" s="10" t="n">
        <v>7522</v>
      </c>
      <c r="E49" s="11" t="n">
        <v>22.38</v>
      </c>
      <c r="F49" s="11" t="n">
        <v>0.78</v>
      </c>
      <c r="G49" s="12" t="n">
        <v>0.035</v>
      </c>
      <c r="H49" s="13" t="n">
        <f aca="false">F49/E49</f>
        <v>0.0348525469168901</v>
      </c>
      <c r="I49" s="11" t="n">
        <v>21.6</v>
      </c>
      <c r="J49" s="12" t="n">
        <v>0.965</v>
      </c>
      <c r="K49" s="13" t="n">
        <f aca="false">H49+I49/E49</f>
        <v>1</v>
      </c>
      <c r="L49" s="11" t="n">
        <v>0.78</v>
      </c>
      <c r="M49" s="12" t="n">
        <v>0.035</v>
      </c>
      <c r="N49" s="16" t="n">
        <f aca="false">IF(L49="","obscured",F49-L49)</f>
        <v>0</v>
      </c>
      <c r="O49" s="10" t="n">
        <v>7296</v>
      </c>
      <c r="P49" s="11" t="n">
        <v>21.79</v>
      </c>
      <c r="Q49" s="10" t="n">
        <v>7179</v>
      </c>
      <c r="R49" s="11" t="n">
        <v>21.6</v>
      </c>
      <c r="S49" s="12" t="n">
        <v>0.9909</v>
      </c>
      <c r="T49" s="13" t="n">
        <f aca="false">R49/P49</f>
        <v>0.991280403854979</v>
      </c>
      <c r="U49" s="17" t="n">
        <f aca="false">Q49/O49</f>
        <v>0.983963815789474</v>
      </c>
    </row>
    <row r="50" customFormat="false" ht="15" hidden="false" customHeight="false" outlineLevel="0" collapsed="false">
      <c r="A50" s="9" t="n">
        <v>8</v>
      </c>
      <c r="B50" s="18" t="s">
        <v>324</v>
      </c>
      <c r="C50" s="9" t="s">
        <v>367</v>
      </c>
      <c r="D50" s="10" t="n">
        <v>33655</v>
      </c>
      <c r="E50" s="11" t="n">
        <v>101.17</v>
      </c>
      <c r="F50" s="11" t="n">
        <v>22.52</v>
      </c>
      <c r="G50" s="12" t="n">
        <v>0.2226</v>
      </c>
      <c r="H50" s="13" t="n">
        <f aca="false">F50/E50</f>
        <v>0.222595631115943</v>
      </c>
      <c r="I50" s="11" t="n">
        <v>78.65</v>
      </c>
      <c r="J50" s="12" t="n">
        <v>0.7774</v>
      </c>
      <c r="K50" s="13" t="n">
        <f aca="false">H50+I50/E50</f>
        <v>1</v>
      </c>
      <c r="L50" s="11" t="n">
        <v>22.16</v>
      </c>
      <c r="M50" s="12" t="n">
        <v>0.2191</v>
      </c>
      <c r="N50" s="16" t="n">
        <f aca="false">IF(L50="","obscured",F50-L50)</f>
        <v>0.359999999999999</v>
      </c>
      <c r="O50" s="10" t="n">
        <v>33358</v>
      </c>
      <c r="P50" s="11" t="n">
        <v>100.39</v>
      </c>
      <c r="Q50" s="10" t="n">
        <v>25238</v>
      </c>
      <c r="R50" s="11" t="n">
        <v>78.65</v>
      </c>
      <c r="S50" s="12" t="n">
        <v>0.7834</v>
      </c>
      <c r="T50" s="13" t="n">
        <f aca="false">R50/P50</f>
        <v>0.783444566191852</v>
      </c>
      <c r="U50" s="17" t="n">
        <f aca="false">Q50/O50</f>
        <v>0.75658013070328</v>
      </c>
    </row>
    <row r="51" customFormat="false" ht="15" hidden="false" customHeight="false" outlineLevel="0" collapsed="false">
      <c r="A51" s="9" t="n">
        <v>9</v>
      </c>
      <c r="B51" s="9" t="s">
        <v>105</v>
      </c>
      <c r="C51" s="9" t="s">
        <v>294</v>
      </c>
      <c r="D51" s="10" t="n">
        <v>833</v>
      </c>
      <c r="E51" s="11" t="n">
        <v>1.22</v>
      </c>
      <c r="F51" s="11" t="n">
        <v>0.46</v>
      </c>
      <c r="G51" s="12" t="n">
        <v>0.3785</v>
      </c>
      <c r="H51" s="13" t="n">
        <f aca="false">F51/E51</f>
        <v>0.377049180327869</v>
      </c>
      <c r="I51" s="11" t="n">
        <v>0.76</v>
      </c>
      <c r="J51" s="12" t="n">
        <v>0.6215</v>
      </c>
      <c r="K51" s="13" t="n">
        <f aca="false">H51+I51/E51</f>
        <v>1</v>
      </c>
      <c r="L51" s="11" t="n">
        <v>0.46</v>
      </c>
      <c r="M51" s="12" t="n">
        <v>0.3785</v>
      </c>
      <c r="N51" s="16" t="n">
        <f aca="false">IF(L51="","obscured",F51-L51)</f>
        <v>0</v>
      </c>
      <c r="O51" s="10" t="n">
        <v>833</v>
      </c>
      <c r="P51" s="11" t="n">
        <v>1.22</v>
      </c>
      <c r="Q51" s="10" t="n">
        <v>580</v>
      </c>
      <c r="R51" s="11" t="n">
        <v>0.76</v>
      </c>
      <c r="S51" s="12" t="n">
        <v>0.6215</v>
      </c>
      <c r="T51" s="13" t="n">
        <f aca="false">R51/P51</f>
        <v>0.622950819672131</v>
      </c>
      <c r="U51" s="17" t="n">
        <f aca="false">Q51/O51</f>
        <v>0.696278511404562</v>
      </c>
    </row>
    <row r="52" customFormat="false" ht="15" hidden="false" customHeight="false" outlineLevel="0" collapsed="false">
      <c r="A52" s="9" t="n">
        <v>10</v>
      </c>
      <c r="B52" s="9" t="s">
        <v>105</v>
      </c>
      <c r="C52" s="9" t="s">
        <v>295</v>
      </c>
      <c r="D52" s="10" t="n">
        <v>511</v>
      </c>
      <c r="E52" s="11" t="n">
        <v>0.67</v>
      </c>
      <c r="F52" s="11" t="n">
        <v>0.11</v>
      </c>
      <c r="G52" s="12" t="n">
        <v>0.1595</v>
      </c>
      <c r="H52" s="13" t="n">
        <f aca="false">F52/E52</f>
        <v>0.164179104477612</v>
      </c>
      <c r="I52" s="11" t="n">
        <v>0.56</v>
      </c>
      <c r="J52" s="12" t="n">
        <v>0.8405</v>
      </c>
      <c r="K52" s="13" t="n">
        <f aca="false">H52+I52/E52</f>
        <v>1</v>
      </c>
      <c r="L52" s="11" t="n">
        <v>0.11</v>
      </c>
      <c r="M52" s="12" t="n">
        <v>0.1595</v>
      </c>
      <c r="N52" s="16" t="n">
        <f aca="false">IF(L52="","obscured",F52-L52)</f>
        <v>0</v>
      </c>
      <c r="O52" s="10" t="n">
        <v>490</v>
      </c>
      <c r="P52" s="11" t="n">
        <v>0.63</v>
      </c>
      <c r="Q52" s="10" t="n">
        <v>432</v>
      </c>
      <c r="R52" s="11" t="n">
        <v>0.56</v>
      </c>
      <c r="S52" s="12" t="n">
        <v>0.8849</v>
      </c>
      <c r="T52" s="13" t="n">
        <f aca="false">R52/P52</f>
        <v>0.888888888888889</v>
      </c>
      <c r="U52" s="17" t="n">
        <f aca="false">Q52/O52</f>
        <v>0.881632653061225</v>
      </c>
    </row>
    <row r="53" customFormat="false" ht="15" hidden="false" customHeight="false" outlineLevel="0" collapsed="false">
      <c r="A53" s="9" t="n">
        <v>11</v>
      </c>
      <c r="B53" s="9" t="s">
        <v>105</v>
      </c>
      <c r="C53" s="9" t="s">
        <v>296</v>
      </c>
      <c r="D53" s="10" t="n">
        <v>528</v>
      </c>
      <c r="E53" s="11" t="n">
        <v>0.59</v>
      </c>
      <c r="F53" s="11" t="n">
        <v>0.07</v>
      </c>
      <c r="G53" s="12" t="n">
        <v>0.1234</v>
      </c>
      <c r="H53" s="13" t="n">
        <f aca="false">F53/E53</f>
        <v>0.11864406779661</v>
      </c>
      <c r="I53" s="11" t="n">
        <v>0.52</v>
      </c>
      <c r="J53" s="12" t="n">
        <v>0.8766</v>
      </c>
      <c r="K53" s="13" t="n">
        <f aca="false">H53+I53/E53</f>
        <v>1</v>
      </c>
      <c r="L53" s="11" t="n">
        <v>0.07</v>
      </c>
      <c r="M53" s="12" t="n">
        <v>0.1234</v>
      </c>
      <c r="N53" s="16" t="n">
        <f aca="false">IF(L53="","obscured",F53-L53)</f>
        <v>0</v>
      </c>
      <c r="O53" s="10" t="n">
        <v>477</v>
      </c>
      <c r="P53" s="11" t="n">
        <v>0.53</v>
      </c>
      <c r="Q53" s="10" t="n">
        <v>458</v>
      </c>
      <c r="R53" s="11" t="n">
        <v>0.52</v>
      </c>
      <c r="S53" s="12" t="n">
        <v>0.9739</v>
      </c>
      <c r="T53" s="13" t="n">
        <f aca="false">R53/P53</f>
        <v>0.981132075471698</v>
      </c>
      <c r="U53" s="17" t="n">
        <f aca="false">Q53/O53</f>
        <v>0.960167714884696</v>
      </c>
    </row>
    <row r="54" customFormat="false" ht="15" hidden="false" customHeight="false" outlineLevel="0" collapsed="false">
      <c r="A54" s="9" t="n">
        <v>12</v>
      </c>
      <c r="B54" s="18" t="s">
        <v>105</v>
      </c>
      <c r="C54" s="9" t="s">
        <v>367</v>
      </c>
      <c r="D54" s="10" t="n">
        <v>1872</v>
      </c>
      <c r="E54" s="11" t="n">
        <v>2.48</v>
      </c>
      <c r="F54" s="11" t="n">
        <v>0.64</v>
      </c>
      <c r="G54" s="12" t="n">
        <v>0.2586</v>
      </c>
      <c r="H54" s="13" t="n">
        <f aca="false">F54/E54</f>
        <v>0.258064516129032</v>
      </c>
      <c r="I54" s="11" t="n">
        <v>1.84</v>
      </c>
      <c r="J54" s="12" t="n">
        <v>0.7414</v>
      </c>
      <c r="K54" s="13" t="n">
        <f aca="false">H54+I54/E54</f>
        <v>1</v>
      </c>
      <c r="L54" s="11" t="n">
        <v>0.64</v>
      </c>
      <c r="M54" s="12" t="n">
        <v>0.2586</v>
      </c>
      <c r="N54" s="16" t="n">
        <f aca="false">IF(L54="","obscured",F54-L54)</f>
        <v>0</v>
      </c>
      <c r="O54" s="10" t="n">
        <v>1800</v>
      </c>
      <c r="P54" s="11" t="n">
        <v>2.39</v>
      </c>
      <c r="Q54" s="10" t="n">
        <v>1470</v>
      </c>
      <c r="R54" s="11" t="n">
        <v>1.84</v>
      </c>
      <c r="S54" s="12" t="n">
        <v>0.7701</v>
      </c>
      <c r="T54" s="13" t="n">
        <f aca="false">R54/P54</f>
        <v>0.769874476987448</v>
      </c>
      <c r="U54" s="17" t="n">
        <f aca="false">Q54/O54</f>
        <v>0.816666666666667</v>
      </c>
    </row>
    <row r="55" customFormat="false" ht="15" hidden="false" customHeight="false" outlineLevel="0" collapsed="false">
      <c r="A55" s="9" t="n">
        <v>13</v>
      </c>
      <c r="B55" s="9" t="s">
        <v>106</v>
      </c>
      <c r="C55" s="9" t="s">
        <v>294</v>
      </c>
      <c r="D55" s="10" t="n">
        <v>1179</v>
      </c>
      <c r="E55" s="11" t="n">
        <v>2.88</v>
      </c>
      <c r="F55" s="11" t="n">
        <v>0.93</v>
      </c>
      <c r="G55" s="12" t="n">
        <v>0.3234</v>
      </c>
      <c r="H55" s="13" t="n">
        <f aca="false">F55/E55</f>
        <v>0.322916666666667</v>
      </c>
      <c r="I55" s="11" t="n">
        <v>1.95</v>
      </c>
      <c r="J55" s="12" t="n">
        <v>0.6766</v>
      </c>
      <c r="K55" s="13" t="n">
        <f aca="false">H55+I55/E55</f>
        <v>1</v>
      </c>
      <c r="L55" s="11" t="n">
        <v>0.91</v>
      </c>
      <c r="M55" s="12" t="n">
        <v>0.3146</v>
      </c>
      <c r="N55" s="16" t="n">
        <f aca="false">IF(L55="","obscured",F55-L55)</f>
        <v>0.02</v>
      </c>
      <c r="O55" s="10" t="n">
        <v>1179</v>
      </c>
      <c r="P55" s="11" t="n">
        <v>2.88</v>
      </c>
      <c r="Q55" s="10" t="n">
        <v>789</v>
      </c>
      <c r="R55" s="11" t="n">
        <v>1.95</v>
      </c>
      <c r="S55" s="12" t="n">
        <v>0.6766</v>
      </c>
      <c r="T55" s="13" t="n">
        <f aca="false">R55/P55</f>
        <v>0.677083333333333</v>
      </c>
      <c r="U55" s="17" t="n">
        <f aca="false">Q55/O55</f>
        <v>0.669211195928753</v>
      </c>
    </row>
    <row r="56" customFormat="false" ht="15" hidden="false" customHeight="false" outlineLevel="0" collapsed="false">
      <c r="A56" s="9" t="n">
        <v>14</v>
      </c>
      <c r="B56" s="9" t="s">
        <v>106</v>
      </c>
      <c r="C56" s="9" t="s">
        <v>295</v>
      </c>
      <c r="D56" s="10" t="n">
        <v>668</v>
      </c>
      <c r="E56" s="11" t="n">
        <v>1.47</v>
      </c>
      <c r="F56" s="11" t="n">
        <v>0.2</v>
      </c>
      <c r="G56" s="12" t="n">
        <v>0.1348</v>
      </c>
      <c r="H56" s="13" t="n">
        <f aca="false">F56/E56</f>
        <v>0.136054421768708</v>
      </c>
      <c r="I56" s="11" t="n">
        <v>1.28</v>
      </c>
      <c r="J56" s="12" t="n">
        <v>0.8652</v>
      </c>
      <c r="K56" s="13" t="n">
        <f aca="false">H56+I56/E56</f>
        <v>1.00680272108844</v>
      </c>
      <c r="L56" s="11" t="n">
        <v>0.2</v>
      </c>
      <c r="M56" s="12" t="n">
        <v>0.1325</v>
      </c>
      <c r="N56" s="16" t="n">
        <f aca="false">IF(L56="","obscured",F56-L56)</f>
        <v>0</v>
      </c>
      <c r="O56" s="10" t="n">
        <v>664</v>
      </c>
      <c r="P56" s="11" t="n">
        <v>1.46</v>
      </c>
      <c r="Q56" s="10" t="n">
        <v>571</v>
      </c>
      <c r="R56" s="11" t="n">
        <v>1.28</v>
      </c>
      <c r="S56" s="12" t="n">
        <v>0.8728</v>
      </c>
      <c r="T56" s="13" t="n">
        <f aca="false">R56/P56</f>
        <v>0.876712328767123</v>
      </c>
      <c r="U56" s="17" t="n">
        <f aca="false">Q56/O56</f>
        <v>0.859939759036145</v>
      </c>
    </row>
    <row r="57" customFormat="false" ht="15" hidden="false" customHeight="false" outlineLevel="0" collapsed="false">
      <c r="A57" s="9" t="n">
        <v>15</v>
      </c>
      <c r="B57" s="9" t="s">
        <v>106</v>
      </c>
      <c r="C57" s="9" t="s">
        <v>296</v>
      </c>
      <c r="D57" s="10" t="n">
        <v>624</v>
      </c>
      <c r="E57" s="11" t="n">
        <v>1.44</v>
      </c>
      <c r="F57" s="11" t="n">
        <v>0.07</v>
      </c>
      <c r="G57" s="12" t="n">
        <v>0.046</v>
      </c>
      <c r="H57" s="13" t="n">
        <f aca="false">F57/E57</f>
        <v>0.0486111111111111</v>
      </c>
      <c r="I57" s="11" t="n">
        <v>1.37</v>
      </c>
      <c r="J57" s="12" t="n">
        <v>0.954</v>
      </c>
      <c r="K57" s="13" t="n">
        <f aca="false">H57+I57/E57</f>
        <v>1</v>
      </c>
      <c r="L57" s="11" t="n">
        <v>0.07</v>
      </c>
      <c r="M57" s="12" t="n">
        <v>0.046</v>
      </c>
      <c r="N57" s="16" t="n">
        <f aca="false">IF(L57="","obscured",F57-L57)</f>
        <v>0</v>
      </c>
      <c r="O57" s="10" t="n">
        <v>610</v>
      </c>
      <c r="P57" s="11" t="n">
        <v>1.4</v>
      </c>
      <c r="Q57" s="10" t="n">
        <v>596</v>
      </c>
      <c r="R57" s="11" t="n">
        <v>1.37</v>
      </c>
      <c r="S57" s="12" t="n">
        <v>0.977</v>
      </c>
      <c r="T57" s="13" t="n">
        <f aca="false">R57/P57</f>
        <v>0.978571428571429</v>
      </c>
      <c r="U57" s="17" t="n">
        <f aca="false">Q57/O57</f>
        <v>0.977049180327869</v>
      </c>
    </row>
    <row r="58" customFormat="false" ht="15" hidden="false" customHeight="false" outlineLevel="0" collapsed="false">
      <c r="A58" s="9" t="n">
        <v>16</v>
      </c>
      <c r="B58" s="18" t="s">
        <v>106</v>
      </c>
      <c r="C58" s="9" t="s">
        <v>367</v>
      </c>
      <c r="D58" s="10" t="n">
        <v>2471</v>
      </c>
      <c r="E58" s="11" t="n">
        <v>5.79</v>
      </c>
      <c r="F58" s="11" t="n">
        <v>1.2</v>
      </c>
      <c r="G58" s="12" t="n">
        <v>0.2065</v>
      </c>
      <c r="H58" s="13" t="n">
        <f aca="false">F58/E58</f>
        <v>0.207253886010363</v>
      </c>
      <c r="I58" s="11" t="n">
        <v>4.59</v>
      </c>
      <c r="J58" s="12" t="n">
        <v>0.7935</v>
      </c>
      <c r="K58" s="13" t="n">
        <f aca="false">H58+I58/E58</f>
        <v>1</v>
      </c>
      <c r="L58" s="11"/>
      <c r="M58" s="12"/>
      <c r="N58" s="16" t="str">
        <f aca="false">IF(L58="","obscured",F58-L58)</f>
        <v>obscured</v>
      </c>
      <c r="O58" s="10" t="n">
        <v>2453</v>
      </c>
      <c r="P58" s="11" t="n">
        <v>5.74</v>
      </c>
      <c r="Q58" s="10" t="n">
        <v>1956</v>
      </c>
      <c r="R58" s="11" t="n">
        <v>4.59</v>
      </c>
      <c r="S58" s="12" t="n">
        <v>0.7999</v>
      </c>
      <c r="T58" s="13" t="n">
        <f aca="false">R58/P58</f>
        <v>0.799651567944251</v>
      </c>
      <c r="U58" s="17" t="n">
        <f aca="false">Q58/O58</f>
        <v>0.797390949857318</v>
      </c>
    </row>
    <row r="60" customFormat="false" ht="15" hidden="false" customHeight="false" outlineLevel="0" collapsed="false">
      <c r="B60" s="9" t="s">
        <v>368</v>
      </c>
      <c r="E60" s="16" t="n">
        <f aca="false">E50+E54+E58-E46</f>
        <v>0</v>
      </c>
      <c r="F60" s="16" t="n">
        <f aca="false">F50+F54+F58-F46</f>
        <v>0</v>
      </c>
      <c r="I60" s="16" t="n">
        <f aca="false">I50+I54+I58-I46</f>
        <v>0</v>
      </c>
    </row>
    <row r="61" customFormat="false" ht="15" hidden="false" customHeight="false" outlineLevel="0" collapsed="false">
      <c r="B61" s="9" t="s">
        <v>369</v>
      </c>
      <c r="E61" s="27" t="n">
        <f aca="false">E43-B1_SMA_Pool!D8</f>
        <v>0</v>
      </c>
      <c r="F61" s="27" t="n">
        <f aca="false">E44-B1_SMA_Pool!D9</f>
        <v>0</v>
      </c>
      <c r="G61" s="27" t="n">
        <f aca="false">E45-B1_SMA_Pool!D10</f>
        <v>0</v>
      </c>
    </row>
    <row r="64" customFormat="false" ht="15" hidden="false" customHeight="false" outlineLevel="0" collapsed="false">
      <c r="A64" s="4" t="s">
        <v>107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customFormat="false" ht="23.85" hidden="false" customHeight="false" outlineLevel="0" collapsed="false">
      <c r="A65" s="8" t="s">
        <v>39</v>
      </c>
      <c r="B65" s="8" t="s">
        <v>108</v>
      </c>
      <c r="C65" s="8" t="s">
        <v>109</v>
      </c>
      <c r="D65" s="8" t="s">
        <v>110</v>
      </c>
      <c r="E65" s="8" t="s">
        <v>111</v>
      </c>
    </row>
    <row r="66" customFormat="false" ht="91" hidden="false" customHeight="false" outlineLevel="0" collapsed="false">
      <c r="A66" s="9" t="n">
        <v>1</v>
      </c>
      <c r="B66" s="20" t="s">
        <v>370</v>
      </c>
      <c r="C66" s="17" t="n">
        <f aca="false">I13</f>
        <v>0.799008626852867</v>
      </c>
      <c r="D66" s="9" t="s">
        <v>116</v>
      </c>
      <c r="E66" s="21" t="s">
        <v>371</v>
      </c>
    </row>
    <row r="67" customFormat="false" ht="57.45" hidden="false" customHeight="false" outlineLevel="0" collapsed="false">
      <c r="A67" s="9" t="n">
        <v>2</v>
      </c>
      <c r="B67" s="20" t="s">
        <v>372</v>
      </c>
      <c r="C67" s="26" t="n">
        <f aca="false">O15</f>
        <v>2.01017844581306</v>
      </c>
      <c r="D67" s="9" t="s">
        <v>373</v>
      </c>
      <c r="E67" s="21" t="s">
        <v>374</v>
      </c>
    </row>
    <row r="68" customFormat="false" ht="124.6" hidden="false" customHeight="false" outlineLevel="0" collapsed="false">
      <c r="A68" s="9" t="n">
        <v>3</v>
      </c>
      <c r="B68" s="20" t="s">
        <v>375</v>
      </c>
      <c r="C68" s="13" t="n">
        <f aca="false">J25</f>
        <v>0.00144576509889033</v>
      </c>
      <c r="D68" s="9" t="s">
        <v>116</v>
      </c>
      <c r="E68" s="21" t="s">
        <v>376</v>
      </c>
    </row>
    <row r="69" customFormat="false" ht="57.45" hidden="false" customHeight="false" outlineLevel="0" collapsed="false">
      <c r="A69" s="9" t="n">
        <v>4</v>
      </c>
      <c r="B69" s="20" t="s">
        <v>377</v>
      </c>
      <c r="C69" s="19" t="n">
        <f aca="false">O44-D44</f>
        <v>-96</v>
      </c>
      <c r="D69" s="9" t="s">
        <v>378</v>
      </c>
      <c r="E69" s="21" t="s">
        <v>379</v>
      </c>
    </row>
    <row r="70" customFormat="false" ht="23.85" hidden="false" customHeight="false" outlineLevel="0" collapsed="false">
      <c r="A70" s="9" t="n">
        <v>5</v>
      </c>
      <c r="B70" s="20" t="s">
        <v>380</v>
      </c>
      <c r="C70" s="15" t="n">
        <f aca="false">MAX(ABS(E15-F15),ABS(E25-F25),ABS(I25-J25),ABS(G46-H46),ABS(J46-(I46/E46)))*100</f>
        <v>0.00457650988903329</v>
      </c>
      <c r="D70" s="9" t="s">
        <v>113</v>
      </c>
      <c r="E70" s="21" t="s">
        <v>381</v>
      </c>
    </row>
    <row r="71" customFormat="false" ht="57.45" hidden="false" customHeight="false" outlineLevel="0" collapsed="false">
      <c r="A71" s="9" t="n">
        <v>6</v>
      </c>
      <c r="B71" s="20" t="s">
        <v>382</v>
      </c>
      <c r="C71" s="16" t="n">
        <f aca="false">ABS(E61)+ABS(F61)+ABS(G61)</f>
        <v>0</v>
      </c>
      <c r="D71" s="9" t="s">
        <v>136</v>
      </c>
      <c r="E71" s="21" t="s">
        <v>383</v>
      </c>
    </row>
    <row r="73" customFormat="false" ht="15" hidden="false" customHeight="false" outlineLevel="0" collapsed="false">
      <c r="A73" s="4" t="s">
        <v>384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5" customFormat="false" ht="15" hidden="false" customHeight="false" outlineLevel="0" collapsed="false">
      <c r="A75" s="4" t="s">
        <v>127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customFormat="false" ht="35.05" hidden="false" customHeight="false" outlineLevel="0" collapsed="false">
      <c r="A76" s="8" t="s">
        <v>39</v>
      </c>
      <c r="B76" s="8" t="s">
        <v>128</v>
      </c>
      <c r="C76" s="8" t="s">
        <v>129</v>
      </c>
      <c r="D76" s="8" t="s">
        <v>130</v>
      </c>
      <c r="E76" s="8" t="s">
        <v>131</v>
      </c>
      <c r="F76" s="8" t="s">
        <v>110</v>
      </c>
      <c r="G76" s="8" t="s">
        <v>132</v>
      </c>
    </row>
    <row r="77" customFormat="false" ht="46.25" hidden="false" customHeight="false" outlineLevel="0" collapsed="false">
      <c r="A77" s="9" t="n">
        <v>1</v>
      </c>
      <c r="B77" s="18" t="s">
        <v>133</v>
      </c>
      <c r="C77" s="21" t="s">
        <v>385</v>
      </c>
      <c r="D77" s="21" t="s">
        <v>135</v>
      </c>
      <c r="E77" s="13" t="n">
        <f aca="false">E15</f>
        <v>0.8502</v>
      </c>
      <c r="F77" s="9" t="s">
        <v>116</v>
      </c>
      <c r="G77" s="21"/>
    </row>
    <row r="78" customFormat="false" ht="23.85" hidden="false" customHeight="false" outlineLevel="0" collapsed="false">
      <c r="A78" s="9" t="n">
        <v>2</v>
      </c>
      <c r="B78" s="18" t="s">
        <v>133</v>
      </c>
      <c r="C78" s="21" t="s">
        <v>386</v>
      </c>
      <c r="D78" s="21" t="s">
        <v>135</v>
      </c>
      <c r="E78" s="16" t="n">
        <f aca="false">G21</f>
        <v>2513.29</v>
      </c>
      <c r="F78" s="9" t="s">
        <v>136</v>
      </c>
      <c r="G78" s="21"/>
    </row>
    <row r="79" customFormat="false" ht="46.25" hidden="false" customHeight="false" outlineLevel="0" collapsed="false">
      <c r="A79" s="9" t="n">
        <v>3</v>
      </c>
      <c r="B79" s="18" t="s">
        <v>133</v>
      </c>
      <c r="C79" s="21" t="s">
        <v>387</v>
      </c>
      <c r="D79" s="21" t="s">
        <v>135</v>
      </c>
      <c r="E79" s="16" t="n">
        <f aca="false">E46</f>
        <v>109.44</v>
      </c>
      <c r="F79" s="9" t="s">
        <v>136</v>
      </c>
      <c r="G79" s="21"/>
    </row>
    <row r="80" customFormat="false" ht="46.25" hidden="false" customHeight="false" outlineLevel="0" collapsed="false">
      <c r="A80" s="9" t="n">
        <v>4</v>
      </c>
      <c r="B80" s="18" t="s">
        <v>139</v>
      </c>
      <c r="C80" s="21" t="s">
        <v>388</v>
      </c>
      <c r="D80" s="21" t="s">
        <v>389</v>
      </c>
      <c r="E80" s="13" t="n">
        <f aca="false">F17</f>
        <v>0.317476732161324</v>
      </c>
      <c r="F80" s="9" t="s">
        <v>116</v>
      </c>
      <c r="G80" s="21"/>
    </row>
    <row r="81" customFormat="false" ht="57.45" hidden="false" customHeight="false" outlineLevel="0" collapsed="false">
      <c r="A81" s="9" t="n">
        <v>5</v>
      </c>
      <c r="B81" s="18" t="s">
        <v>139</v>
      </c>
      <c r="C81" s="21" t="s">
        <v>390</v>
      </c>
      <c r="D81" s="21" t="s">
        <v>391</v>
      </c>
      <c r="E81" s="17" t="n">
        <f aca="false">I13</f>
        <v>0.799008626852867</v>
      </c>
      <c r="F81" s="9" t="s">
        <v>116</v>
      </c>
      <c r="G81" s="21"/>
    </row>
    <row r="82" customFormat="false" ht="57.45" hidden="false" customHeight="false" outlineLevel="0" collapsed="false">
      <c r="A82" s="9" t="n">
        <v>6</v>
      </c>
      <c r="B82" s="18" t="s">
        <v>139</v>
      </c>
      <c r="C82" s="21" t="s">
        <v>392</v>
      </c>
      <c r="D82" s="21" t="s">
        <v>393</v>
      </c>
      <c r="E82" s="13" t="n">
        <f aca="false">J25*12</f>
        <v>0.017349181186684</v>
      </c>
      <c r="F82" s="9" t="s">
        <v>116</v>
      </c>
      <c r="G82" s="21"/>
    </row>
    <row r="83" customFormat="false" ht="68.65" hidden="false" customHeight="false" outlineLevel="0" collapsed="false">
      <c r="A83" s="9" t="n">
        <v>7</v>
      </c>
      <c r="B83" s="18" t="s">
        <v>139</v>
      </c>
      <c r="C83" s="21" t="s">
        <v>394</v>
      </c>
      <c r="D83" s="21" t="s">
        <v>395</v>
      </c>
      <c r="E83" s="15" t="n">
        <f aca="false">(J46-(1-M46))*100</f>
        <v>-0.350000000000006</v>
      </c>
      <c r="F83" s="9" t="s">
        <v>113</v>
      </c>
      <c r="G83" s="21"/>
    </row>
    <row r="84" customFormat="false" ht="79.85" hidden="false" customHeight="false" outlineLevel="0" collapsed="false">
      <c r="A84" s="9" t="n">
        <v>8</v>
      </c>
      <c r="B84" s="18" t="s">
        <v>148</v>
      </c>
      <c r="C84" s="21" t="s">
        <v>396</v>
      </c>
      <c r="D84" s="21" t="s">
        <v>397</v>
      </c>
      <c r="E84" s="13" t="n">
        <f aca="false">(D15-D13)/(C15-C13)</f>
        <v>0.965275604815467</v>
      </c>
      <c r="F84" s="9" t="s">
        <v>116</v>
      </c>
      <c r="G84" s="21" t="s">
        <v>398</v>
      </c>
    </row>
    <row r="85" customFormat="false" ht="79.85" hidden="false" customHeight="false" outlineLevel="0" collapsed="false">
      <c r="A85" s="9" t="n">
        <v>9</v>
      </c>
      <c r="B85" s="18" t="s">
        <v>148</v>
      </c>
      <c r="C85" s="21" t="s">
        <v>399</v>
      </c>
      <c r="D85" s="21" t="s">
        <v>400</v>
      </c>
      <c r="E85" s="15" t="n">
        <f aca="false">(F25-(Q25/P25))*100</f>
        <v>-0.0968114246024338</v>
      </c>
      <c r="F85" s="9" t="s">
        <v>113</v>
      </c>
      <c r="G85" s="21" t="s">
        <v>401</v>
      </c>
    </row>
    <row r="86" customFormat="false" ht="79.85" hidden="false" customHeight="false" outlineLevel="0" collapsed="false">
      <c r="A86" s="9" t="n">
        <v>10</v>
      </c>
      <c r="B86" s="18" t="s">
        <v>148</v>
      </c>
      <c r="C86" s="21" t="s">
        <v>402</v>
      </c>
      <c r="D86" s="21" t="s">
        <v>403</v>
      </c>
      <c r="E86" s="16" t="n">
        <f aca="false">ABS(E60)+ABS(F60)+ABS(I60)+ABS(E61)+ABS(F61)+ABS(G61)</f>
        <v>0</v>
      </c>
      <c r="F86" s="9" t="s">
        <v>136</v>
      </c>
      <c r="G86" s="21" t="s">
        <v>404</v>
      </c>
    </row>
    <row r="88" customFormat="false" ht="15" hidden="false" customHeight="false" outlineLevel="0" collapsed="false">
      <c r="A88" s="4" t="s">
        <v>158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customFormat="false" ht="69.75" hidden="false" customHeight="true" outlineLevel="0" collapsed="false">
      <c r="A89" s="22" t="s">
        <v>405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1" customFormat="false" ht="15" hidden="false" customHeight="false" outlineLevel="0" collapsed="false">
      <c r="A91" s="3" t="s">
        <v>2</v>
      </c>
    </row>
  </sheetData>
  <mergeCells count="1">
    <mergeCell ref="A89:T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1" t="s">
        <v>406</v>
      </c>
    </row>
    <row r="2" customFormat="false" ht="15" hidden="false" customHeight="false" outlineLevel="0" collapsed="false">
      <c r="A2" s="2" t="s">
        <v>161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162</v>
      </c>
      <c r="B5" s="5"/>
      <c r="C5" s="5"/>
      <c r="D5" s="5"/>
      <c r="E5" s="5"/>
      <c r="F5" s="5"/>
    </row>
    <row r="6" customFormat="false" ht="15" hidden="false" customHeight="false" outlineLevel="0" collapsed="false">
      <c r="B6" s="23" t="s">
        <v>163</v>
      </c>
      <c r="C6" s="23" t="s">
        <v>164</v>
      </c>
      <c r="D6" s="23"/>
      <c r="E6" s="23"/>
      <c r="F6" s="23"/>
    </row>
    <row r="7" customFormat="false" ht="15" hidden="false" customHeight="true" outlineLevel="0" collapsed="false">
      <c r="B7" s="18" t="s">
        <v>407</v>
      </c>
      <c r="C7" s="21" t="s">
        <v>408</v>
      </c>
      <c r="D7" s="21"/>
      <c r="E7" s="21"/>
      <c r="F7" s="21"/>
    </row>
    <row r="8" customFormat="false" ht="15" hidden="false" customHeight="true" outlineLevel="0" collapsed="false">
      <c r="B8" s="18" t="s">
        <v>409</v>
      </c>
      <c r="C8" s="21" t="s">
        <v>410</v>
      </c>
      <c r="D8" s="21"/>
      <c r="E8" s="21"/>
      <c r="F8" s="21"/>
    </row>
    <row r="9" customFormat="false" ht="15" hidden="false" customHeight="true" outlineLevel="0" collapsed="false">
      <c r="B9" s="18" t="s">
        <v>411</v>
      </c>
      <c r="C9" s="21" t="s">
        <v>412</v>
      </c>
      <c r="D9" s="21"/>
      <c r="E9" s="21"/>
      <c r="F9" s="21"/>
    </row>
    <row r="10" customFormat="false" ht="15" hidden="false" customHeight="true" outlineLevel="0" collapsed="false">
      <c r="B10" s="18" t="s">
        <v>413</v>
      </c>
      <c r="C10" s="21" t="s">
        <v>414</v>
      </c>
      <c r="D10" s="21"/>
      <c r="E10" s="21"/>
      <c r="F10" s="21"/>
    </row>
    <row r="11" customFormat="false" ht="15" hidden="false" customHeight="true" outlineLevel="0" collapsed="false">
      <c r="B11" s="18" t="s">
        <v>415</v>
      </c>
      <c r="C11" s="21" t="s">
        <v>416</v>
      </c>
      <c r="D11" s="21"/>
      <c r="E11" s="21"/>
      <c r="F11" s="21"/>
    </row>
    <row r="12" customFormat="false" ht="15" hidden="false" customHeight="true" outlineLevel="0" collapsed="false">
      <c r="B12" s="18" t="s">
        <v>417</v>
      </c>
      <c r="C12" s="21" t="s">
        <v>418</v>
      </c>
      <c r="D12" s="21"/>
      <c r="E12" s="21"/>
      <c r="F12" s="21"/>
    </row>
    <row r="13" customFormat="false" ht="15" hidden="false" customHeight="true" outlineLevel="0" collapsed="false">
      <c r="B13" s="18" t="s">
        <v>419</v>
      </c>
      <c r="C13" s="21" t="s">
        <v>420</v>
      </c>
      <c r="D13" s="21"/>
      <c r="E13" s="21"/>
      <c r="F13" s="21"/>
    </row>
    <row r="14" customFormat="false" ht="15" hidden="false" customHeight="true" outlineLevel="0" collapsed="false">
      <c r="B14" s="18" t="s">
        <v>421</v>
      </c>
      <c r="C14" s="21" t="s">
        <v>422</v>
      </c>
      <c r="D14" s="21"/>
      <c r="E14" s="21"/>
      <c r="F14" s="21"/>
    </row>
    <row r="15" customFormat="false" ht="15" hidden="false" customHeight="true" outlineLevel="0" collapsed="false">
      <c r="B15" s="18" t="s">
        <v>423</v>
      </c>
      <c r="C15" s="21" t="s">
        <v>424</v>
      </c>
      <c r="D15" s="21"/>
      <c r="E15" s="21"/>
      <c r="F15" s="21"/>
    </row>
    <row r="16" customFormat="false" ht="15" hidden="false" customHeight="true" outlineLevel="0" collapsed="false">
      <c r="B16" s="18" t="s">
        <v>425</v>
      </c>
      <c r="C16" s="21" t="s">
        <v>426</v>
      </c>
      <c r="D16" s="21"/>
      <c r="E16" s="21"/>
      <c r="F16" s="21"/>
    </row>
    <row r="17" customFormat="false" ht="15" hidden="false" customHeight="false" outlineLevel="0" collapsed="false">
      <c r="B17" s="24" t="s">
        <v>427</v>
      </c>
    </row>
    <row r="19" customFormat="false" ht="15" hidden="false" customHeight="false" outlineLevel="0" collapsed="false">
      <c r="A19" s="4" t="s">
        <v>184</v>
      </c>
      <c r="B19" s="5"/>
      <c r="C19" s="5"/>
      <c r="D19" s="5"/>
      <c r="E19" s="5"/>
      <c r="F19" s="5"/>
    </row>
    <row r="20" customFormat="false" ht="15" hidden="false" customHeight="false" outlineLevel="0" collapsed="false">
      <c r="A20" s="8" t="s">
        <v>39</v>
      </c>
      <c r="B20" s="8" t="s">
        <v>185</v>
      </c>
      <c r="C20" s="8" t="s">
        <v>186</v>
      </c>
      <c r="D20" s="8" t="s">
        <v>187</v>
      </c>
      <c r="E20" s="8" t="s">
        <v>188</v>
      </c>
      <c r="F20" s="8" t="s">
        <v>189</v>
      </c>
    </row>
    <row r="21" customFormat="false" ht="15" hidden="false" customHeight="false" outlineLevel="0" collapsed="false">
      <c r="A21" s="9" t="n">
        <v>1</v>
      </c>
      <c r="B21" s="21" t="s">
        <v>190</v>
      </c>
      <c r="C21" s="21" t="s">
        <v>428</v>
      </c>
      <c r="D21" s="21" t="s">
        <v>407</v>
      </c>
      <c r="E21" s="21" t="s">
        <v>429</v>
      </c>
      <c r="F21" s="25" t="str">
        <f aca="false">"Aug "&amp;TEXT(B2_Collections_Recovery!C7,"#,##0.00;-#,##0.00;0.00")&amp;" / "&amp;TEXT(B2_Collections_Recovery!C8,"#,##0.00;-#,##0.00;0.00")&amp;" / "&amp;TEXT(B2_Collections_Recovery!C9,"#,##0.00;-#,##0.00;0.00")&amp;" / "&amp;TEXT(B2_Collections_Recovery!C10,"#,##0.00;-#,##0.00;0.00")&amp;" demand (Current … 61–90)"</f>
        <v>Aug 1,184.23 / 10.16 / 5.00 / 4.18 demand (Current … 61–90)</v>
      </c>
    </row>
    <row r="22" customFormat="false" ht="15" hidden="false" customHeight="false" outlineLevel="0" collapsed="false">
      <c r="A22" s="9" t="n">
        <v>2</v>
      </c>
      <c r="B22" s="21" t="s">
        <v>190</v>
      </c>
      <c r="C22" s="21" t="s">
        <v>430</v>
      </c>
      <c r="D22" s="21" t="s">
        <v>431</v>
      </c>
      <c r="E22" s="21" t="s">
        <v>432</v>
      </c>
      <c r="F22" s="25" t="str">
        <f aca="false">"GT NPA "&amp;TEXT(B2_Collections_Recovery!C25,"#,##0.00;-#,##0.00;0.00")&amp;" / WOFF "&amp;TEXT(B2_Collections_Recovery!G25,"#,##0.00;-#,##0.00;0.00")&amp;"; recovery "&amp;TEXT(B2_Collections_Recovery!L25,"#,##0.00;-#,##0.00;0.00")</f>
        <v>GT NPA 577.14 / WOFF 2,939.62; recovery 8.75</v>
      </c>
    </row>
    <row r="23" customFormat="false" ht="15" hidden="false" customHeight="false" outlineLevel="0" collapsed="false">
      <c r="A23" s="9" t="n">
        <v>3</v>
      </c>
      <c r="B23" s="21" t="s">
        <v>190</v>
      </c>
      <c r="C23" s="21" t="s">
        <v>433</v>
      </c>
      <c r="D23" s="21" t="s">
        <v>434</v>
      </c>
      <c r="E23" s="21" t="s">
        <v>435</v>
      </c>
      <c r="F23" s="25" t="str">
        <f aca="false">"GT "&amp;TEXT(B2_Collections_Recovery!E46,"#,##0.00;-#,##0.00;0.00")&amp;" / "&amp;TEXT(B2_Collections_Recovery!F46,"#,##0.00;-#,##0.00;0.00")&amp;" / "&amp;TEXT(B2_Collections_Recovery!I46,"#,##0.00;-#,##0.00;0.00")</f>
        <v>GT 109.44 / 24.36 / 85.08</v>
      </c>
    </row>
    <row r="24" customFormat="false" ht="15" hidden="false" customHeight="false" outlineLevel="0" collapsed="false">
      <c r="A24" s="9" t="n">
        <v>4</v>
      </c>
      <c r="B24" s="21" t="s">
        <v>200</v>
      </c>
      <c r="C24" s="21" t="s">
        <v>436</v>
      </c>
      <c r="D24" s="21" t="s">
        <v>437</v>
      </c>
      <c r="E24" s="21" t="s">
        <v>438</v>
      </c>
      <c r="F24" s="25" t="str">
        <f aca="false">TEXT(B2_Collections_Recovery!C16,"#,##0.00;-#,##0.00;0.00")&amp;" / "&amp;TEXT(B2_Collections_Recovery!D16,"#,##0.00;-#,##0.00;0.00")&amp;" / "&amp;TEXT(B2_Collections_Recovery!E16,"#,##0.00;-#,##0.00;0.00")</f>
        <v>0.01 / 0.00 / 0.00</v>
      </c>
    </row>
    <row r="25" customFormat="false" ht="15" hidden="false" customHeight="false" outlineLevel="0" collapsed="false">
      <c r="A25" s="9" t="n">
        <v>5</v>
      </c>
      <c r="B25" s="21" t="s">
        <v>200</v>
      </c>
      <c r="C25" s="21" t="s">
        <v>439</v>
      </c>
      <c r="D25" s="21" t="s">
        <v>440</v>
      </c>
      <c r="E25" s="21" t="s">
        <v>441</v>
      </c>
      <c r="F25" s="25" t="str">
        <f aca="false">TEXT(MAX(ABS(B2_Collections_Recovery!E15-B2_Collections_Recovery!F15),ABS(B2_Collections_Recovery!E25-B2_Collections_Recovery!F25),ABS(B2_Collections_Recovery!I25-B2_Collections_Recovery!J25),ABS(B2_Collections_Recovery!G46-B2_Collections_Recovery!H46))*100,"+0.0"" pp"";-0.0"" pp"";0.0"" pp""")</f>
        <v>+0.0 pp</v>
      </c>
    </row>
    <row r="26" customFormat="false" ht="15" hidden="false" customHeight="false" outlineLevel="0" collapsed="false">
      <c r="A26" s="9" t="n">
        <v>6</v>
      </c>
      <c r="B26" s="21" t="s">
        <v>200</v>
      </c>
      <c r="C26" s="21" t="s">
        <v>442</v>
      </c>
      <c r="D26" s="21" t="s">
        <v>443</v>
      </c>
      <c r="E26" s="21" t="s">
        <v>444</v>
      </c>
      <c r="F26" s="25" t="str">
        <f aca="false">TEXT(B2_Collections_Recovery!C26,"#,##0.00;-#,##0.00;0.00")&amp;" / "&amp;TEXT(B2_Collections_Recovery!G26,"#,##0.00;-#,##0.00;0.00")&amp;" / "&amp;TEXT(B2_Collections_Recovery!L26,"#,##0.00;-#,##0.00;0.00")</f>
        <v>-0.01 / -0.01 / -0.01</v>
      </c>
    </row>
    <row r="27" customFormat="false" ht="15" hidden="false" customHeight="false" outlineLevel="0" collapsed="false">
      <c r="A27" s="9" t="n">
        <v>7</v>
      </c>
      <c r="B27" s="21" t="s">
        <v>200</v>
      </c>
      <c r="C27" s="21" t="s">
        <v>445</v>
      </c>
      <c r="D27" s="21" t="s">
        <v>446</v>
      </c>
      <c r="E27" s="21" t="s">
        <v>444</v>
      </c>
      <c r="F27" s="25" t="str">
        <f aca="false">TEXT(B2_Collections_Recovery!C38,"#,##0.00;-#,##0.00;0.00")&amp;" / "&amp;TEXT(B2_Collections_Recovery!D38,"#,##0.00;-#,##0.00;0.00")&amp;" / "&amp;TEXT(B2_Collections_Recovery!I38,"#,##0.00;-#,##0.00;0.00")</f>
        <v>0.00 / 0.01 / 0.00</v>
      </c>
    </row>
    <row r="28" customFormat="false" ht="15" hidden="false" customHeight="false" outlineLevel="0" collapsed="false">
      <c r="A28" s="9" t="n">
        <v>8</v>
      </c>
      <c r="B28" s="21" t="s">
        <v>200</v>
      </c>
      <c r="C28" s="21" t="s">
        <v>447</v>
      </c>
      <c r="D28" s="21" t="s">
        <v>448</v>
      </c>
      <c r="E28" s="21" t="s">
        <v>449</v>
      </c>
      <c r="F28" s="25" t="str">
        <f aca="false">TEXT(B2_Collections_Recovery!E60,"#,##0.00;-#,##0.00;0.00")&amp;" / "&amp;TEXT(B2_Collections_Recovery!F60,"#,##0.00;-#,##0.00;0.00")&amp;" / "&amp;TEXT(B2_Collections_Recovery!I60,"#,##0.00;-#,##0.00;0.00")&amp;"; "&amp;TEXT(B2_Collections_Recovery!E61,"#,##0.00;-#,##0.00;0.00")&amp;" / "&amp;TEXT(B2_Collections_Recovery!F61,"#,##0.00;-#,##0.00;0.00")&amp;" / "&amp;TEXT(B2_Collections_Recovery!G61,"#,##0.00;-#,##0.00;0.00")</f>
        <v>0.00 / 0.00 / 0.00; 0.00 / 0.00 / 0.00</v>
      </c>
    </row>
    <row r="29" customFormat="false" ht="15" hidden="false" customHeight="false" outlineLevel="0" collapsed="false">
      <c r="A29" s="9" t="n">
        <v>9</v>
      </c>
      <c r="B29" s="21" t="s">
        <v>450</v>
      </c>
      <c r="C29" s="21" t="s">
        <v>451</v>
      </c>
      <c r="D29" s="21" t="s">
        <v>452</v>
      </c>
      <c r="E29" s="21" t="s">
        <v>453</v>
      </c>
      <c r="F29" s="25" t="str">
        <f aca="false">"Aug "&amp;TEXT(B2_Collections_Recovery!F7,"0.00%")&amp;" / "&amp;TEXT(B2_Collections_Recovery!F8,"0.00%")&amp;" / "&amp;TEXT(B2_Collections_Recovery!F9,"0.00%")&amp;" / "&amp;TEXT(B2_Collections_Recovery!F10,"0.00%")&amp;" / "&amp;TEXT(B2_Collections_Recovery!F11,"0.00%")&amp;" / "&amp;TEXT(B2_Collections_Recovery!F12,"0.00%")&amp;" / "&amp;TEXT(B2_Collections_Recovery!F13,"0.00%")&amp;" / "&amp;TEXT(B2_Collections_Recovery!F14,"0.00%")&amp;" / "&amp;TEXT(B2_Collections_Recovery!F15,"0.00%")</f>
        <v>Aug 98.27% / 47.74% / 16.20% / 11.48% / 97.20% / 21.82% / 9.78% / 10.44% / 85.02%</v>
      </c>
    </row>
    <row r="30" customFormat="false" ht="15" hidden="false" customHeight="false" outlineLevel="0" collapsed="false">
      <c r="A30" s="9" t="n">
        <v>10</v>
      </c>
      <c r="B30" s="21" t="s">
        <v>450</v>
      </c>
      <c r="C30" s="21" t="s">
        <v>454</v>
      </c>
      <c r="D30" s="21" t="s">
        <v>455</v>
      </c>
      <c r="E30" s="21" t="s">
        <v>456</v>
      </c>
      <c r="F30" s="25" t="str">
        <f aca="false">TEXT(B2_Collections_Recovery!N7,"+0.0"" pp"";-0.0"" pp"";0.0"" pp""")&amp;" / "&amp;TEXT(B2_Collections_Recovery!N8,"+0.0"" pp"";-0.0"" pp"";0.0"" pp""")&amp;" / "&amp;TEXT(B2_Collections_Recovery!N9,"+0.0"" pp"";-0.0"" pp"";0.0"" pp""")&amp;" / "&amp;TEXT(B2_Collections_Recovery!N10,"+0.0"" pp"";-0.0"" pp"";0.0"" pp""")&amp;" / "&amp;TEXT(B2_Collections_Recovery!N11,"+0.0"" pp"";-0.0"" pp"";0.0"" pp""")&amp;" / "&amp;TEXT(B2_Collections_Recovery!N12,"+0.0"" pp"";-0.0"" pp"";0.0"" pp""")&amp;" / "&amp;TEXT(B2_Collections_Recovery!N13,"+0.0"" pp"";-0.0"" pp"";0.0"" pp""")&amp;" / "&amp;TEXT(B2_Collections_Recovery!N14,"+0.0"" pp"";-0.0"" pp"";0.0"" pp""")&amp;" / "&amp;TEXT(B2_Collections_Recovery!N15,"+0.0"" pp"";-0.0"" pp"";0.0"" pp""")</f>
        <v>+0.2 pp / -4.0 pp / -1.3 pp / -3.0 pp / +0.2 pp / -5.3 pp / +0.3 pp / +0.0 pp / +0.9 pp</v>
      </c>
    </row>
    <row r="31" customFormat="false" ht="15" hidden="false" customHeight="false" outlineLevel="0" collapsed="false">
      <c r="A31" s="9" t="n">
        <v>11</v>
      </c>
      <c r="B31" s="21" t="s">
        <v>450</v>
      </c>
      <c r="C31" s="21" t="s">
        <v>457</v>
      </c>
      <c r="D31" s="21" t="s">
        <v>458</v>
      </c>
      <c r="E31" s="21" t="s">
        <v>459</v>
      </c>
      <c r="F31" s="25" t="str">
        <f aca="false">TEXT((B2_Collections_Recovery!D15-B2_Collections_Recovery!D13)/(B2_Collections_Recovery!C15-B2_Collections_Recovery!C13),"0.00%")&amp;" / "&amp;TEXT((B2_Collections_Recovery!K15-B2_Collections_Recovery!K13)/(B2_Collections_Recovery!J15-B2_Collections_Recovery!J13),"0.00%")</f>
        <v>96.53% / 96.40%</v>
      </c>
    </row>
    <row r="32" customFormat="false" ht="15" hidden="false" customHeight="false" outlineLevel="0" collapsed="false">
      <c r="A32" s="9" t="n">
        <v>12</v>
      </c>
      <c r="B32" s="21" t="s">
        <v>450</v>
      </c>
      <c r="C32" s="21" t="s">
        <v>460</v>
      </c>
      <c r="D32" s="21" t="s">
        <v>461</v>
      </c>
      <c r="E32" s="21" t="s">
        <v>459</v>
      </c>
      <c r="F32" s="25" t="str">
        <f aca="false">TEXT(B2_Collections_Recovery!F17,"0.00%")&amp;" / "&amp;TEXT(B2_Collections_Recovery!M17,"0.00%")</f>
        <v>31.75% / 34.12%</v>
      </c>
    </row>
    <row r="33" customFormat="false" ht="15" hidden="false" customHeight="false" outlineLevel="0" collapsed="false">
      <c r="A33" s="9" t="n">
        <v>13</v>
      </c>
      <c r="B33" s="21" t="s">
        <v>450</v>
      </c>
      <c r="C33" s="21" t="s">
        <v>462</v>
      </c>
      <c r="D33" s="21" t="s">
        <v>463</v>
      </c>
      <c r="E33" s="21" t="s">
        <v>456</v>
      </c>
      <c r="F33" s="25" t="str">
        <f aca="false">TEXT(B2_Collections_Recovery!G7,"#,##0.00;-#,##0.00;0.00")&amp;" / "&amp;TEXT(B2_Collections_Recovery!G8,"#,##0.00;-#,##0.00;0.00")&amp;" / "&amp;TEXT(B2_Collections_Recovery!G9,"#,##0.00;-#,##0.00;0.00")&amp;" / "&amp;TEXT(B2_Collections_Recovery!G10,"#,##0.00;-#,##0.00;0.00")&amp;" / "&amp;TEXT(B2_Collections_Recovery!G12,"#,##0.00;-#,##0.00;0.00")&amp;" / "&amp;TEXT(B2_Collections_Recovery!G13,"#,##0.00;-#,##0.00;0.00")&amp;"; GT "&amp;TEXT(B2_Collections_Recovery!G15,"#,##0.00;-#,##0.00;0.00")</f>
        <v>20.49 / 5.31 / 4.19 / 3.70 / 8.49 / 167.64; GT 209.81</v>
      </c>
    </row>
    <row r="34" customFormat="false" ht="15" hidden="false" customHeight="false" outlineLevel="0" collapsed="false">
      <c r="A34" s="9" t="n">
        <v>14</v>
      </c>
      <c r="B34" s="21" t="s">
        <v>450</v>
      </c>
      <c r="C34" s="21" t="s">
        <v>286</v>
      </c>
      <c r="D34" s="21" t="s">
        <v>464</v>
      </c>
      <c r="E34" s="21" t="s">
        <v>465</v>
      </c>
      <c r="F34" s="25" t="str">
        <f aca="false">"Current "&amp;TEXT(B2_Collections_Recovery!I7,"0.0%")&amp;"; 1–30 "&amp;TEXT(B2_Collections_Recovery!I8,"0.0%")&amp;"; 91–180 "&amp;TEXT(B2_Collections_Recovery!I12,"0.0%")&amp;"; &gt;180 "&amp;TEXT(B2_Collections_Recovery!I13,"0.0%")</f>
        <v>Current 9.8%; 1–30 2.5%; 91–180 4.0%; &gt;180 79.9%</v>
      </c>
    </row>
    <row r="35" customFormat="false" ht="15" hidden="false" customHeight="false" outlineLevel="0" collapsed="false">
      <c r="A35" s="9" t="n">
        <v>15</v>
      </c>
      <c r="B35" s="21" t="s">
        <v>450</v>
      </c>
      <c r="C35" s="21" t="s">
        <v>466</v>
      </c>
      <c r="D35" s="21" t="s">
        <v>467</v>
      </c>
      <c r="E35" s="21" t="s">
        <v>465</v>
      </c>
      <c r="F35" s="25" t="str">
        <f aca="false">"Current "&amp;TEXT(B2_Collections_Recovery!H7,"0.0%")&amp;"; 1–90 "&amp;TEXT(SUM(B2_Collections_Recovery!C8:C10)/B2_Collections_Recovery!C15,"0.0%")&amp;"; &gt;180 "&amp;TEXT(B2_Collections_Recovery!H13,"0.0%")</f>
        <v>Current 84.6%; 1–90 1.4%; &gt;180 13.3%</v>
      </c>
    </row>
    <row r="36" customFormat="false" ht="15" hidden="false" customHeight="false" outlineLevel="0" collapsed="false">
      <c r="A36" s="9" t="n">
        <v>16</v>
      </c>
      <c r="B36" s="21" t="s">
        <v>450</v>
      </c>
      <c r="C36" s="21" t="s">
        <v>468</v>
      </c>
      <c r="D36" s="21" t="s">
        <v>469</v>
      </c>
      <c r="E36" s="21" t="s">
        <v>456</v>
      </c>
      <c r="F36" s="25" t="str">
        <f aca="false">TEXT(B2_Collections_Recovery!O7,"0.00""x""")&amp;" / "&amp;TEXT(B2_Collections_Recovery!O11,"0.00""x""")&amp;" / "&amp;TEXT(B2_Collections_Recovery!O13,"0.00""x""")&amp;" / "&amp;TEXT(B2_Collections_Recovery!O15,"0.00""x""")&amp;" (window effect)"</f>
        <v>2.03x / 2.03x / 1.89x / 2.01x (window effect)</v>
      </c>
    </row>
    <row r="37" customFormat="false" ht="15" hidden="false" customHeight="false" outlineLevel="0" collapsed="false">
      <c r="A37" s="9" t="n">
        <v>17</v>
      </c>
      <c r="B37" s="21" t="s">
        <v>470</v>
      </c>
      <c r="C37" s="21" t="s">
        <v>471</v>
      </c>
      <c r="D37" s="21" t="s">
        <v>472</v>
      </c>
      <c r="E37" s="21" t="s">
        <v>473</v>
      </c>
      <c r="F37" s="25" t="str">
        <f aca="false">"GT NPA "&amp;TEXT(B2_Collections_Recovery!F25,"0.00%")&amp;"; WOFF "&amp;TEXT(B2_Collections_Recovery!J25,"0.00%")&amp;"; total "&amp;TEXT(B2_Collections_Recovery!M25,"0.00%")&amp;"; RFL total "&amp;TEXT(B2_Collections_Recovery!M21,"0.00%")&amp;"; NOCPL "&amp;TEXT(B2_Collections_Recovery!M22,"0.00%")</f>
        <v>GT NPA 0.78%; WOFF 0.14%; total 0.25%; RFL total 0.27%; NOCPL 0.19%</v>
      </c>
    </row>
    <row r="38" customFormat="false" ht="15" hidden="false" customHeight="false" outlineLevel="0" collapsed="false">
      <c r="A38" s="9" t="n">
        <v>18</v>
      </c>
      <c r="B38" s="21" t="s">
        <v>470</v>
      </c>
      <c r="C38" s="21" t="s">
        <v>474</v>
      </c>
      <c r="D38" s="21" t="s">
        <v>475</v>
      </c>
      <c r="E38" s="21" t="s">
        <v>476</v>
      </c>
      <c r="F38" s="25" t="str">
        <f aca="false">"NPA "&amp;TEXT(B2_Collections_Recovery!F25*12,"0.00%")&amp;"; WOFF "&amp;TEXT(B2_Collections_Recovery!J25*12,"0.00%")</f>
        <v>NPA 9.36%; WOFF 1.73%</v>
      </c>
    </row>
    <row r="39" customFormat="false" ht="15" hidden="false" customHeight="false" outlineLevel="0" collapsed="false">
      <c r="A39" s="9" t="n">
        <v>19</v>
      </c>
      <c r="B39" s="21" t="s">
        <v>470</v>
      </c>
      <c r="C39" s="21" t="s">
        <v>477</v>
      </c>
      <c r="D39" s="21" t="s">
        <v>478</v>
      </c>
      <c r="E39" s="21" t="s">
        <v>473</v>
      </c>
      <c r="F39" s="25" t="str">
        <f aca="false">TEXT(B2_Collections_Recovery!U21,"+0.0"" pp"";-0.0"" pp"";0.0"" pp""")&amp;" / "&amp;TEXT(B2_Collections_Recovery!U22,"+0.0"" pp"";-0.0"" pp"";0.0"" pp""")&amp;" / "&amp;TEXT(B2_Collections_Recovery!U23,"+0.0"" pp"";-0.0"" pp"";0.0"" pp""")&amp;" / "&amp;TEXT(B2_Collections_Recovery!U24,"+0.0"" pp"";-0.0"" pp"";0.0"" pp""")&amp;" / "&amp;TEXT(B2_Collections_Recovery!U25,"+0.0"" pp"";-0.0"" pp"";0.0"" pp""")</f>
        <v>-0.0 pp / -0.1 pp / -0.0 pp / +0.0 pp / -0.0 pp</v>
      </c>
    </row>
    <row r="40" customFormat="false" ht="15" hidden="false" customHeight="false" outlineLevel="0" collapsed="false">
      <c r="A40" s="9" t="n">
        <v>20</v>
      </c>
      <c r="B40" s="21" t="s">
        <v>470</v>
      </c>
      <c r="C40" s="21" t="s">
        <v>479</v>
      </c>
      <c r="D40" s="21" t="s">
        <v>480</v>
      </c>
      <c r="E40" s="21" t="s">
        <v>473</v>
      </c>
      <c r="F40" s="25" t="str">
        <f aca="false">TEXT(B2_Collections_Recovery!V21,"#,##0.00;-#,##0.00;0.00")&amp;" / "&amp;TEXT(B2_Collections_Recovery!V22,"#,##0.00;-#,##0.00;0.00")&amp;" / "&amp;TEXT(B2_Collections_Recovery!V23,"#,##0.00;-#,##0.00;0.00")&amp;" / "&amp;TEXT(B2_Collections_Recovery!V24,"#,##0.00;-#,##0.00;0.00")&amp;" / "&amp;TEXT(B2_Collections_Recovery!V25,"#,##0.00;-#,##0.00;0.00")</f>
        <v>12.68 / 0.05 / 0.76 / -0.03 / 13.48</v>
      </c>
    </row>
    <row r="41" customFormat="false" ht="15" hidden="false" customHeight="false" outlineLevel="0" collapsed="false">
      <c r="A41" s="9" t="n">
        <v>21</v>
      </c>
      <c r="B41" s="21" t="s">
        <v>470</v>
      </c>
      <c r="C41" s="21" t="s">
        <v>481</v>
      </c>
      <c r="D41" s="21" t="s">
        <v>482</v>
      </c>
      <c r="E41" s="21" t="s">
        <v>483</v>
      </c>
      <c r="F41" s="25" t="str">
        <f aca="false">"RFL "&amp;TEXT(B2_Collections_Recovery!N21,"0.0%")&amp;" / "&amp;TEXT(B2_Collections_Recovery!O21,"0.0%")&amp;"; NOCPL "&amp;TEXT(B2_Collections_Recovery!N22,"0.0%")&amp;" / "&amp;TEXT(B2_Collections_Recovery!O22,"0.0%")&amp;"; PAHAL "&amp;TEXT(B2_Collections_Recovery!N23,"0.0%")&amp;" / "&amp;TEXT(B2_Collections_Recovery!O23,"0.0%")</f>
        <v>RFL 86.3% / 92.1%; NOCPL 4.9% / 3.7%; PAHAL 8.1% / 3.9%</v>
      </c>
    </row>
    <row r="42" customFormat="false" ht="15" hidden="false" customHeight="false" outlineLevel="0" collapsed="false">
      <c r="A42" s="9" t="n">
        <v>22</v>
      </c>
      <c r="B42" s="21" t="s">
        <v>470</v>
      </c>
      <c r="C42" s="21" t="s">
        <v>484</v>
      </c>
      <c r="D42" s="21" t="s">
        <v>485</v>
      </c>
      <c r="E42" s="21" t="s">
        <v>486</v>
      </c>
      <c r="F42" s="25" t="str">
        <f aca="false">TEXT(B2_Collections_Recovery!G25/B2_Collections_Recovery!C25,"0.00""x""")</f>
        <v>5.09x</v>
      </c>
    </row>
    <row r="43" customFormat="false" ht="15" hidden="false" customHeight="false" outlineLevel="0" collapsed="false">
      <c r="A43" s="9" t="n">
        <v>23</v>
      </c>
      <c r="B43" s="21" t="s">
        <v>487</v>
      </c>
      <c r="C43" s="21" t="s">
        <v>488</v>
      </c>
      <c r="D43" s="21" t="s">
        <v>489</v>
      </c>
      <c r="E43" s="21" t="s">
        <v>490</v>
      </c>
      <c r="F43" s="25" t="str">
        <f aca="false">"Aug V0 … V5+ "&amp;TEXT(B2_Collections_Recovery!F30,"0.00%")&amp;" / "&amp;TEXT(B2_Collections_Recovery!F31,"0.00%")&amp;" / "&amp;TEXT(B2_Collections_Recovery!F32,"0.00%")&amp;" / "&amp;TEXT(B2_Collections_Recovery!F33,"0.00%")&amp;" / "&amp;TEXT(B2_Collections_Recovery!F34,"0.00%")&amp;" / "&amp;TEXT(B2_Collections_Recovery!F35,"0.00%")&amp;" / "&amp;TEXT(B2_Collections_Recovery!F36,"0.00%")</f>
        <v>Aug V0 … V5+ 0.96% / 0.76% / 0.29% / 0.30% / 0.15% / 0.08% / 0.08%</v>
      </c>
    </row>
    <row r="44" customFormat="false" ht="15" hidden="false" customHeight="false" outlineLevel="0" collapsed="false">
      <c r="A44" s="9" t="n">
        <v>24</v>
      </c>
      <c r="B44" s="21" t="s">
        <v>487</v>
      </c>
      <c r="C44" s="21" t="s">
        <v>491</v>
      </c>
      <c r="D44" s="21" t="s">
        <v>492</v>
      </c>
      <c r="E44" s="21" t="s">
        <v>493</v>
      </c>
      <c r="F44" s="25" t="str">
        <f aca="false">"V1 "&amp;TEXT(B2_Collections_Recovery!G31,"0.0%")&amp;" / "&amp;TEXT(B2_Collections_Recovery!H31,"0.0%")&amp;"; V5+ &gt;1000 "&amp;TEXT(B2_Collections_Recovery!G36,"0.0%")&amp;" / "&amp;TEXT(B2_Collections_Recovery!H36,"0.0%")</f>
        <v>V1 14.7% / 45.0%; V5+ &gt;1000 39.3% / 12.3%</v>
      </c>
    </row>
    <row r="45" customFormat="false" ht="15" hidden="false" customHeight="false" outlineLevel="0" collapsed="false">
      <c r="A45" s="9" t="n">
        <v>25</v>
      </c>
      <c r="B45" s="21" t="s">
        <v>487</v>
      </c>
      <c r="C45" s="21" t="s">
        <v>494</v>
      </c>
      <c r="D45" s="21" t="s">
        <v>495</v>
      </c>
      <c r="E45" s="21" t="s">
        <v>496</v>
      </c>
      <c r="F45" s="25" t="str">
        <f aca="false">"NPA "&amp;TEXT(B2_Collections_Recovery!C39,"#,##0.00;-#,##0.00;0.00")&amp;" @ "&amp;TEXT(B2_Collections_Recovery!F39,"0.00%")&amp;"; WOFF "&amp;TEXT(B2_Collections_Recovery!I39,"#,##0.00;-#,##0.00;0.00")&amp;" @ "&amp;TEXT(B2_Collections_Recovery!K39,"0.00%")</f>
        <v>NPA 577.14 @ 0.78%; WOFF 2,939.62 @ 0.14%</v>
      </c>
    </row>
    <row r="46" customFormat="false" ht="15" hidden="false" customHeight="false" outlineLevel="0" collapsed="false">
      <c r="A46" s="9" t="n">
        <v>26</v>
      </c>
      <c r="B46" s="21" t="s">
        <v>487</v>
      </c>
      <c r="C46" s="21" t="s">
        <v>497</v>
      </c>
      <c r="D46" s="21" t="s">
        <v>498</v>
      </c>
      <c r="E46" s="21" t="s">
        <v>493</v>
      </c>
      <c r="F46" s="25" t="str">
        <f aca="false">TEXT(B2_Collections_Recovery!M30,"#,##0.00;-#,##0.00;0.00")&amp;" / "&amp;TEXT(B2_Collections_Recovery!M31,"#,##0.00;-#,##0.00;0.00")&amp;" / "&amp;TEXT(B2_Collections_Recovery!M32,"#,##0.00;-#,##0.00;0.00")&amp;" / "&amp;TEXT(B2_Collections_Recovery!M33,"#,##0.00;-#,##0.00;0.00")&amp;" / "&amp;TEXT(B2_Collections_Recovery!M34,"#,##0.00;-#,##0.00;0.00")&amp;" / "&amp;TEXT(B2_Collections_Recovery!M35,"#,##0.00;-#,##0.00;0.00")&amp;" / "&amp;TEXT(B2_Collections_Recovery!M36,"#,##0.00;-#,##0.00;0.00")&amp;" (V2 −74, V4 +88 → ageing)"</f>
        <v>4.09 / 14.01 / -74.43 / -76.05 / 88.00 / 13.74 / 44.10 (V2 −74, V4 +88 → ageing)</v>
      </c>
    </row>
    <row r="47" customFormat="false" ht="15" hidden="false" customHeight="false" outlineLevel="0" collapsed="false">
      <c r="A47" s="9" t="n">
        <v>27</v>
      </c>
      <c r="B47" s="21" t="s">
        <v>487</v>
      </c>
      <c r="C47" s="21" t="s">
        <v>499</v>
      </c>
      <c r="D47" s="21" t="s">
        <v>500</v>
      </c>
      <c r="E47" s="21" t="s">
        <v>501</v>
      </c>
      <c r="F47" s="25" t="str">
        <f aca="false">TEXT(B2_Collections_Recovery!F30/B2_Collections_Recovery!F36,"0.00""x""")</f>
        <v>12.24x</v>
      </c>
    </row>
    <row r="48" customFormat="false" ht="15" hidden="false" customHeight="false" outlineLevel="0" collapsed="false">
      <c r="A48" s="9" t="n">
        <v>28</v>
      </c>
      <c r="B48" s="21" t="s">
        <v>502</v>
      </c>
      <c r="C48" s="21" t="s">
        <v>503</v>
      </c>
      <c r="D48" s="21" t="s">
        <v>504</v>
      </c>
      <c r="E48" s="21" t="s">
        <v>505</v>
      </c>
      <c r="F48" s="25" t="str">
        <f aca="false">"RR "&amp;TEXT(B2_Collections_Recovery!H43,"0.00%")&amp;" / "&amp;TEXT(B2_Collections_Recovery!H44,"0.00%")&amp;" / "&amp;TEXT(B2_Collections_Recovery!H45,"0.00%")&amp;" / "&amp;TEXT(B2_Collections_Recovery!H46,"0.00%")&amp;"; FF "&amp;TEXT(B2_Collections_Recovery!J43,"0.00%")&amp;" / "&amp;TEXT(B2_Collections_Recovery!J44,"0.00%")&amp;" / "&amp;TEXT(B2_Collections_Recovery!J45,"0.00%")&amp;" / "&amp;TEXT(B2_Collections_Recovery!J46,"0.00%")</f>
        <v>RR 37.33% / 8.77% / 3.77% / 22.26%; FF 62.67% / 91.24% / 96.22% / 77.74%</v>
      </c>
    </row>
    <row r="49" customFormat="false" ht="15" hidden="false" customHeight="false" outlineLevel="0" collapsed="false">
      <c r="A49" s="9" t="n">
        <v>29</v>
      </c>
      <c r="B49" s="21" t="s">
        <v>502</v>
      </c>
      <c r="C49" s="21" t="s">
        <v>506</v>
      </c>
      <c r="D49" s="21" t="s">
        <v>507</v>
      </c>
      <c r="E49" s="21" t="s">
        <v>435</v>
      </c>
      <c r="F49" s="25" t="str">
        <f aca="false">"GT "&amp;TEXT(B2_Collections_Recovery!K46,"0.00%")&amp;"; max dev "&amp;TEXT(MAX(ABS(B2_Collections_Recovery!K43-1),ABS(B2_Collections_Recovery!K44-1),ABS(B2_Collections_Recovery!K45-1),ABS(B2_Collections_Recovery!K46-1))*100,"+0.0"" pp"";-0.0"" pp"";0.0"" pp""")</f>
        <v>GT 100.00%; max dev +0.0 pp</v>
      </c>
    </row>
    <row r="50" customFormat="false" ht="15" hidden="false" customHeight="false" outlineLevel="0" collapsed="false">
      <c r="A50" s="9" t="n">
        <v>30</v>
      </c>
      <c r="B50" s="21" t="s">
        <v>502</v>
      </c>
      <c r="C50" s="21" t="s">
        <v>508</v>
      </c>
      <c r="D50" s="21" t="s">
        <v>509</v>
      </c>
      <c r="E50" s="21" t="s">
        <v>510</v>
      </c>
      <c r="F50" s="25" t="str">
        <f aca="false">"GT "&amp;TEXT(B2_Collections_Recovery!N46,"#,##0.00;-#,##0.00;0.00")&amp;"; 1–30 "&amp;TEXT(B2_Collections_Recovery!N43,"#,##0.00;-#,##0.00;0.00")&amp;"; RFL "&amp;TEXT(B2_Collections_Recovery!N50,"#,##0.00;-#,##0.00;0.00")</f>
        <v>GT 0.39; 1–30 0.36; RFL 0.36</v>
      </c>
    </row>
    <row r="51" customFormat="false" ht="15" hidden="false" customHeight="false" outlineLevel="0" collapsed="false">
      <c r="A51" s="9" t="n">
        <v>31</v>
      </c>
      <c r="B51" s="21" t="s">
        <v>502</v>
      </c>
      <c r="C51" s="21" t="s">
        <v>511</v>
      </c>
      <c r="D51" s="21" t="s">
        <v>512</v>
      </c>
      <c r="E51" s="21" t="s">
        <v>513</v>
      </c>
      <c r="F51" s="25" t="str">
        <f aca="false">"1–30: RFL "&amp;TEXT(B2_Collections_Recovery!H47,"0.00%")&amp;"; NOCPL "&amp;TEXT(B2_Collections_Recovery!H51,"0.00%")&amp;"; PAHAL "&amp;TEXT(B2_Collections_Recovery!H55,"0.00%")</f>
        <v>1–30: RFL 37.58%; NOCPL 37.70%; PAHAL 32.29%</v>
      </c>
    </row>
    <row r="52" customFormat="false" ht="15" hidden="false" customHeight="false" outlineLevel="0" collapsed="false">
      <c r="A52" s="9" t="n">
        <v>32</v>
      </c>
      <c r="B52" s="21" t="s">
        <v>502</v>
      </c>
      <c r="C52" s="21" t="s">
        <v>514</v>
      </c>
      <c r="D52" s="21" t="s">
        <v>515</v>
      </c>
      <c r="E52" s="21" t="s">
        <v>250</v>
      </c>
      <c r="F52" s="25" t="str">
        <f aca="false">"RFL "&amp;TEXT(B2_Collections_Recovery!E50/B2_Collections_Recovery!E46,"0.0%")&amp;"; NOCPL "&amp;TEXT(B2_Collections_Recovery!E54/B2_Collections_Recovery!E46,"0.0%")&amp;"; PAHAL "&amp;TEXT(B2_Collections_Recovery!E58/B2_Collections_Recovery!E46,"0.0%")</f>
        <v>RFL 92.4%; NOCPL 2.3%; PAHAL 5.3%</v>
      </c>
    </row>
    <row r="53" customFormat="false" ht="15" hidden="false" customHeight="false" outlineLevel="0" collapsed="false">
      <c r="A53" s="9" t="n">
        <v>33</v>
      </c>
      <c r="B53" s="21" t="s">
        <v>502</v>
      </c>
      <c r="C53" s="21" t="s">
        <v>516</v>
      </c>
      <c r="D53" s="21" t="s">
        <v>517</v>
      </c>
      <c r="E53" s="21" t="s">
        <v>510</v>
      </c>
      <c r="F53" s="25" t="str">
        <f aca="false">"GT "&amp;TEXT(B2_Collections_Recovery!T46,"0.00%")&amp;" vs "&amp;TEXT(B2_Collections_Recovery!U46,"0.0%")&amp;" by accounts"</f>
        <v>GT 78.40% vs 76.2% by accounts</v>
      </c>
    </row>
    <row r="54" customFormat="false" ht="15" hidden="false" customHeight="false" outlineLevel="0" collapsed="false">
      <c r="A54" s="9" t="n">
        <v>34</v>
      </c>
      <c r="B54" s="21" t="s">
        <v>502</v>
      </c>
      <c r="C54" s="21" t="s">
        <v>518</v>
      </c>
      <c r="D54" s="21" t="s">
        <v>519</v>
      </c>
      <c r="E54" s="21" t="s">
        <v>520</v>
      </c>
      <c r="F54" s="25" t="str">
        <f aca="false">TEXT(B2_Collections_Recovery!O43-B2_Collections_Recovery!D43,"#,##0")&amp;" / "&amp;TEXT(B2_Collections_Recovery!O44-B2_Collections_Recovery!D44,"#,##0")&amp;" / "&amp;TEXT(B2_Collections_Recovery!O45-B2_Collections_Recovery!D45,"#,##0")</f>
        <v>0 / -96 / -291</v>
      </c>
    </row>
    <row r="55" customFormat="false" ht="15" hidden="false" customHeight="false" outlineLevel="0" collapsed="false">
      <c r="A55" s="9" t="n">
        <v>35</v>
      </c>
      <c r="B55" s="21" t="s">
        <v>268</v>
      </c>
      <c r="C55" s="21" t="s">
        <v>521</v>
      </c>
      <c r="D55" s="21" t="s">
        <v>522</v>
      </c>
      <c r="E55" s="21" t="s">
        <v>523</v>
      </c>
      <c r="F55" s="21" t="s">
        <v>524</v>
      </c>
    </row>
    <row r="56" customFormat="false" ht="15" hidden="false" customHeight="false" outlineLevel="0" collapsed="false">
      <c r="A56" s="9" t="n">
        <v>36</v>
      </c>
      <c r="B56" s="21" t="s">
        <v>268</v>
      </c>
      <c r="C56" s="21" t="s">
        <v>525</v>
      </c>
      <c r="D56" s="21" t="s">
        <v>526</v>
      </c>
      <c r="E56" s="21" t="s">
        <v>271</v>
      </c>
      <c r="F56" s="25" t="str">
        <f aca="false">TEXT(B2_Collections_Recovery!O15,"0.00""x""")&amp;" — July comparatives cover a shorter demand window"</f>
        <v>2.01x — July comparatives cover a shorter demand window</v>
      </c>
    </row>
    <row r="58" customFormat="false" ht="15" hidden="false" customHeight="false" outlineLevel="0" collapsed="false">
      <c r="A58" s="3" t="s">
        <v>2</v>
      </c>
    </row>
  </sheetData>
  <mergeCells count="11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2026-10-09T21:17:23Z</dcterms:created>
  <dc:creator>openpyxl</dc:creator>
  <dc:description/>
  <dc:language>en-US</dc:language>
  <cp:lastModifiedBy/>
  <dcterms:modified xsi:type="dcterms:W3CDTF">2026-10-09T21:17:23Z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