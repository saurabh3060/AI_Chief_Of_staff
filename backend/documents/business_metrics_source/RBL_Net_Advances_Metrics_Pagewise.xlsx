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1_NetFunded_Qtr" sheetId="2" state="visible" r:id="rId4"/>
    <sheet name="P1_Metrics" sheetId="3" state="visible" r:id="rId5"/>
    <sheet name="P2_Detailed_Table" sheetId="4" state="visible" r:id="rId6"/>
    <sheet name="P2_Metrics" sheetId="5" state="visible" r:id="rId7"/>
    <sheet name="P3_Retail_Monthly" sheetId="6" state="visible" r:id="rId8"/>
    <sheet name="P3_Metrics" sheetId="7" state="visible" r:id="rId9"/>
    <sheet name="P4_Wholesale_Monthly" sheetId="8" state="visible" r:id="rId10"/>
    <sheet name="P4_Metrics" sheetId="9" state="visible" r:id="rId11"/>
    <sheet name="X_Cross_Rec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<sst xmlns="http://schemas.openxmlformats.org/spreadsheetml/2006/main" count="1638" uniqueCount="867">
  <si>
    <t xml:space="preserve">RBL Bank — Net Advances Insights: page-wise metric extraction</t>
  </si>
  <si>
    <t xml:space="preserve">Prepared with the metric-extraction method | Source: 09_Net_Advances_Insights.pdf (1 page, 4 data blocks) | ₹ Cr</t>
  </si>
  <si>
    <t xml:space="preserve">⚠ DRAFT ONLY — Requires review and approval by a qualified Alvarez and Marsal professional before use.</t>
  </si>
  <si>
    <t xml:space="preserve">Sheet map (one sheet per block on the page)</t>
  </si>
  <si>
    <t xml:space="preserve">P1_NetFunded_Qtr</t>
  </si>
  <si>
    <t xml:space="preserve">Block 1 — Net Funded Advances quarterly chart (Wholesale / Retail, 4 quarter-ends)</t>
  </si>
  <si>
    <t xml:space="preserve">P2_Detailed_Table</t>
  </si>
  <si>
    <t xml:space="preserve">Block 2 — Net Funded Advances Detailed table (35 products + Null, 4 quarter-ends)</t>
  </si>
  <si>
    <t xml:space="preserve">P3_Retail_Monthly</t>
  </si>
  <si>
    <t xml:space="preserve">Block 3 — Retail Net Advances monthly chart (Aug-25 to Aug-26)</t>
  </si>
  <si>
    <t xml:space="preserve">P4_Wholesale_Monthly</t>
  </si>
  <si>
    <t xml:space="preserve">Block 4 — Wholesale Net Advances monthly chart (Aug-25 to Aug-26)</t>
  </si>
  <si>
    <t xml:space="preserve">X_Cross_Recon</t>
  </si>
  <si>
    <t xml:space="preserve">Cross-block reconciliation matrix</t>
  </si>
  <si>
    <t xml:space="preserve">Each block has two sheets</t>
  </si>
  <si>
    <t xml:space="preserve">Pn_&lt;block&gt;: source data · derived series grid · flags · what it cannot support · 10-question test set.  Pn_Metrics: Notation table + exhaustive metrics table (# | Metric family | Pipeline-ready metric | Definition / formula | Applies to | Example), examples are live formulas</t>
  </si>
  <si>
    <t xml:space="preserve">Colour legend</t>
  </si>
  <si>
    <t xml:space="preserve">Blue text</t>
  </si>
  <si>
    <t xml:space="preserve">Hard-coded input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</si>
  <si>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</si>
  <si>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</si>
  <si>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</si>
  <si>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</si>
  <si>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</si>
  <si>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</si>
  <si>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Notation</t>
  </si>
  <si>
    <t xml:space="preserve">W / R / T</t>
  </si>
  <si>
    <t xml:space="preserve">Wholesale / Retail / Total net funded advances (₹ Cr)</t>
  </si>
  <si>
    <t xml:space="preserve">QoQ / MoM / YoY</t>
  </si>
  <si>
    <t xml:space="preserve">Quarter-on-quarter / month-on-month / year-on-year growth</t>
  </si>
  <si>
    <t xml:space="preserve">9M</t>
  </si>
  <si>
    <t xml:space="preserve">Sep-25 → Jun-26 (three quarters)</t>
  </si>
  <si>
    <t xml:space="preserve">pp</t>
  </si>
  <si>
    <t xml:space="preserve">Percentage points (share differences × 100)</t>
  </si>
  <si>
    <t xml:space="preserve">CQGR / CMGR</t>
  </si>
  <si>
    <t xml:space="preserve">Compounded quarterly / monthly growth rate</t>
  </si>
  <si>
    <t xml:space="preserve">HHI</t>
  </si>
  <si>
    <t xml:space="preserve">Σ(share %)²; effective number = 10,000 / HHI</t>
  </si>
  <si>
    <t xml:space="preserve">Key assumptions (confirm with client)</t>
  </si>
  <si>
    <t xml:space="preserve">1</t>
  </si>
  <si>
    <t xml:space="preserve">Block-2 rows with &lt;4 values placed by roll-up: Govt. Banking = Sep-25; C&amp;IB Agri = Dec-25 &amp; Mar-26; FIGU-BBB = Dec-25, Mar-26, Jun-26 (0); LAS = Jun-26 (0); Null = Dec-25, Mar-26, Jun-26. Blanks treated as zero.</t>
  </si>
  <si>
    <t xml:space="preserve">2</t>
  </si>
  <si>
    <t xml:space="preserve">Block 3 olive segment = Credit Cards (excl STPL + STPL); green segment = LAP. Ties to Block 2 within ±1 Cr.</t>
  </si>
  <si>
    <t xml:space="preserve">3</t>
  </si>
  <si>
    <t xml:space="preserve">Block 4 larger segment = Corporate Banking; smaller = Commercial Banking. Ties within single-digit ₹ Cr.</t>
  </si>
  <si>
    <t xml:space="preserve">4</t>
  </si>
  <si>
    <t xml:space="preserve">Unsecured retail = CC + STPL + Micro Banking + BIL/SBL; partnership book = DA + CL lines. Analyst mappings.</t>
  </si>
  <si>
    <t xml:space="preserve">5</t>
  </si>
  <si>
    <t xml:space="preserve">'Retail - Others' Sep-25 (₹4,391 Cr) treated as containing ~₹4,000 Cr later reclassified (likely into the Null bucket).</t>
  </si>
  <si>
    <t xml:space="preserve">6</t>
  </si>
  <si>
    <t xml:space="preserve">'Illustrative' run-rate projections are arithmetic extrapolations, not forecasts.</t>
  </si>
  <si>
    <t xml:space="preserve">Confidentiality</t>
  </si>
  <si>
    <t xml:space="preserve">Client-confidential RBL Bank data. Do not combine with other clients' data.</t>
  </si>
  <si>
    <t xml:space="preserve">Block 1 — Net Funded Advances (quarterly stacked chart)</t>
  </si>
  <si>
    <t xml:space="preserve">Source: Net Advances Insights.pdf, 'Net Funded Advances' chart | ₹ Cr | Sep-25, Dec-25, Mar-26, Jun-26 quarter-ends | all actuals</t>
  </si>
  <si>
    <t xml:space="preserve">A. Source data as printed (blue)</t>
  </si>
  <si>
    <t xml:space="preserve">#</t>
  </si>
  <si>
    <t xml:space="preserve">Series</t>
  </si>
  <si>
    <t xml:space="preserve">Sep-25</t>
  </si>
  <si>
    <t xml:space="preserve">Dec-25</t>
  </si>
  <si>
    <t xml:space="preserve">Mar-26</t>
  </si>
  <si>
    <t xml:space="preserve">Jun-26</t>
  </si>
  <si>
    <t xml:space="preserve">Note</t>
  </si>
  <si>
    <t xml:space="preserve">Wholesale</t>
  </si>
  <si>
    <t xml:space="preserve">Teal (bottom) — ties to Block 4</t>
  </si>
  <si>
    <t xml:space="preserve">Retail</t>
  </si>
  <si>
    <t xml:space="preserve">Navy (top) — ties to Block 3</t>
  </si>
  <si>
    <t xml:space="preserve">Total (printed)</t>
  </si>
  <si>
    <t xml:space="preserve">Differs from Block 2 Grand Total in Dec/Mar/Jun</t>
  </si>
  <si>
    <t xml:space="preserve">B. Derived series (live formulas)</t>
  </si>
  <si>
    <t xml:space="preserve">Derived series</t>
  </si>
  <si>
    <t xml:space="preserve">Computed total W + R</t>
  </si>
  <si>
    <t xml:space="preserve">Rounding gap printed − computed</t>
  </si>
  <si>
    <t xml:space="preserve">Wholesale share</t>
  </si>
  <si>
    <t xml:space="preserve">Retail share</t>
  </si>
  <si>
    <t xml:space="preserve">Wholesale : Retail ratio</t>
  </si>
  <si>
    <t xml:space="preserve">QoQ Δ Wholesale</t>
  </si>
  <si>
    <t xml:space="preserve">–</t>
  </si>
  <si>
    <t xml:space="preserve">QoQ Δ Retail</t>
  </si>
  <si>
    <t xml:space="preserve">QoQ Δ Total</t>
  </si>
  <si>
    <t xml:space="preserve">QoQ growth Wholesale</t>
  </si>
  <si>
    <t xml:space="preserve">QoQ growth Retail</t>
  </si>
  <si>
    <t xml:space="preserve">QoQ growth Total</t>
  </si>
  <si>
    <t xml:space="preserve">Wholesale contribution to QoQ Δ</t>
  </si>
  <si>
    <t xml:space="preserve">Retail contribution to QoQ Δ</t>
  </si>
  <si>
    <t xml:space="preserve">Growth differential W − R</t>
  </si>
  <si>
    <t xml:space="preserve">Cumulative growth vs Sep-25 — Wholesale</t>
  </si>
  <si>
    <t xml:space="preserve">Cumulative growth vs Sep-25 — Retail</t>
  </si>
  <si>
    <t xml:space="preserve">Cumulative growth vs Sep-25 — Total</t>
  </si>
  <si>
    <t xml:space="preserve">Index Wholesale (Sep-25 = 100)</t>
  </si>
  <si>
    <t xml:space="preserve">Index Retail (Sep-25 = 100)</t>
  </si>
  <si>
    <t xml:space="preserve">Wholesale share change QoQ</t>
  </si>
  <si>
    <t xml:space="preserve">Avg of opening &amp; closing total (avg book proxy)</t>
  </si>
  <si>
    <t xml:space="preserve">Data points to flag before metrics (live checks)</t>
  </si>
  <si>
    <t xml:space="preserve">Flag</t>
  </si>
  <si>
    <t xml:space="preserve">Check value (live)</t>
  </si>
  <si>
    <t xml:space="preserve">Unit</t>
  </si>
  <si>
    <t xml:space="preserve">Implication / action</t>
  </si>
  <si>
    <t xml:space="preserve">Chart totals differ from the Block-2 Grand Total in Dec-25, Mar-26, Jun-26 — by exactly the Null bucket.</t>
  </si>
  <si>
    <t xml:space="preserve">₹ Cr</t>
  </si>
  <si>
    <t xml:space="preserve">Chart = excl-Null basis. State the basis on every bank-level number.</t>
  </si>
  <si>
    <t xml:space="preserve">Rounding: W + R ≠ printed total by ₹1 Cr in Mar-26 and Jun-26.</t>
  </si>
  <si>
    <t xml:space="preserve">Immaterial.</t>
  </si>
  <si>
    <t xml:space="preserve">Retail declined in Dec-25 (−₹520 Cr QoQ) while wholesale grew — partly the 'Retail - Others' reclass into the Null bucket (Block 2).</t>
  </si>
  <si>
    <t xml:space="preserve">Read retail QoQ alongside Block 2 like-for-like.</t>
  </si>
  <si>
    <t xml:space="preserve">Only 4 quarter-ends; no prior-year comparatives on this chart → no YoY.</t>
  </si>
  <si>
    <t xml:space="preserve">text</t>
  </si>
  <si>
    <t xml:space="preserve">Use Blocks 3/4 for the one YoY pair available (Aug).</t>
  </si>
  <si>
    <t xml:space="preserve">Notation and exhaustive metrics table for this block: see sheet P1_Metrics</t>
  </si>
  <si>
    <t xml:space="preserve">10-question test set (3 Low / 4 Medium / 3 High) — expected answers are live formulas</t>
  </si>
  <si>
    <t xml:space="preserve">Level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</si>
  <si>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</si>
  <si>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</si>
  <si>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</si>
  <si>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</si>
  <si>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</si>
  <si>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What is total net funded advances at Jun-26?</t>
  </si>
  <si>
    <t xml:space="preserve">Lookup</t>
  </si>
  <si>
    <t xml:space="preserve">What is the wholesale book at Dec-25?</t>
  </si>
  <si>
    <t xml:space="preserve">What is the retail share at Sep-25?</t>
  </si>
  <si>
    <t xml:space="preserve">R / T</t>
  </si>
  <si>
    <t xml:space="preserve">%</t>
  </si>
  <si>
    <t xml:space="preserve">Medium</t>
  </si>
  <si>
    <t xml:space="preserve">What is 9M wholesale growth (%)?</t>
  </si>
  <si>
    <t xml:space="preserve">Jun / Sep − 1</t>
  </si>
  <si>
    <t xml:space="preserve">What is the compounded quarterly growth of the total book?</t>
  </si>
  <si>
    <t xml:space="preserve">(Jun/Sep)^(1/3) − 1</t>
  </si>
  <si>
    <t xml:space="preserve">How many pp did wholesale share gain Sep → Jun?</t>
  </si>
  <si>
    <t xml:space="preserve">(share Jun − share Sep) × 100</t>
  </si>
  <si>
    <t xml:space="preserve">Which quarter had the fastest total growth?</t>
  </si>
  <si>
    <t xml:space="preserve">MAX QoQ</t>
  </si>
  <si>
    <t xml:space="preserve">High</t>
  </si>
  <si>
    <t xml:space="preserve">What share of the 9M incremental book is wholesale, and how does it compare with wholesale's starting share?</t>
  </si>
  <si>
    <t xml:space="preserve">ΔW/ΔT − W share Sep</t>
  </si>
  <si>
    <t xml:space="preserve">~72% of incremental book is wholesale vs a ~40% starting share → the bank is rebalancing toward wholesale.</t>
  </si>
  <si>
    <t xml:space="preserve">Reconcile chart totals to the Block-2 Grand Total: what residual remains after removing the Null bucket?</t>
  </si>
  <si>
    <t xml:space="preserve">Σ |GT − chart − Null|</t>
  </si>
  <si>
    <t xml:space="preserve">Zero → chart is the excl-Null basis.</t>
  </si>
  <si>
    <t xml:space="preserve">Wholesale QoQ accelerated in Jun-26 while retail stayed slow. What is the Jun-26 W − R growth differential?</t>
  </si>
  <si>
    <t xml:space="preserve">QoQ W − QoQ R (Jun)</t>
  </si>
  <si>
    <t xml:space="preserve">Gap is widening; check whether wholesale growth is quarter-end loaded (Block 4).</t>
  </si>
  <si>
    <t xml:space="preserve">What this block cannot support (feeds the data request)</t>
  </si>
  <si>
    <t xml:space="preserve">Not derivable: YoY comparatives (only 4 quarter-ends), drivers of growth (disbursement vs run-off), non-fund exposure, asset quality, yields, segment detail below Wholesale / Retail (see Blocks 2–4), budget / AOP targets, and average balances.</t>
  </si>
  <si>
    <t xml:space="preserve">Block 1 — Net Funded Advances (quarterly): notation and metrics</t>
  </si>
  <si>
    <t xml:space="preserve">Format: Notation → Exhaustive metrics table | Example column = live Excel formula on the block sheet (green = cross-sheet)</t>
  </si>
  <si>
    <t xml:space="preserve">Symbol</t>
  </si>
  <si>
    <t xml:space="preserve">Meaning</t>
  </si>
  <si>
    <t xml:space="preserve">W</t>
  </si>
  <si>
    <t xml:space="preserve">Wholesale net funded advances (chart teal segment)</t>
  </si>
  <si>
    <t xml:space="preserve">R</t>
  </si>
  <si>
    <t xml:space="preserve">Retail net funded advances (chart navy segment)</t>
  </si>
  <si>
    <t xml:space="preserve">T</t>
  </si>
  <si>
    <t xml:space="preserve">Total net funded advances as printed on the chart</t>
  </si>
  <si>
    <t xml:space="preserve">X</t>
  </si>
  <si>
    <t xml:space="preserve">Any of W, R, T</t>
  </si>
  <si>
    <t xml:space="preserve">q</t>
  </si>
  <si>
    <t xml:space="preserve">Quarter-end: Sep-25, Dec-25, Mar-26, Jun-26</t>
  </si>
  <si>
    <t xml:space="preserve">ΔX</t>
  </si>
  <si>
    <t xml:space="preserve">X(q) − X(q−1)</t>
  </si>
  <si>
    <t xml:space="preserve">gX</t>
  </si>
  <si>
    <t xml:space="preserve">X(q) ÷ X(q−1) − 1</t>
  </si>
  <si>
    <t xml:space="preserve">CQGR</t>
  </si>
  <si>
    <t xml:space="preserve">Compounded quarterly growth rate</t>
  </si>
  <si>
    <t xml:space="preserve">GT</t>
  </si>
  <si>
    <t xml:space="preserve">Grand Total as printed on the Block-2 detailed table</t>
  </si>
  <si>
    <t xml:space="preserve">NULL</t>
  </si>
  <si>
    <t xml:space="preserve">Block-2 'Null' bucket row</t>
  </si>
  <si>
    <t xml:space="preserve">WM / RM</t>
  </si>
  <si>
    <t xml:space="preserve">Block-4 monthly wholesale / Block-3 monthly retail at the same month-end</t>
  </si>
  <si>
    <t xml:space="preserve">Values are ₹ Cr as printed; all periods are actuals; growth in %, share shifts in pp.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</si>
  <si>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</si>
  <si>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</si>
  <si>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</si>
  <si>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</si>
  <si>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</si>
  <si>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</si>
  <si>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</si>
  <si>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Quarter-end balances</t>
  </si>
  <si>
    <t xml:space="preserve">W, R, T as printed</t>
  </si>
  <si>
    <t xml:space="preserve">3 series × 4 quarter-ends</t>
  </si>
  <si>
    <t xml:space="preserve">Roll-up check</t>
  </si>
  <si>
    <t xml:space="preserve">Total</t>
  </si>
  <si>
    <t xml:space="preserve">W + R vs T</t>
  </si>
  <si>
    <t xml:space="preserve">4 quarter-ends</t>
  </si>
  <si>
    <t xml:space="preserve">Mix &amp; share</t>
  </si>
  <si>
    <t xml:space="preserve">W ÷ T</t>
  </si>
  <si>
    <t xml:space="preserve">R ÷ T</t>
  </si>
  <si>
    <t xml:space="preserve">Wholesale-to-retail ratio</t>
  </si>
  <si>
    <t xml:space="preserve">W ÷ R</t>
  </si>
  <si>
    <t xml:space="preserve">Wholesale share shift</t>
  </si>
  <si>
    <t xml:space="preserve">(W ÷ T)(q) − (W ÷ T)(q−1), in pp</t>
  </si>
  <si>
    <t xml:space="preserve">3 quarters + 9M</t>
  </si>
  <si>
    <t xml:space="preserve">Growth &amp; momentum</t>
  </si>
  <si>
    <t xml:space="preserve">QoQ change</t>
  </si>
  <si>
    <t xml:space="preserve">3 series × 3 quarters</t>
  </si>
  <si>
    <t xml:space="preserve">QoQ growth</t>
  </si>
  <si>
    <t xml:space="preserve">9M growth</t>
  </si>
  <si>
    <t xml:space="preserve">X(Jun-26) ÷ X(Sep-25) − 1; ΔX(9M)</t>
  </si>
  <si>
    <t xml:space="preserve">3 series</t>
  </si>
  <si>
    <t xml:space="preserve">Compounded quarterly growth</t>
  </si>
  <si>
    <t xml:space="preserve">(X(Jun-26) ÷ X(Sep-25))^(1/3) − 1</t>
  </si>
  <si>
    <t xml:space="preserve">Annualised growth</t>
  </si>
  <si>
    <t xml:space="preserve">(X(Jun-26) ÷ X(Sep-25))^(4/3) − 1</t>
  </si>
  <si>
    <t xml:space="preserve">Cumulative growth vs Sep-25</t>
  </si>
  <si>
    <t xml:space="preserve">X(q) ÷ X(Sep-25) − 1</t>
  </si>
  <si>
    <t xml:space="preserve">Growth index</t>
  </si>
  <si>
    <t xml:space="preserve">100 × X(q) ÷ X(Sep-25)</t>
  </si>
  <si>
    <t xml:space="preserve">W, R × 4 quarter-ends</t>
  </si>
  <si>
    <t xml:space="preserve">Growth differential</t>
  </si>
  <si>
    <t xml:space="preserve">gW(q) − gR(q), in pp</t>
  </si>
  <si>
    <t xml:space="preserve">Acceleration</t>
  </si>
  <si>
    <t xml:space="preserve">gT(q) − gT(q−1), in pp</t>
  </si>
  <si>
    <t xml:space="preserve">Mar-26, Jun-26</t>
  </si>
  <si>
    <t xml:space="preserve">Momentum ratio</t>
  </si>
  <si>
    <t xml:space="preserve">AVERAGE(ΔT Mar-26, ΔT Jun-26) ÷ ΔT Dec-25</t>
  </si>
  <si>
    <t xml:space="preserve">Window</t>
  </si>
  <si>
    <t xml:space="preserve">Retail decline quarters</t>
  </si>
  <si>
    <t xml:space="preserve">COUNT(ΔR &lt; 0)</t>
  </si>
  <si>
    <t xml:space="preserve">3 quarters</t>
  </si>
  <si>
    <t xml:space="preserve">Attribution</t>
  </si>
  <si>
    <t xml:space="preserve">Contribution to QoQ change</t>
  </si>
  <si>
    <t xml:space="preserve">ΔW ÷ ΔT; ΔR ÷ ΔT</t>
  </si>
  <si>
    <t xml:space="preserve">Incremental mix</t>
  </si>
  <si>
    <t xml:space="preserve">ΔW(9M) ÷ ΔT(9M); ΔR(9M) ÷ ΔT(9M)</t>
  </si>
  <si>
    <t xml:space="preserve">Marginal vs average mix gap</t>
  </si>
  <si>
    <t xml:space="preserve">(ΔW(9M) ÷ ΔT(9M) − W(Sep-25) ÷ T(Sep-25)) × 100</t>
  </si>
  <si>
    <t xml:space="preserve">Volume aggregates</t>
  </si>
  <si>
    <t xml:space="preserve">Average quarter-end balance</t>
  </si>
  <si>
    <t xml:space="preserve">AVERAGE(X(q))</t>
  </si>
  <si>
    <t xml:space="preserve">Average-book proxy</t>
  </si>
  <si>
    <t xml:space="preserve">(T(q−1) + T(q)) ÷ 2</t>
  </si>
  <si>
    <t xml:space="preserve">Run-rate &amp; pacing</t>
  </si>
  <si>
    <t xml:space="preserve">Average quarterly addition</t>
  </si>
  <si>
    <t xml:space="preserve">AVERAGE(ΔX)</t>
  </si>
  <si>
    <t xml:space="preserve">Illustrative next-quarter total</t>
  </si>
  <si>
    <t xml:space="preserve">T(Jun-26) × (1 + gT(Jun-26)); illustrative, not a forecast</t>
  </si>
  <si>
    <t xml:space="preserve">Sep-26</t>
  </si>
  <si>
    <t xml:space="preserve">Illustrative quarters for W to overtake R</t>
  </si>
  <si>
    <t xml:space="preserve">LN(R ÷ W) ÷ LN((1 + CQGR_W) ÷ (1 + CQGR_R))</t>
  </si>
  <si>
    <t xml:space="preserve">Jun-26 base</t>
  </si>
  <si>
    <t xml:space="preserve">Volatility</t>
  </si>
  <si>
    <t xml:space="preserve">Std dev of QoQ growth</t>
  </si>
  <si>
    <t xml:space="preserve">STDEV(gX)</t>
  </si>
  <si>
    <t xml:space="preserve">Coefficient of variation of QoQ change</t>
  </si>
  <si>
    <t xml:space="preserve">STDEV(ΔT) ÷ AVERAGE(ΔT)</t>
  </si>
  <si>
    <t xml:space="preserve">Peak / trough</t>
  </si>
  <si>
    <t xml:space="preserve">MAX(T) / MIN(T)</t>
  </si>
  <si>
    <t xml:space="preserve">Retail drawdown</t>
  </si>
  <si>
    <t xml:space="preserve">R(Dec-25) ÷ R(Sep-25) − 1</t>
  </si>
  <si>
    <t xml:space="preserve">Event</t>
  </si>
  <si>
    <t xml:space="preserve">Reconciliation</t>
  </si>
  <si>
    <t xml:space="preserve">Total vs Block-2 Grand Total</t>
  </si>
  <si>
    <t xml:space="preserve">GT − T</t>
  </si>
  <si>
    <t xml:space="preserve">Residual after Null bucket</t>
  </si>
  <si>
    <t xml:space="preserve">GT − T − NULL</t>
  </si>
  <si>
    <t xml:space="preserve">Wholesale vs monthly chart</t>
  </si>
  <si>
    <t xml:space="preserve">WM(q) − W(q)</t>
  </si>
  <si>
    <t xml:space="preserve">Retail vs monthly chart</t>
  </si>
  <si>
    <t xml:space="preserve">RM(q) − R(q)</t>
  </si>
  <si>
    <t xml:space="preserve">Data integrity</t>
  </si>
  <si>
    <t xml:space="preserve">Rounding</t>
  </si>
  <si>
    <t xml:space="preserve">T − (W + R)</t>
  </si>
  <si>
    <t xml:space="preserve">Basis flag</t>
  </si>
  <si>
    <t xml:space="preserve">Chart excludes NULL; Block-2 GT includes it</t>
  </si>
  <si>
    <t xml:space="preserve">Page</t>
  </si>
  <si>
    <t xml:space="preserve">Chart = excl-Null basis; state the basis on every bank-level number</t>
  </si>
  <si>
    <t xml:space="preserve">Comparatives flag</t>
  </si>
  <si>
    <t xml:space="preserve">No prior-year quarter-ends on this chart</t>
  </si>
  <si>
    <t xml:space="preserve">No YoY possible on this block</t>
  </si>
  <si>
    <t xml:space="preserve">Block 2 — Net Funded Advances Detailed (product-level table)</t>
  </si>
  <si>
    <t xml:space="preserve">Source: Net Advances Insights.pdf, 'Net Funded Advances Detailed' table | ₹ Cr | Quarter-ends Sep-25, Dec-25, Mar-26, Jun-26 | all actuals</t>
  </si>
  <si>
    <t xml:space="preserve">A. Source data as printed (blue) with line-level live calculations (black)</t>
  </si>
  <si>
    <t xml:space="preserve">Category</t>
  </si>
  <si>
    <t xml:space="preserve">Business line</t>
  </si>
  <si>
    <t xml:space="preserve">Product</t>
  </si>
  <si>
    <t xml:space="preserve">QoQ Dec-25</t>
  </si>
  <si>
    <t xml:space="preserve">QoQ Mar-26</t>
  </si>
  <si>
    <t xml:space="preserve">QoQ Jun-26</t>
  </si>
  <si>
    <t xml:space="preserve">9M Δ (₹ Cr)</t>
  </si>
  <si>
    <t xml:space="preserve">9M growth %</t>
  </si>
  <si>
    <t xml:space="preserve">Share of bank Jun-26 (excl Null)</t>
  </si>
  <si>
    <t xml:space="preserve">Share of category Jun-26</t>
  </si>
  <si>
    <t xml:space="preserve">Contribution to bank 9M growth</t>
  </si>
  <si>
    <t xml:space="preserve">Rank Jun-26</t>
  </si>
  <si>
    <t xml:space="preserve">Auto-flag</t>
  </si>
  <si>
    <t xml:space="preserve">Commercial Banking</t>
  </si>
  <si>
    <t xml:space="preserve">CB (incl Agri &amp; NE)</t>
  </si>
  <si>
    <t xml:space="preserve">CB- BBG</t>
  </si>
  <si>
    <t xml:space="preserve">Supply Chain</t>
  </si>
  <si>
    <t xml:space="preserve">Corporate Banking</t>
  </si>
  <si>
    <t xml:space="preserve">C&amp;IB Agri</t>
  </si>
  <si>
    <t xml:space="preserve">Corporate Banking (incl G&amp;J)</t>
  </si>
  <si>
    <t xml:space="preserve">FI</t>
  </si>
  <si>
    <t xml:space="preserve">FIGU- BBB</t>
  </si>
  <si>
    <t xml:space="preserve">Govt. Banking</t>
  </si>
  <si>
    <t xml:space="preserve">IFI</t>
  </si>
  <si>
    <t xml:space="preserve">MNC</t>
  </si>
  <si>
    <t xml:space="preserve">Housing Loans</t>
  </si>
  <si>
    <t xml:space="preserve">Affordable Housing</t>
  </si>
  <si>
    <t xml:space="preserve">Housing Loan CL</t>
  </si>
  <si>
    <t xml:space="preserve">Housing Loan DA</t>
  </si>
  <si>
    <t xml:space="preserve">Prime Housing</t>
  </si>
  <si>
    <t xml:space="preserve">Loan Against Property</t>
  </si>
  <si>
    <t xml:space="preserve">LAP - CL</t>
  </si>
  <si>
    <t xml:space="preserve">LAP - DA</t>
  </si>
  <si>
    <t xml:space="preserve">Prime LAP</t>
  </si>
  <si>
    <t xml:space="preserve">Small LAP</t>
  </si>
  <si>
    <t xml:space="preserve">Gold Loans</t>
  </si>
  <si>
    <t xml:space="preserve">Gold Loan - BBB</t>
  </si>
  <si>
    <t xml:space="preserve">Gold Loan DA/CL</t>
  </si>
  <si>
    <t xml:space="preserve">Business Banking &amp; Retail Agri</t>
  </si>
  <si>
    <t xml:space="preserve">MSME</t>
  </si>
  <si>
    <t xml:space="preserve">Retail Agri</t>
  </si>
  <si>
    <t xml:space="preserve">WCF/BBG</t>
  </si>
  <si>
    <t xml:space="preserve">Credit Cards</t>
  </si>
  <si>
    <t xml:space="preserve">Credit Card excl STPL</t>
  </si>
  <si>
    <t xml:space="preserve">STPL</t>
  </si>
  <si>
    <t xml:space="preserve">Micro Banking</t>
  </si>
  <si>
    <t xml:space="preserve">Retail Others</t>
  </si>
  <si>
    <t xml:space="preserve">Agri-BBB</t>
  </si>
  <si>
    <t xml:space="preserve">BIL/SBL</t>
  </si>
  <si>
    <t xml:space="preserve">Education Loan</t>
  </si>
  <si>
    <t xml:space="preserve">LAS</t>
  </si>
  <si>
    <t xml:space="preserve">ODFD</t>
  </si>
  <si>
    <t xml:space="preserve">Retail - Others</t>
  </si>
  <si>
    <t xml:space="preserve">Wheels</t>
  </si>
  <si>
    <t xml:space="preserve">Rural Vehicle Finance</t>
  </si>
  <si>
    <t xml:space="preserve">Two Wheeler</t>
  </si>
  <si>
    <t xml:space="preserve">Used Car Loans</t>
  </si>
  <si>
    <t xml:space="preserve">Null</t>
  </si>
  <si>
    <t xml:space="preserve">B. Roll-ups (live SUMIFS) — business line, category, bank; reconciliation to printed Grand Total</t>
  </si>
  <si>
    <t xml:space="preserve">Share Sep-25</t>
  </si>
  <si>
    <t xml:space="preserve">Share Jun-26</t>
  </si>
  <si>
    <t xml:space="preserve">Share chg (pp)</t>
  </si>
  <si>
    <t xml:space="preserve">Wholesale (computed)</t>
  </si>
  <si>
    <t xml:space="preserve">Retail (computed)</t>
  </si>
  <si>
    <t xml:space="preserve">Null bucket</t>
  </si>
  <si>
    <t xml:space="preserve">Bank total excl Null (computed) = chart basis</t>
  </si>
  <si>
    <t xml:space="preserve">Bank total incl Null (computed)</t>
  </si>
  <si>
    <t xml:space="preserve">Grand Total — as printed</t>
  </si>
  <si>
    <t xml:space="preserve">Gap: printed GT − computed incl Null (rounding)</t>
  </si>
  <si>
    <t xml:space="preserve">Gap: printed GT − computed excl Null</t>
  </si>
  <si>
    <t xml:space="preserve">Chart total (Block 1, printed)</t>
  </si>
  <si>
    <t xml:space="preserve">Gap: printed GT − chart total</t>
  </si>
  <si>
    <t xml:space="preserve">Residual after Null bucket (GT − chart − Null)</t>
  </si>
  <si>
    <t xml:space="preserve">Printed Grand Total exceeds the Block-1 chart total by exactly the 'Null' row in Dec-25 / Mar-26 / Jun-26 (1,000 / 3,700 / 986). Residual after Null = 0 → chart excludes the Null bucket; table includes it.</t>
  </si>
  <si>
    <t xml:space="preserve">Use the excl-Null basis for trend metrics; ask client what the Null bucket is (unmapped book? suspense? DA pending tagging?).</t>
  </si>
  <si>
    <t xml:space="preserve">'Retail - Others' is ₹4,391 Cr in Sep-25 vs ₹387 Cr in Dec-25 — a ~₹4,000 Cr step-down that coincides with the Null bucket appearing. Likely reclassification, not run-off.</t>
  </si>
  <si>
    <t xml:space="preserve">Reported Retail growth is understated; compute like-for-like growth excl this line (see metrics).</t>
  </si>
  <si>
    <t xml:space="preserve">Rows with fewer than 4 printed values (C&amp;IB Agri, FIGU-BBB, Govt. Banking, LAS). Column placement inferred from roll-up to the chart totals; blanks treated as zero.</t>
  </si>
  <si>
    <t xml:space="preserve">count</t>
  </si>
  <si>
    <t xml:space="preserve">Confirm placement with client; impact ≤ ₹10 Cr.</t>
  </si>
  <si>
    <t xml:space="preserve">Rounding gap: printed Grand Total − computed (incl Null) — max absolute across quarters.</t>
  </si>
  <si>
    <t xml:space="preserve">Within rounding tolerance of line items.</t>
  </si>
  <si>
    <t xml:space="preserve">Business-line labels 'Business Line' appear twice in the header; Category / Business line / Product hierarchy assumed.</t>
  </si>
  <si>
    <t xml:space="preserve">Cosmetic – confirm hierarchy with MIS owner.</t>
  </si>
  <si>
    <t xml:space="preserve">Notation and exhaustive metrics table for this block: see sheet P2_Metrics</t>
  </si>
  <si>
    <t xml:space="preserve">What is the Prime LAP balance at Jun-26?</t>
  </si>
  <si>
    <t xml:space="preserve">Direct lookup</t>
  </si>
  <si>
    <t xml:space="preserve">What is the computed Wholesale book at Mar-26?</t>
  </si>
  <si>
    <t xml:space="preserve">Σ Wholesale products, Mar-26</t>
  </si>
  <si>
    <t xml:space="preserve">What is the total Null bucket across the three quarters it appears?</t>
  </si>
  <si>
    <t xml:space="preserve">1,000 + 3,700 + 986</t>
  </si>
  <si>
    <t xml:space="preserve">By how much did the Gold Loans business line grow over 9M (%)?</t>
  </si>
  <si>
    <t xml:space="preserve">Gold Jun / Gold Sep − 1</t>
  </si>
  <si>
    <t xml:space="preserve">Fastest-growing retail line.</t>
  </si>
  <si>
    <t xml:space="preserve">What share of the bank (excl Null) is Corporate Banking at Jun-26?</t>
  </si>
  <si>
    <t xml:space="preserve">Corp BL / Bank</t>
  </si>
  <si>
    <t xml:space="preserve">How did the unsecured retail share (CC+STPL+Micro+BIL/SBL) move Sep→Jun?</t>
  </si>
  <si>
    <t xml:space="preserve">Jun share − Sep share</t>
  </si>
  <si>
    <t xml:space="preserve">Card run-off offset by Micro Banking growth.</t>
  </si>
  <si>
    <t xml:space="preserve">What is the top-5 product share of the bank at Jun-26?</t>
  </si>
  <si>
    <t xml:space="preserve">Σ top-5 / Bank</t>
  </si>
  <si>
    <t xml:space="preserve">The printed Grand Total exceeds the chart total in Dec, Mar and Jun. What residual remains after the Null bucket?</t>
  </si>
  <si>
    <t xml:space="preserve">Σ |GT − chart − Null| across quarters</t>
  </si>
  <si>
    <t xml:space="preserve">Zero → the gap is entirely the Null bucket; chart excludes it.</t>
  </si>
  <si>
    <t xml:space="preserve">What is Retail's like-for-like 9M growth excluding the 'Retail - Others' line, and how far is it from reported?</t>
  </si>
  <si>
    <t xml:space="preserve">(R − RO) Jun / (R − RO) Sep − 1, minus reported</t>
  </si>
  <si>
    <t xml:space="preserve">Reported 6.8% vs ~14.4% like-for-like — the ~₹4,000 Cr reclass hides real retail momentum.</t>
  </si>
  <si>
    <t xml:space="preserve">What share of the bank's 9M growth came from Wholesale?</t>
  </si>
  <si>
    <t xml:space="preserve">ΔW / ΔBank (excl Null)</t>
  </si>
  <si>
    <t xml:space="preserve">Growth is wholesale-led; retail mix is diluting.</t>
  </si>
  <si>
    <t xml:space="preserve">Not derivable from this table: disbursements vs run-off (only closing balances), yields / NIM, asset quality (GNPA, NNPA, SMA/DPD buckets), provisions, sanctioned limits vs utilisation (funded only — non-fund exposure absent), customer/account counts and ticket size, DA/CL partner names and pool terms, sector / industry split of Corporate Banking, rating mix, geography, and the composition of the Null bucket and the Sep-25 'Retail - Others' balance.</t>
  </si>
  <si>
    <t xml:space="preserve">Block 2 — Net Funded Advances Detailed: notation and metrics</t>
  </si>
  <si>
    <t xml:space="preserve">B(p,q)</t>
  </si>
  <si>
    <t xml:space="preserve">Net funded advance of product p at quarter-end q</t>
  </si>
  <si>
    <t xml:space="preserve">BL</t>
  </si>
  <si>
    <t xml:space="preserve">Business-line subtotal = Σ B(p) within the line</t>
  </si>
  <si>
    <t xml:space="preserve">W / R</t>
  </si>
  <si>
    <t xml:space="preserve">Wholesale / Retail category subtotals, computed from product lines</t>
  </si>
  <si>
    <t xml:space="preserve">Unmapped 'Null' row (Dec-25, Mar-26, Jun-26)</t>
  </si>
  <si>
    <t xml:space="preserve">Bank total excl NULL = W + R (chart basis)</t>
  </si>
  <si>
    <t xml:space="preserve">Grand Total as printed (includes NULL)</t>
  </si>
  <si>
    <t xml:space="preserve">RO</t>
  </si>
  <si>
    <t xml:space="preserve">'Retail - Others' product line</t>
  </si>
  <si>
    <t xml:space="preserve">CC</t>
  </si>
  <si>
    <t xml:space="preserve">Credit Card excl STPL + STPL</t>
  </si>
  <si>
    <t xml:space="preserve">MB</t>
  </si>
  <si>
    <t xml:space="preserve">UNS</t>
  </si>
  <si>
    <t xml:space="preserve">Unsecured retail proxy = CC + MB + BIL/SBL (analyst mapping)</t>
  </si>
  <si>
    <t xml:space="preserve">PART</t>
  </si>
  <si>
    <t xml:space="preserve">Partnership / purchased book = HL CL + HL DA + LAP CL + LAP DA + Gold DA/CL (analyst mapping)</t>
  </si>
  <si>
    <t xml:space="preserve">s(p)</t>
  </si>
  <si>
    <t xml:space="preserve">Share of bank = B(p) ÷ T</t>
  </si>
  <si>
    <t xml:space="preserve">Σ (100 × s)²; effective number = 10,000 ÷ HHI</t>
  </si>
  <si>
    <t xml:space="preserve">Sep-25 → Jun-26</t>
  </si>
  <si>
    <t xml:space="preserve">Δ</t>
  </si>
  <si>
    <t xml:space="preserve">Change over the stated window</t>
  </si>
  <si>
    <t xml:space="preserve">A / Bseg</t>
  </si>
  <si>
    <t xml:space="preserve">Block-4 wholesale segments (≈ Corporate / Commercial Banking)</t>
  </si>
  <si>
    <t xml:space="preserve">CC3 / LAP3</t>
  </si>
  <si>
    <t xml:space="preserve">Block-3 labelled retail segments</t>
  </si>
  <si>
    <t xml:space="preserve">Values are ₹ Cr as printed; blanks treated as zero; growth in %, share shifts in pp.</t>
  </si>
  <si>
    <t xml:space="preserve">Product balances</t>
  </si>
  <si>
    <t xml:space="preserve">35 products + NULL × 4 quarter-ends</t>
  </si>
  <si>
    <t xml:space="preserve">Business-line subtotals</t>
  </si>
  <si>
    <t xml:space="preserve">BL(q) = Σ B(p,q) in line</t>
  </si>
  <si>
    <t xml:space="preserve">11 lines × 4</t>
  </si>
  <si>
    <t xml:space="preserve">Category subtotals</t>
  </si>
  <si>
    <t xml:space="preserve">W(q), R(q)</t>
  </si>
  <si>
    <t xml:space="preserve">2 × 4</t>
  </si>
  <si>
    <t xml:space="preserve">NULL(q)</t>
  </si>
  <si>
    <t xml:space="preserve">Dec-25, Mar-26, Jun-26</t>
  </si>
  <si>
    <t xml:space="preserve">Printed Grand Total</t>
  </si>
  <si>
    <t xml:space="preserve">GT(q)</t>
  </si>
  <si>
    <t xml:space="preserve">Bank total excl NULL</t>
  </si>
  <si>
    <t xml:space="preserve">T = W + R</t>
  </si>
  <si>
    <t xml:space="preserve">Grand Total vs lines</t>
  </si>
  <si>
    <t xml:space="preserve">GT − (T + NULL)</t>
  </si>
  <si>
    <t xml:space="preserve">Grand Total vs chart total</t>
  </si>
  <si>
    <t xml:space="preserve">GT − T(Block 1)</t>
  </si>
  <si>
    <t xml:space="preserve">Residual after NULL</t>
  </si>
  <si>
    <t xml:space="preserve">GT − T(Block 1) − NULL</t>
  </si>
  <si>
    <t xml:space="preserve">Product QoQ growth</t>
  </si>
  <si>
    <t xml:space="preserve">B(p,q) ÷ B(p,q−1) − 1</t>
  </si>
  <si>
    <t xml:space="preserve">35 products × 3 quarters</t>
  </si>
  <si>
    <t xml:space="preserve">Product 9M growth</t>
  </si>
  <si>
    <t xml:space="preserve">B(p,Jun-26) ÷ B(p,Sep-25) − 1</t>
  </si>
  <si>
    <t xml:space="preserve">35 products</t>
  </si>
  <si>
    <t xml:space="preserve">Business-line 9M growth</t>
  </si>
  <si>
    <t xml:space="preserve">BL(Jun-26) ÷ BL(Sep-25) − 1</t>
  </si>
  <si>
    <t xml:space="preserve">11 lines</t>
  </si>
  <si>
    <t xml:space="preserve">Business-line QoQ growth</t>
  </si>
  <si>
    <t xml:space="preserve">BL(q) ÷ BL(q−1) − 1</t>
  </si>
  <si>
    <t xml:space="preserve">11 lines × 3 quarters</t>
  </si>
  <si>
    <t xml:space="preserve">Category 9M growth</t>
  </si>
  <si>
    <t xml:space="preserve">X(Jun-26) ÷ X(Sep-25) − 1</t>
  </si>
  <si>
    <t xml:space="preserve">W, R, T</t>
  </si>
  <si>
    <t xml:space="preserve">Category QoQ growth</t>
  </si>
  <si>
    <t xml:space="preserve">W, R × 3 quarters</t>
  </si>
  <si>
    <t xml:space="preserve">Like-for-like retail growth</t>
  </si>
  <si>
    <t xml:space="preserve">(R − RO)(Jun-26) ÷ (R − RO)(Sep-25) − 1</t>
  </si>
  <si>
    <t xml:space="preserve">Retail ex-cards growth</t>
  </si>
  <si>
    <t xml:space="preserve">(R − CC)(Jun-26) ÷ (R − CC)(Sep-25) − 1</t>
  </si>
  <si>
    <t xml:space="preserve">Largest absolute gainer / decliner</t>
  </si>
  <si>
    <t xml:space="preserve">MAX / MIN of ΔB(p,9M)</t>
  </si>
  <si>
    <t xml:space="preserve">Fastest-growing product (Sep-25 base ≥ ₹100 Cr)</t>
  </si>
  <si>
    <t xml:space="preserve">MAX of 9M growth where B(p,Sep-25) ≥ 100</t>
  </si>
  <si>
    <t xml:space="preserve">Growth breadth</t>
  </si>
  <si>
    <t xml:space="preserve">N(ΔB &gt; 0) ÷ N(ΔB ≠ 0)</t>
  </si>
  <si>
    <t xml:space="preserve">Business-line contribution to 9M growth</t>
  </si>
  <si>
    <t xml:space="preserve">ΔBL(9M) ÷ ΔT(9M)</t>
  </si>
  <si>
    <t xml:space="preserve">Category contribution to 9M growth</t>
  </si>
  <si>
    <t xml:space="preserve">Product contribution to 9M growth</t>
  </si>
  <si>
    <t xml:space="preserve">ΔB(p,9M) ÷ ΔT(9M)</t>
  </si>
  <si>
    <t xml:space="preserve">Business-line share of bank</t>
  </si>
  <si>
    <t xml:space="preserve">BL(q) ÷ T(q)</t>
  </si>
  <si>
    <t xml:space="preserve">Business-line share shift</t>
  </si>
  <si>
    <t xml:space="preserve">(s(BL,Jun-26) − s(BL,Sep-25)) × 100</t>
  </si>
  <si>
    <t xml:space="preserve">Retail share of bank</t>
  </si>
  <si>
    <t xml:space="preserve">R(q) ÷ T(q)</t>
  </si>
  <si>
    <t xml:space="preserve">Product share of category</t>
  </si>
  <si>
    <t xml:space="preserve">B(p,q) ÷ W(q) or R(q)</t>
  </si>
  <si>
    <t xml:space="preserve">35 products × 4</t>
  </si>
  <si>
    <t xml:space="preserve">Unsecured retail share</t>
  </si>
  <si>
    <t xml:space="preserve">UNS ÷ R</t>
  </si>
  <si>
    <t xml:space="preserve">Partnership book share</t>
  </si>
  <si>
    <t xml:space="preserve">PART ÷ R</t>
  </si>
  <si>
    <t xml:space="preserve">Cards share of retail</t>
  </si>
  <si>
    <t xml:space="preserve">CC ÷ R</t>
  </si>
  <si>
    <t xml:space="preserve">Gold share of retail</t>
  </si>
  <si>
    <t xml:space="preserve">Gold BL ÷ R</t>
  </si>
  <si>
    <t xml:space="preserve">Corporate Banking (incl G&amp;J) share of wholesale</t>
  </si>
  <si>
    <t xml:space="preserve">B(Corp incl G&amp;J) ÷ W</t>
  </si>
  <si>
    <t xml:space="preserve">Concentration</t>
  </si>
  <si>
    <t xml:space="preserve">Top-1 product share</t>
  </si>
  <si>
    <t xml:space="preserve">MAX(B) ÷ T</t>
  </si>
  <si>
    <t xml:space="preserve">Top-5 product share</t>
  </si>
  <si>
    <t xml:space="preserve">Σ LARGE(B, 1..5) ÷ T</t>
  </si>
  <si>
    <t xml:space="preserve">HHI (products)</t>
  </si>
  <si>
    <t xml:space="preserve">Σ (100 × s(p))²</t>
  </si>
  <si>
    <t xml:space="preserve">Effective number of products</t>
  </si>
  <si>
    <t xml:space="preserve">10,000 ÷ HHI</t>
  </si>
  <si>
    <t xml:space="preserve">HHI (business lines)</t>
  </si>
  <si>
    <t xml:space="preserve">Σ (100 × s(BL))²</t>
  </si>
  <si>
    <t xml:space="preserve">Long tail</t>
  </si>
  <si>
    <t xml:space="preserve">N(0 &lt; s &lt; 1%); Σ s for those products</t>
  </si>
  <si>
    <t xml:space="preserve">Ranking &amp; tiering</t>
  </si>
  <si>
    <t xml:space="preserve">Business-line rank</t>
  </si>
  <si>
    <t xml:space="preserve">RANK(BL(Jun-26))</t>
  </si>
  <si>
    <t xml:space="preserve">Product rank</t>
  </si>
  <si>
    <t xml:space="preserve">RANK(B(p,Jun-26))</t>
  </si>
  <si>
    <t xml:space="preserve">Tiering</t>
  </si>
  <si>
    <t xml:space="preserve">Core s &gt; 10%; mid 2–10%; tail &lt; 2%</t>
  </si>
  <si>
    <t xml:space="preserve">Active products</t>
  </si>
  <si>
    <t xml:space="preserve">N(B &gt; 0)</t>
  </si>
  <si>
    <t xml:space="preserve">Average / median product size</t>
  </si>
  <si>
    <t xml:space="preserve">AVERAGE(B &gt; 0) / MEDIAN(B)</t>
  </si>
  <si>
    <t xml:space="preserve">Cumulative NULL</t>
  </si>
  <si>
    <t xml:space="preserve">Σ NULL(q)</t>
  </si>
  <si>
    <t xml:space="preserve">'Retail - Others' step-down</t>
  </si>
  <si>
    <t xml:space="preserve">RO(Sep-25) − RO(Dec-25); RO(Sep-25) ÷ RO(Dec-25)</t>
  </si>
  <si>
    <t xml:space="preserve">Line item</t>
  </si>
  <si>
    <t xml:space="preserve">Partial-period rows</t>
  </si>
  <si>
    <t xml:space="preserve">Rows with fewer than 4 printed values</t>
  </si>
  <si>
    <t xml:space="preserve">4 rows (C&amp;IB Agri, FIGU-BBB, Govt. Banking, LAS); placement inferred by roll-up</t>
  </si>
  <si>
    <t xml:space="preserve">Zero balances</t>
  </si>
  <si>
    <t xml:space="preserve">N(B = 0)</t>
  </si>
  <si>
    <t xml:space="preserve">NULL definition flag</t>
  </si>
  <si>
    <t xml:space="preserve">Category = Null, Business line = Retail Others</t>
  </si>
  <si>
    <t xml:space="preserve">Unmapped; excluded from chart totals; ask client</t>
  </si>
  <si>
    <t xml:space="preserve">Wholesale vs Block 1</t>
  </si>
  <si>
    <t xml:space="preserve">W − W(Block 1)</t>
  </si>
  <si>
    <t xml:space="preserve">Retail vs Block 1</t>
  </si>
  <si>
    <t xml:space="preserve">R − R(Block 1)</t>
  </si>
  <si>
    <t xml:space="preserve">Business lines vs Block 4</t>
  </si>
  <si>
    <t xml:space="preserve">Commercial − Bseg; Corporate − A</t>
  </si>
  <si>
    <t xml:space="preserve">Cards and LAP vs Block 3</t>
  </si>
  <si>
    <t xml:space="preserve">CC − CC3; LAP − LAP3</t>
  </si>
  <si>
    <t xml:space="preserve">4 / 2 quarter-ends</t>
  </si>
  <si>
    <t xml:space="preserve">Block 3 — Retail Net Advances (monthly stacked chart)</t>
  </si>
  <si>
    <t xml:space="preserve">Source: Net Advances Insights.pdf, 'Retail Net Advances' chart | ₹ Cr | Aug-25 to Aug-26 month-ends | only 2 of ~8 segments carry labels</t>
  </si>
  <si>
    <t xml:space="preserve">A. Source data as printed (blue); segment identities inferred by tying to Block 2 (see validation rows)</t>
  </si>
  <si>
    <t xml:space="preserve">Aug-25</t>
  </si>
  <si>
    <t xml:space="preserve">Oct-25</t>
  </si>
  <si>
    <t xml:space="preserve">Nov-25</t>
  </si>
  <si>
    <t xml:space="preserve">Jan-26</t>
  </si>
  <si>
    <t xml:space="preserve">Feb-26</t>
  </si>
  <si>
    <t xml:space="preserve">Apr-26</t>
  </si>
  <si>
    <t xml:space="preserve">May-26</t>
  </si>
  <si>
    <t xml:space="preserve">Jul-26</t>
  </si>
  <si>
    <t xml:space="preserve">Aug-26</t>
  </si>
  <si>
    <t xml:space="preserve">Retail total (printed)</t>
  </si>
  <si>
    <t xml:space="preserve">Olive segment ≈ Credit Cards incl STPL (inferred)</t>
  </si>
  <si>
    <t xml:space="preserve">Green segment ≈ LAP (inferred; labelled Mar-26 onward)</t>
  </si>
  <si>
    <t xml:space="preserve">Unlabelled residual = Total − CC − LAP</t>
  </si>
  <si>
    <t xml:space="preserve">MoM Δ total (₹ Cr)</t>
  </si>
  <si>
    <t xml:space="preserve">MoM growth total</t>
  </si>
  <si>
    <t xml:space="preserve">Credit Cards share of retail</t>
  </si>
  <si>
    <t xml:space="preserve">LAP share of retail</t>
  </si>
  <si>
    <t xml:space="preserve">Unlabelled residual share</t>
  </si>
  <si>
    <t xml:space="preserve">Credit Cards MoM growth</t>
  </si>
  <si>
    <t xml:space="preserve">LAP MoM growth</t>
  </si>
  <si>
    <t xml:space="preserve">Retail ex-Credit-Cards (₹ Cr)</t>
  </si>
  <si>
    <t xml:space="preserve">Retail ex-CC MoM growth</t>
  </si>
  <si>
    <t xml:space="preserve">Index total (Aug-25 = 100)</t>
  </si>
  <si>
    <t xml:space="preserve">Index Credit Cards (Aug-25 = 100)</t>
  </si>
  <si>
    <t xml:space="preserve">Cumulative growth vs Aug-25</t>
  </si>
  <si>
    <t xml:space="preserve">CC contribution to MoM Δ</t>
  </si>
  <si>
    <t xml:space="preserve">3M rolling average total</t>
  </si>
  <si>
    <t xml:space="preserve">C. Validation vs Block 1 / Block 2 at quarter-ends (green = cross-sheet link)</t>
  </si>
  <si>
    <t xml:space="preserve">Check</t>
  </si>
  <si>
    <t xml:space="preserve">Credit Cards per Block 2 (CC excl STPL + STPL)</t>
  </si>
  <si>
    <t xml:space="preserve">Gap: chart CC − table CC</t>
  </si>
  <si>
    <t xml:space="preserve">LAP per Block 2</t>
  </si>
  <si>
    <t xml:space="preserve">Gap: chart LAP − table LAP</t>
  </si>
  <si>
    <t xml:space="preserve">Retail per Block 1 chart</t>
  </si>
  <si>
    <t xml:space="preserve">Gap: monthly chart − Block 1</t>
  </si>
  <si>
    <t xml:space="preserve">Aug-26 retail jumps +₹8,881 Cr MoM (+13.6%) — ~13.5x the average monthly addition of the prior 11 months. Labelled CC and LAP explain little; the jump sits in unlabelled segments.</t>
  </si>
  <si>
    <t xml:space="preserve">x</t>
  </si>
  <si>
    <t xml:space="preserve">Confirm with client: acquisition / portfolio buyout / reclass / data error. Show all growth metrics with and without Aug-26.</t>
  </si>
  <si>
    <t xml:space="preserve">Segment identities are inferred: olive = Credit Cards (incl STPL), green = LAP — both tie to Block 2 at every quarter-end within ±1 Cr.</t>
  </si>
  <si>
    <t xml:space="preserve">Assumption — confirm legend with MIS owner.</t>
  </si>
  <si>
    <t xml:space="preserve">LAP carries a value label only from Mar-26; pre-Mar the 'unlabelled residual' includes LAP, so residual is not comparable across Feb→Mar.</t>
  </si>
  <si>
    <t xml:space="preserve">Use 'Retail ex-CC' for continuous trend.</t>
  </si>
  <si>
    <t xml:space="preserve">~6 other segments have no labels and no legend; their values cannot be read.</t>
  </si>
  <si>
    <t xml:space="preserve">Unlabelled share of retail at Aug-26 — request the underlying table.</t>
  </si>
  <si>
    <t xml:space="preserve">Monthly chart ties to Block 1 retail at all four quarter-ends.</t>
  </si>
  <si>
    <t xml:space="preserve">Block 1 is built from the same source as this chart.</t>
  </si>
  <si>
    <t xml:space="preserve">Notation and exhaustive metrics table for this block: see sheet P3_Metrics</t>
  </si>
  <si>
    <t xml:space="preserve">What is the retail net advances book at Aug-26?</t>
  </si>
  <si>
    <t xml:space="preserve">What is the Credit Cards segment at Dec-25?</t>
  </si>
  <si>
    <t xml:space="preserve">Which month had the largest MoM fall?</t>
  </si>
  <si>
    <t xml:space="preserve">MIN(MoM Δ)</t>
  </si>
  <si>
    <t xml:space="preserve">What is the YoY growth of retail at Aug-26?</t>
  </si>
  <si>
    <t xml:space="preserve">Aug-26 / Aug-25 − 1</t>
  </si>
  <si>
    <t xml:space="preserve">How did Credit Cards' share of retail change Aug-25 → Aug-26?</t>
  </si>
  <si>
    <t xml:space="preserve">Share Aug-26 − share Aug-25</t>
  </si>
  <si>
    <t xml:space="preserve">What is the trailing 3M average retail book?</t>
  </si>
  <si>
    <t xml:space="preserve">AVERAGE(Jun–Aug-26)</t>
  </si>
  <si>
    <t xml:space="preserve">How much did LAP grow from Mar-26 to Aug-26?</t>
  </si>
  <si>
    <t xml:space="preserve">Aug / Mar − 1</t>
  </si>
  <si>
    <t xml:space="preserve">Strip out the Aug-26 spike: what is annualised retail growth to Jul-26, and how far below headline YoY?</t>
  </si>
  <si>
    <t xml:space="preserve">(Jul-26/Aug-25)^(12/11) − 1 vs Aug-26/Aug-25 − 1</t>
  </si>
  <si>
    <t xml:space="preserve">Underlying growth is ~13.7% annualised vs 27.8% headline — about half of YoY comes from one month.</t>
  </si>
  <si>
    <t xml:space="preserve">Decompose 12M retail growth: what did Credit Cards contribute, and what is growth ex-CC?</t>
  </si>
  <si>
    <t xml:space="preserve">ΔCC / ΔTotal; (Total−CC) growth</t>
  </si>
  <si>
    <t xml:space="preserve">Cards are a drag (negative contribution); retail ex-CC grows ~45% vs 28% headline.</t>
  </si>
  <si>
    <t xml:space="preserve">Validate the inferred segment labels: what is the largest gap vs Block 2 for CC and LAP at quarter-ends?</t>
  </si>
  <si>
    <t xml:space="preserve">MAX ABS gaps rows 32 &amp; 34</t>
  </si>
  <si>
    <t xml:space="preserve">≤ ₹1 Cr each → mapping holds; confirm legend with client.</t>
  </si>
  <si>
    <t xml:space="preserve">Not derivable: values of ~6 unlabelled segments (Housing, Gold, Micro Banking, Wheels, BB &amp; Retail Agri, Others) at month level; disbursements vs repayments behind each MoM move; the driver of the Aug-26 jump; asset quality, yields, customer counts; any month before Aug-25, so YoY exists for only one month. Request the underlying product × month table.</t>
  </si>
  <si>
    <t xml:space="preserve">Block 3 — Retail Net Advances (monthly): notation and metrics</t>
  </si>
  <si>
    <t xml:space="preserve">RT</t>
  </si>
  <si>
    <t xml:space="preserve">Retail net advances, month-end (printed total)</t>
  </si>
  <si>
    <t xml:space="preserve">LAP</t>
  </si>
  <si>
    <t xml:space="preserve">Green segment ≈ Loan Against Property (inferred; labelled Mar-26 onward)</t>
  </si>
  <si>
    <t xml:space="preserve">U</t>
  </si>
  <si>
    <t xml:space="preserve">Unlabelled residual = RT − CC − LAP</t>
  </si>
  <si>
    <t xml:space="preserve">Any of RT, CC, LAP, U</t>
  </si>
  <si>
    <t xml:space="preserve">m</t>
  </si>
  <si>
    <t xml:space="preserve">Month-end Aug-25 … Aug-26 (13 points)</t>
  </si>
  <si>
    <t xml:space="preserve">QE</t>
  </si>
  <si>
    <t xml:space="preserve">Quarter-end months Sep-25, Dec-25, Mar-26, Jun-26</t>
  </si>
  <si>
    <t xml:space="preserve">X(m) − X(m−1)</t>
  </si>
  <si>
    <t xml:space="preserve">X(m) ÷ X(m−1) − 1</t>
  </si>
  <si>
    <t xml:space="preserve">CMGR</t>
  </si>
  <si>
    <t xml:space="preserve">Compounded monthly growth rate</t>
  </si>
  <si>
    <t xml:space="preserve">T3M / T6M</t>
  </si>
  <si>
    <t xml:space="preserve">Trailing 3- / 6-month average balance</t>
  </si>
  <si>
    <t xml:space="preserve">RT1</t>
  </si>
  <si>
    <t xml:space="preserve">Block-1 retail at the same quarter-end</t>
  </si>
  <si>
    <t xml:space="preserve">CC2 / LAP2</t>
  </si>
  <si>
    <t xml:space="preserve">Block-2 Credit Cards (excl STPL + STPL) / LAP business line</t>
  </si>
  <si>
    <t xml:space="preserve">Values are ₹ Cr as printed; all months actual; growth in %, share shifts in pp.</t>
  </si>
  <si>
    <t xml:space="preserve">Monthly balances</t>
  </si>
  <si>
    <t xml:space="preserve">RT, CC, LAP as printed</t>
  </si>
  <si>
    <t xml:space="preserve">3 series × 13 months (LAP × 6)</t>
  </si>
  <si>
    <t xml:space="preserve">Quarter-end retail</t>
  </si>
  <si>
    <t xml:space="preserve">RT(QE)</t>
  </si>
  <si>
    <t xml:space="preserve">Derived</t>
  </si>
  <si>
    <t xml:space="preserve">Unlabelled residual</t>
  </si>
  <si>
    <t xml:space="preserve">U = RT − CC − LAP</t>
  </si>
  <si>
    <t xml:space="preserve">13 months</t>
  </si>
  <si>
    <t xml:space="preserve">Retail ex-cards</t>
  </si>
  <si>
    <t xml:space="preserve">RT − CC</t>
  </si>
  <si>
    <t xml:space="preserve">MoM change</t>
  </si>
  <si>
    <t xml:space="preserve">ΔRT = RT(m) − RT(m−1)</t>
  </si>
  <si>
    <t xml:space="preserve">12 months (Sep-25 … Aug-26)</t>
  </si>
  <si>
    <t xml:space="preserve">MoM growth</t>
  </si>
  <si>
    <t xml:space="preserve">gRT = RT(m) ÷ RT(m−1) − 1</t>
  </si>
  <si>
    <t xml:space="preserve">12 months</t>
  </si>
  <si>
    <t xml:space="preserve">YoY growth</t>
  </si>
  <si>
    <t xml:space="preserve">X(Aug-26) ÷ X(Aug-25) − 1</t>
  </si>
  <si>
    <t xml:space="preserve">RT, CC, RT − CC</t>
  </si>
  <si>
    <t xml:space="preserve">Growth ex Aug-26 spike</t>
  </si>
  <si>
    <t xml:space="preserve">RT(Jul-26) ÷ RT(Aug-25) − 1; annualised ^(12/11)</t>
  </si>
  <si>
    <t xml:space="preserve">11-month window</t>
  </si>
  <si>
    <t xml:space="preserve">(RT(end) ÷ RT(Aug-25))^(1/n) − 1</t>
  </si>
  <si>
    <t xml:space="preserve">12M and 11M</t>
  </si>
  <si>
    <t xml:space="preserve">Quarter-end QoQ growth</t>
  </si>
  <si>
    <t xml:space="preserve">RT(QE) ÷ RT(QE−1) − 1</t>
  </si>
  <si>
    <t xml:space="preserve">Quarterly average growth</t>
  </si>
  <si>
    <t xml:space="preserve">AVERAGE(RT, Q1 FY27) ÷ AVERAGE(RT, Q4 FY26) − 1</t>
  </si>
  <si>
    <t xml:space="preserve">Q1 FY27</t>
  </si>
  <si>
    <t xml:space="preserve">100 × RT(m) ÷ RT(Aug-25)</t>
  </si>
  <si>
    <t xml:space="preserve">Decline months</t>
  </si>
  <si>
    <t xml:space="preserve">N(ΔRT &lt; 0)</t>
  </si>
  <si>
    <t xml:space="preserve">Months to recover pre-dip level</t>
  </si>
  <si>
    <t xml:space="preserve">First m after Dec-25 with RT(m) ≥ RT(Nov-25)</t>
  </si>
  <si>
    <t xml:space="preserve">Average monthly addition</t>
  </si>
  <si>
    <t xml:space="preserve">AVERAGE(ΔRT)</t>
  </si>
  <si>
    <t xml:space="preserve">12M and ex Aug-26</t>
  </si>
  <si>
    <t xml:space="preserve">Spike multiple</t>
  </si>
  <si>
    <t xml:space="preserve">ΔRT(Aug-26) ÷ AVERAGE(ΔRT Sep-25 … Jul-26)</t>
  </si>
  <si>
    <t xml:space="preserve">Trailing averages</t>
  </si>
  <si>
    <t xml:space="preserve">T3M = AVERAGE(RT Jun–Aug-26); T6M = AVERAGE(RT Mar–Aug-26)</t>
  </si>
  <si>
    <t xml:space="preserve">Rolling</t>
  </si>
  <si>
    <t xml:space="preserve">Exit MoM run-rate</t>
  </si>
  <si>
    <t xml:space="preserve">AVERAGE(gRT, last 3 months)</t>
  </si>
  <si>
    <t xml:space="preserve">Quarterly average balance</t>
  </si>
  <si>
    <t xml:space="preserve">AVERAGE(RT over 3 month-ends)</t>
  </si>
  <si>
    <t xml:space="preserve">Q3 FY26, Q4 FY26, Q1 FY27</t>
  </si>
  <si>
    <t xml:space="preserve">Volatility &amp; seasonality</t>
  </si>
  <si>
    <t xml:space="preserve">Std dev of MoM growth</t>
  </si>
  <si>
    <t xml:space="preserve">STDEV(gRT)</t>
  </si>
  <si>
    <t xml:space="preserve">Coefficient of variation of balance</t>
  </si>
  <si>
    <t xml:space="preserve">STDEV(RT) ÷ AVERAGE(RT)</t>
  </si>
  <si>
    <t xml:space="preserve">Largest rise / fall</t>
  </si>
  <si>
    <t xml:space="preserve">MAX(ΔRT) / MIN(ΔRT) with month</t>
  </si>
  <si>
    <t xml:space="preserve">Quarter-end vs other months</t>
  </si>
  <si>
    <t xml:space="preserve">AVERAGE(gRT in QE) vs AVERAGE(gRT other, ex Aug-26)</t>
  </si>
  <si>
    <t xml:space="preserve">MAX(RT) / MIN(RT)</t>
  </si>
  <si>
    <t xml:space="preserve">Dec-25 dip depth</t>
  </si>
  <si>
    <t xml:space="preserve">RT(Dec-25) ÷ RT(Nov-25) − 1</t>
  </si>
  <si>
    <t xml:space="preserve">CC ÷ RT</t>
  </si>
  <si>
    <t xml:space="preserve">Cards share shift</t>
  </si>
  <si>
    <t xml:space="preserve">(CC ÷ RT)(Aug-26) − (CC ÷ RT)(Aug-25), in pp</t>
  </si>
  <si>
    <t xml:space="preserve">LAP ÷ RT</t>
  </si>
  <si>
    <t xml:space="preserve">6 months</t>
  </si>
  <si>
    <t xml:space="preserve">Unlabelled share</t>
  </si>
  <si>
    <t xml:space="preserve">U ÷ RT</t>
  </si>
  <si>
    <t xml:space="preserve">13 months (comparable from Mar-26)</t>
  </si>
  <si>
    <t xml:space="preserve">Cards contribution to 12M growth</t>
  </si>
  <si>
    <t xml:space="preserve">ΔCC(12M) ÷ ΔRT(12M)</t>
  </si>
  <si>
    <t xml:space="preserve">LAP contribution Mar → Aug-26</t>
  </si>
  <si>
    <t xml:space="preserve">ΔLAP ÷ ΔRT</t>
  </si>
  <si>
    <t xml:space="preserve">Share of Aug-26 jump in unlabelled segments</t>
  </si>
  <si>
    <t xml:space="preserve">ΔU(Aug-26) ÷ ΔRT(Aug-26)</t>
  </si>
  <si>
    <t xml:space="preserve">Cards contribution to MoM change</t>
  </si>
  <si>
    <t xml:space="preserve">ΔCC ÷ ΔRT</t>
  </si>
  <si>
    <t xml:space="preserve">Cards growth</t>
  </si>
  <si>
    <t xml:space="preserve">CC(Aug-26) ÷ CC(Aug-25) − 1; CMGR</t>
  </si>
  <si>
    <t xml:space="preserve">LAP growth</t>
  </si>
  <si>
    <t xml:space="preserve">LAP(Aug-26) ÷ LAP(Mar-26) − 1</t>
  </si>
  <si>
    <t xml:space="preserve">5-month window</t>
  </si>
  <si>
    <t xml:space="preserve">(RT − CC)(end) ÷ (RT − CC)(Aug-25) − 1</t>
  </si>
  <si>
    <t xml:space="preserve">RT(QE) − RT1(QE)</t>
  </si>
  <si>
    <t xml:space="preserve">Cards vs Block 2</t>
  </si>
  <si>
    <t xml:space="preserve">CC(QE) − CC2(QE)</t>
  </si>
  <si>
    <t xml:space="preserve">LAP vs Block 2</t>
  </si>
  <si>
    <t xml:space="preserve">LAP(QE) − LAP2(QE)</t>
  </si>
  <si>
    <t xml:space="preserve">Segment mapping flag</t>
  </si>
  <si>
    <t xml:space="preserve">CC and LAP inferred from colour and tie-out</t>
  </si>
  <si>
    <t xml:space="preserve">No legend; mapping ties to Block 2 within ±1; confirm with client</t>
  </si>
  <si>
    <t xml:space="preserve">LAP label start</t>
  </si>
  <si>
    <t xml:space="preserve">LAP labelled from Mar-26 only</t>
  </si>
  <si>
    <t xml:space="preserve">U not comparable across Feb → Mar-26; use RT − CC for continuous trend</t>
  </si>
  <si>
    <t xml:space="preserve">Aug-26 spike flag</t>
  </si>
  <si>
    <t xml:space="preserve">ΔRT(Aug-26) vs run-rate</t>
  </si>
  <si>
    <t xml:space="preserve">Block 4 — Wholesale Net Advances (monthly stacked chart)</t>
  </si>
  <si>
    <t xml:space="preserve">Source: Net Advances Insights.pdf, 'Wholesale Net Advances' chart | ₹ Cr | Aug-25 to Aug-26 | 2 segments, no legend</t>
  </si>
  <si>
    <t xml:space="preserve">A. Source data as printed (blue); segment identities inferred by tying to Block 2</t>
  </si>
  <si>
    <t xml:space="preserve">Segment A ≈ Corporate Banking (inferred)</t>
  </si>
  <si>
    <t xml:space="preserve">Segment B ≈ Commercial Banking (inferred)</t>
  </si>
  <si>
    <t xml:space="preserve">Wholesale total (printed)</t>
  </si>
  <si>
    <t xml:space="preserve">Computed total A + B</t>
  </si>
  <si>
    <t xml:space="preserve">Segment A share</t>
  </si>
  <si>
    <t xml:space="preserve">Segment B share</t>
  </si>
  <si>
    <t xml:space="preserve">Segment A MoM growth</t>
  </si>
  <si>
    <t xml:space="preserve">Segment B MoM growth</t>
  </si>
  <si>
    <t xml:space="preserve">Segment A MoM Δ</t>
  </si>
  <si>
    <t xml:space="preserve">Segment B MoM Δ</t>
  </si>
  <si>
    <t xml:space="preserve">Segment A contribution to MoM Δ</t>
  </si>
  <si>
    <t xml:space="preserve">A : B ratio</t>
  </si>
  <si>
    <t xml:space="preserve">Quarter-end loading (QE / avg of quarter's 3 month-ends)</t>
  </si>
  <si>
    <t xml:space="preserve">Commercial Banking per Block 2</t>
  </si>
  <si>
    <t xml:space="preserve">Gap: Segment B − table CB</t>
  </si>
  <si>
    <t xml:space="preserve">Corporate Banking per Block 2</t>
  </si>
  <si>
    <t xml:space="preserve">Gap: Segment A − table Corp</t>
  </si>
  <si>
    <t xml:space="preserve">Wholesale per Block 1 chart</t>
  </si>
  <si>
    <t xml:space="preserve">Segment identities inferred: B ties to Block-2 Commercial Banking, A to Corporate Banking (gaps ≤ ₹2 Cr after placing the small rows C&amp;IB Agri / FIGU-BBB / Govt. Banking).</t>
  </si>
  <si>
    <t xml:space="preserve">Assumption — chart has no legend; confirm with client.</t>
  </si>
  <si>
    <t xml:space="preserve">Post-quarter-end dips: Oct-25 (−6.2%) and Apr-26 (−3.2%) fall right after Sep and Mar quarter-ends, driven by Segment A.</t>
  </si>
  <si>
    <t xml:space="preserve">Possible quarter-end window-dressing / short-tenor corporate lines; check average vs period-end balances.</t>
  </si>
  <si>
    <t xml:space="preserve">Rounding gaps between segment sum and printed total of ±1 Cr in 5 months.</t>
  </si>
  <si>
    <t xml:space="preserve">Monthly chart ties to Block 1 wholesale at all four quarter-ends.</t>
  </si>
  <si>
    <t xml:space="preserve">Same source as Block 1.</t>
  </si>
  <si>
    <t xml:space="preserve">Notation and exhaustive metrics table for this block: see sheet P4_Metrics</t>
  </si>
  <si>
    <t xml:space="preserve">What is the wholesale book at Aug-26?</t>
  </si>
  <si>
    <t xml:space="preserve">What is Segment B (≈ Commercial Banking) at Mar-26?</t>
  </si>
  <si>
    <t xml:space="preserve">What is wholesale YoY growth at Aug-26?</t>
  </si>
  <si>
    <t xml:space="preserve">What is the 12M CMGR?</t>
  </si>
  <si>
    <t xml:space="preserve">(Aug-26/Aug-25)^(1/12) − 1</t>
  </si>
  <si>
    <t xml:space="preserve">What share of 12M growth came from Segment A?</t>
  </si>
  <si>
    <t xml:space="preserve">ΔA / ΔTotal</t>
  </si>
  <si>
    <t xml:space="preserve">What is the Q1 FY27 average book vs the Jun-26 period-end?</t>
  </si>
  <si>
    <t xml:space="preserve">Avg(Apr–Jun) / Jun</t>
  </si>
  <si>
    <t xml:space="preserve">Is there a post-quarter-end dip pattern? Compare avg MoM in month after QE vs QE months.</t>
  </si>
  <si>
    <t xml:space="preserve">AVERAGE(Oct,Jan,Apr,Jul) − AVERAGE(Sep,Dec,Mar,Jun)</t>
  </si>
  <si>
    <t xml:space="preserve">Quarter-end months grow much faster than the months after — period-end balances may overstate the average book.</t>
  </si>
  <si>
    <t xml:space="preserve">Validate the inferred segment mapping: largest gap vs Block 2 (CB + Corp) at quarter-ends?</t>
  </si>
  <si>
    <t xml:space="preserve">MAX ABS gaps rows 33 &amp; 35</t>
  </si>
  <si>
    <t xml:space="preserve">Single-digit ₹ Cr → mapping holds.</t>
  </si>
  <si>
    <t xml:space="preserve">At current 12M CMGRs, roughly how many months until wholesale overtakes retail (illustrative)?</t>
  </si>
  <si>
    <t xml:space="preserve">LN(R/W)/LN((1+gW)/(1+gR))</t>
  </si>
  <si>
    <t xml:space="preserve">months</t>
  </si>
  <si>
    <t xml:space="preserve">~2 years — but Aug-26 retail spike flatters retail; illustrative only.</t>
  </si>
  <si>
    <t xml:space="preserve">Not derivable: daily / average balances (to test quarter-end window-dressing), sanctions and disbursements vs repayments, utilisation of limits, non-fund exposure, sector / rating / borrower concentration, top-20 borrower share, asset quality, pricing / yield. Segment legend is missing — mapping to Corporate / Commercial Banking is inferred.</t>
  </si>
  <si>
    <t xml:space="preserve">Block 4 — Wholesale Net Advances (monthly): notation and metrics</t>
  </si>
  <si>
    <t xml:space="preserve">WT</t>
  </si>
  <si>
    <t xml:space="preserve">Wholesale net advances, month-end (printed total)</t>
  </si>
  <si>
    <t xml:space="preserve">A</t>
  </si>
  <si>
    <t xml:space="preserve">Larger segment ≈ Corporate Banking (inferred)</t>
  </si>
  <si>
    <t xml:space="preserve">B</t>
  </si>
  <si>
    <t xml:space="preserve">Smaller segment ≈ Commercial Banking (inferred)</t>
  </si>
  <si>
    <t xml:space="preserve">W*</t>
  </si>
  <si>
    <t xml:space="preserve">A + B (computed)</t>
  </si>
  <si>
    <t xml:space="preserve">Any of WT, A, B</t>
  </si>
  <si>
    <t xml:space="preserve">QEL</t>
  </si>
  <si>
    <t xml:space="preserve">Quarter-end loading = WT(QE) ÷ AVERAGE(WT over the quarter's 3 month-ends)</t>
  </si>
  <si>
    <t xml:space="preserve">W1</t>
  </si>
  <si>
    <t xml:space="preserve">Block-1 wholesale at the same quarter-end</t>
  </si>
  <si>
    <t xml:space="preserve">CB2 / CORP2</t>
  </si>
  <si>
    <t xml:space="preserve">Block-2 Commercial / Corporate Banking business lines</t>
  </si>
  <si>
    <t xml:space="preserve">Block-3 retail total (cross-block)</t>
  </si>
  <si>
    <t xml:space="preserve">WT, A, B as printed</t>
  </si>
  <si>
    <t xml:space="preserve">3 series × 13 months</t>
  </si>
  <si>
    <t xml:space="preserve">Quarter-end wholesale</t>
  </si>
  <si>
    <t xml:space="preserve">WT(QE)</t>
  </si>
  <si>
    <t xml:space="preserve">Segment sum</t>
  </si>
  <si>
    <t xml:space="preserve">WT − W*</t>
  </si>
  <si>
    <t xml:space="preserve">ΔWT</t>
  </si>
  <si>
    <t xml:space="preserve">gWT</t>
  </si>
  <si>
    <t xml:space="preserve">Segment MoM growth</t>
  </si>
  <si>
    <t xml:space="preserve">gA, gB</t>
  </si>
  <si>
    <t xml:space="preserve">2 × 12 months (QE shown)</t>
  </si>
  <si>
    <t xml:space="preserve">WT, A, B</t>
  </si>
  <si>
    <t xml:space="preserve">(X(Aug-26) ÷ X(Aug-25))^(1/12) − 1</t>
  </si>
  <si>
    <t xml:space="preserve">WT(QE) ÷ WT(QE−1) − 1</t>
  </si>
  <si>
    <t xml:space="preserve">AVERAGE(WT, Q1 FY27) ÷ AVERAGE(WT, Q4 FY26) − 1</t>
  </si>
  <si>
    <t xml:space="preserve">100 × WT(m) ÷ WT(Aug-25)</t>
  </si>
  <si>
    <t xml:space="preserve">N(ΔWT &lt; 0)</t>
  </si>
  <si>
    <t xml:space="preserve">Segment contribution to 12M growth</t>
  </si>
  <si>
    <t xml:space="preserve">ΔA ÷ ΔWT; ΔB ÷ ΔWT</t>
  </si>
  <si>
    <t xml:space="preserve">Segment contribution to MoM change</t>
  </si>
  <si>
    <t xml:space="preserve">ΔA ÷ ΔWT</t>
  </si>
  <si>
    <t xml:space="preserve">Segment shares</t>
  </si>
  <si>
    <t xml:space="preserve">A ÷ WT; B ÷ WT</t>
  </si>
  <si>
    <t xml:space="preserve">Segment share shift</t>
  </si>
  <si>
    <t xml:space="preserve">(A ÷ WT)(Aug-26) − (A ÷ WT)(Aug-25), in pp</t>
  </si>
  <si>
    <t xml:space="preserve">A-to-B ratio</t>
  </si>
  <si>
    <t xml:space="preserve">A ÷ B</t>
  </si>
  <si>
    <t xml:space="preserve">Average balance</t>
  </si>
  <si>
    <t xml:space="preserve">AVERAGE(WT)</t>
  </si>
  <si>
    <t xml:space="preserve">AVERAGE(WT over 3 month-ends)</t>
  </si>
  <si>
    <t xml:space="preserve">Average-to-period-end ratio</t>
  </si>
  <si>
    <t xml:space="preserve">AVERAGE(WT, quarter) ÷ WT(QE)</t>
  </si>
  <si>
    <t xml:space="preserve">AVERAGE(ΔWT)</t>
  </si>
  <si>
    <t xml:space="preserve">T3M; T6M</t>
  </si>
  <si>
    <t xml:space="preserve">AVERAGE(gWT, last 3 months)</t>
  </si>
  <si>
    <t xml:space="preserve">Illustrative months for wholesale to overtake retail</t>
  </si>
  <si>
    <t xml:space="preserve">LN(RT ÷ WT) ÷ LN((1 + CMGR_W) ÷ (1 + CMGR_R)); illustrative</t>
  </si>
  <si>
    <t xml:space="preserve">Aug-26 base</t>
  </si>
  <si>
    <t xml:space="preserve">Coefficient of variation of MoM change</t>
  </si>
  <si>
    <t xml:space="preserve">STDEV(ΔWT) ÷ AVERAGE(ΔWT)</t>
  </si>
  <si>
    <t xml:space="preserve">MAX(ΔWT) / MIN(ΔWT) with month</t>
  </si>
  <si>
    <t xml:space="preserve">Post-quarter-end effect</t>
  </si>
  <si>
    <t xml:space="preserve">AVERAGE(gWT Oct, Jan, Apr, Jul) vs AVERAGE(gWT Sep, Dec, Mar, Jun)</t>
  </si>
  <si>
    <t xml:space="preserve">8 months</t>
  </si>
  <si>
    <t xml:space="preserve">Quarter-end loading</t>
  </si>
  <si>
    <t xml:space="preserve">QEL = WT(QE) ÷ AVERAGE(WT, quarter)</t>
  </si>
  <si>
    <t xml:space="preserve">MAX(WT) / MIN(WT)</t>
  </si>
  <si>
    <t xml:space="preserve">WT(QE) − W1(QE)</t>
  </si>
  <si>
    <t xml:space="preserve">Segment B vs Block 2</t>
  </si>
  <si>
    <t xml:space="preserve">B(QE) − CB2(QE)</t>
  </si>
  <si>
    <t xml:space="preserve">Segment A vs Block 2</t>
  </si>
  <si>
    <t xml:space="preserve">A(QE) − CORP2(QE)</t>
  </si>
  <si>
    <t xml:space="preserve">A and B inferred from tie-out; no legend</t>
  </si>
  <si>
    <t xml:space="preserve">Ties to Block 2 within ±2; confirm legend with client</t>
  </si>
  <si>
    <t xml:space="preserve">Average-balance flag</t>
  </si>
  <si>
    <t xml:space="preserve">Month-end balances only</t>
  </si>
  <si>
    <t xml:space="preserve">Quarter-end loading suggests period-end balances may overstate the average book; request daily averages</t>
  </si>
  <si>
    <t xml:space="preserve">Cross-block reconciliation (all four blocks of the page)</t>
  </si>
  <si>
    <t xml:space="preserve">Every check is a live link (green) to the block sheets | ₹ Cr | tolerance ₹10 Cr for rounding</t>
  </si>
  <si>
    <t xml:space="preserve">Max |gap|</t>
  </si>
  <si>
    <t xml:space="preserve">Status</t>
  </si>
  <si>
    <t xml:space="preserve">Comment</t>
  </si>
  <si>
    <t xml:space="preserve">Block 1 Wholesale − Block 4 monthly wholesale</t>
  </si>
  <si>
    <t xml:space="preserve">Monthly and quarterly charts share a source.</t>
  </si>
  <si>
    <t xml:space="preserve">Block 1 Retail − Block 3 monthly retail</t>
  </si>
  <si>
    <t xml:space="preserve">Same source.</t>
  </si>
  <si>
    <t xml:space="preserve">Block 1 printed total − (W + R)</t>
  </si>
  <si>
    <t xml:space="preserve">Rounding.</t>
  </si>
  <si>
    <t xml:space="preserve">Block 2 printed Grand Total − Block 1 total</t>
  </si>
  <si>
    <t xml:space="preserve">Gap = Null bucket (see next row).</t>
  </si>
  <si>
    <t xml:space="preserve">…after removing Null bucket</t>
  </si>
  <si>
    <t xml:space="preserve">Ties → chart excludes Null.</t>
  </si>
  <si>
    <t xml:space="preserve">Block 2 computed Wholesale − Block 1 Wholesale</t>
  </si>
  <si>
    <t xml:space="preserve">Small rows / rounding.</t>
  </si>
  <si>
    <t xml:space="preserve">Block 2 computed Retail − Block 1 Retail</t>
  </si>
  <si>
    <t xml:space="preserve">Block 2 Commercial Banking − Block 4 Segment B</t>
  </si>
  <si>
    <t xml:space="preserve">Validates inferred mapping.</t>
  </si>
  <si>
    <t xml:space="preserve">Block 2 Corporate Banking − Block 4 Segment A</t>
  </si>
  <si>
    <t xml:space="preserve">Block 2 Credit Cards − Block 3 olive segment</t>
  </si>
  <si>
    <t xml:space="preserve">Block 2 LAP − Block 3 green segment (Mar-26, Jun-26 only)</t>
  </si>
  <si>
    <t xml:space="preserve">Reading: the only material gap is Block 2 Grand Total vs Block 1, and it is fully explained by the Null bucket. All segment mappings inferred on Blocks 3 and 4 tie to Block 2 within rounding.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</si>
</sst>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-0.0%;0.0%"/>
    <numFmt numFmtId="167" formatCode="0.00\x"/>
    <numFmt numFmtId="168" formatCode="\+0.0&quot; pp&quot;;\-0.0&quot; pp&quot;;0.0&quot; pp&quot;"/>
    <numFmt numFmtId="169" formatCode="0.0"/>
    <numFmt numFmtId="170" formatCode="@"/>
    <numFmt numFmtId="171" formatCode="#,##0"/>
    <numFmt numFmtId="172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15" hidden="false" customHeight="false" outlineLevel="0" collapsed="false">
      <c r="A8" s="6" t="s">
        <v>8</v>
      </c>
      <c r="B8" s="7" t="s">
        <v>9</v>
      </c>
    </row>
    <row r="9" customFormat="false" ht="15" hidden="false" customHeight="false" outlineLevel="0" collapsed="false">
      <c r="A9" s="6" t="s">
        <v>10</v>
      </c>
      <c r="B9" s="7" t="s">
        <v>11</v>
      </c>
    </row>
    <row r="10" customFormat="false" ht="15" hidden="false" customHeight="false" outlineLevel="0" collapsed="false">
      <c r="A10" s="6" t="s">
        <v>12</v>
      </c>
      <c r="B10" s="7" t="s">
        <v>13</v>
      </c>
    </row>
    <row r="11" customFormat="false" ht="15" hidden="false" customHeight="false" outlineLevel="0" collapsed="false">
      <c r="A11" s="6"/>
      <c r="B11" s="7"/>
    </row>
    <row r="12" customFormat="false" ht="23.85" hidden="false" customHeight="false" outlineLevel="0" collapsed="false">
      <c r="A12" s="6" t="s">
        <v>14</v>
      </c>
      <c r="B12" s="7" t="s">
        <v>15</v>
      </c>
    </row>
    <row r="13" customFormat="false" ht="15" hidden="false" customHeight="false" outlineLevel="0" collapsed="false">
      <c r="A13" s="6"/>
      <c r="B13" s="7"/>
    </row>
    <row r="14" customFormat="false" ht="15" hidden="false" customHeight="false" outlineLevel="0" collapsed="false">
      <c r="A14" s="4" t="s">
        <v>16</v>
      </c>
      <c r="B14" s="5"/>
    </row>
    <row r="15" customFormat="false" ht="15" hidden="false" customHeight="false" outlineLevel="0" collapsed="false">
      <c r="A15" s="6" t="s">
        <v>17</v>
      </c>
      <c r="B15" s="7" t="s">
        <v>18</v>
      </c>
    </row>
    <row r="16" customFormat="false" ht="15" hidden="false" customHeight="false" outlineLevel="0" collapsed="false">
      <c r="A16" s="6" t="s">
        <v>19</v>
      </c>
      <c r="B16" s="7" t="s">
        <v>20</v>
      </c>
    </row>
    <row r="17" customFormat="false" ht="15" hidden="false" customHeight="false" outlineLevel="0" collapsed="false">
      <c r="A17" s="6" t="s">
        <v>21</v>
      </c>
      <c r="B17" s="7" t="s">
        <v>22</v>
      </c>
    </row>
    <row r="18" customFormat="false" ht="15" hidden="false" customHeight="false" outlineLevel="0" collapsed="false">
      <c r="A18" s="6" t="s">
        <v>23</v>
      </c>
      <c r="B18" s="7" t="s">
        <v>24</v>
      </c>
    </row>
    <row r="19" customFormat="false" ht="15" hidden="false" customHeight="false" outlineLevel="0" collapsed="false">
      <c r="A19" s="6"/>
      <c r="B19" s="7"/>
    </row>
    <row r="20" customFormat="false" ht="15" hidden="false" customHeight="false" outlineLevel="0" collapsed="false">
      <c r="A20" s="4" t="s">
        <v>25</v>
      </c>
      <c r="B20" s="5"/>
    </row>
    <row r="21" customFormat="false" ht="15" hidden="false" customHeight="false" outlineLevel="0" collapsed="false">
      <c r="A21" s="6" t="s">
        <v>26</v>
      </c>
      <c r="B21" s="7" t="s">
        <v>27</v>
      </c>
    </row>
    <row r="22" customFormat="false" ht="15" hidden="false" customHeight="false" outlineLevel="0" collapsed="false">
      <c r="A22" s="6" t="s">
        <v>28</v>
      </c>
      <c r="B22" s="7" t="s">
        <v>29</v>
      </c>
    </row>
    <row r="23" customFormat="false" ht="15" hidden="false" customHeight="false" outlineLevel="0" collapsed="false">
      <c r="A23" s="6" t="s">
        <v>30</v>
      </c>
      <c r="B23" s="7" t="s">
        <v>31</v>
      </c>
    </row>
    <row r="24" customFormat="false" ht="15" hidden="false" customHeight="false" outlineLevel="0" collapsed="false">
      <c r="A24" s="6" t="s">
        <v>32</v>
      </c>
      <c r="B24" s="7" t="s">
        <v>33</v>
      </c>
    </row>
    <row r="25" customFormat="false" ht="15" hidden="false" customHeight="false" outlineLevel="0" collapsed="false">
      <c r="A25" s="6" t="s">
        <v>34</v>
      </c>
      <c r="B25" s="7" t="s">
        <v>35</v>
      </c>
    </row>
    <row r="26" customFormat="false" ht="15" hidden="false" customHeight="false" outlineLevel="0" collapsed="false">
      <c r="A26" s="6" t="s">
        <v>36</v>
      </c>
      <c r="B26" s="7" t="s">
        <v>37</v>
      </c>
    </row>
    <row r="27" customFormat="false" ht="15" hidden="false" customHeight="false" outlineLevel="0" collapsed="false">
      <c r="A27" s="6"/>
      <c r="B27" s="7"/>
    </row>
    <row r="28" customFormat="false" ht="15" hidden="false" customHeight="false" outlineLevel="0" collapsed="false">
      <c r="A28" s="4" t="s">
        <v>38</v>
      </c>
      <c r="B28" s="5"/>
    </row>
    <row r="29" customFormat="false" ht="23.85" hidden="false" customHeight="false" outlineLevel="0" collapsed="false">
      <c r="A29" s="6" t="s">
        <v>39</v>
      </c>
      <c r="B29" s="7" t="s">
        <v>40</v>
      </c>
    </row>
    <row r="30" customFormat="false" ht="15" hidden="false" customHeight="false" outlineLevel="0" collapsed="false">
      <c r="A30" s="6" t="s">
        <v>41</v>
      </c>
      <c r="B30" s="7" t="s">
        <v>42</v>
      </c>
    </row>
    <row r="31" customFormat="false" ht="15" hidden="false" customHeight="false" outlineLevel="0" collapsed="false">
      <c r="A31" s="6" t="s">
        <v>43</v>
      </c>
      <c r="B31" s="7" t="s">
        <v>44</v>
      </c>
    </row>
    <row r="32" customFormat="false" ht="15" hidden="false" customHeight="false" outlineLevel="0" collapsed="false">
      <c r="A32" s="6" t="s">
        <v>45</v>
      </c>
      <c r="B32" s="7" t="s">
        <v>46</v>
      </c>
    </row>
    <row r="33" customFormat="false" ht="15" hidden="false" customHeight="false" outlineLevel="0" collapsed="false">
      <c r="A33" s="6" t="s">
        <v>47</v>
      </c>
      <c r="B33" s="7" t="s">
        <v>48</v>
      </c>
    </row>
    <row r="34" customFormat="false" ht="15" hidden="false" customHeight="false" outlineLevel="0" collapsed="false">
      <c r="A34" s="6" t="s">
        <v>49</v>
      </c>
      <c r="B34" s="7" t="s">
        <v>50</v>
      </c>
    </row>
    <row r="35" customFormat="false" ht="15" hidden="false" customHeight="false" outlineLevel="0" collapsed="false">
      <c r="A35" s="6"/>
      <c r="B35" s="7"/>
    </row>
    <row r="36" customFormat="false" ht="15" hidden="false" customHeight="false" outlineLevel="0" collapsed="false">
      <c r="A36" s="6" t="s">
        <v>51</v>
      </c>
      <c r="B36" s="7" t="s">
        <v>52</v>
      </c>
    </row>
    <row r="38" customFormat="false" ht="15" hidden="false" customHeight="false" outlineLevel="0" collapsed="false">
      <c r="A38" s="3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55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8" t="s">
        <v>56</v>
      </c>
      <c r="B6" s="8" t="s">
        <v>57</v>
      </c>
      <c r="C6" s="8" t="s">
        <v>58</v>
      </c>
      <c r="D6" s="8" t="s">
        <v>59</v>
      </c>
      <c r="E6" s="8" t="s">
        <v>60</v>
      </c>
      <c r="F6" s="8" t="s">
        <v>61</v>
      </c>
      <c r="G6" s="8" t="s">
        <v>62</v>
      </c>
    </row>
    <row r="7" customFormat="false" ht="15" hidden="false" customHeight="false" outlineLevel="0" collapsed="false">
      <c r="A7" s="9" t="n">
        <v>1</v>
      </c>
      <c r="B7" s="10" t="s">
        <v>63</v>
      </c>
      <c r="C7" s="11" t="n">
        <v>40396</v>
      </c>
      <c r="D7" s="11" t="n">
        <v>42475</v>
      </c>
      <c r="E7" s="11" t="n">
        <v>47112</v>
      </c>
      <c r="F7" s="11" t="n">
        <v>51044</v>
      </c>
      <c r="G7" s="9" t="s">
        <v>64</v>
      </c>
    </row>
    <row r="8" customFormat="false" ht="15" hidden="false" customHeight="false" outlineLevel="0" collapsed="false">
      <c r="A8" s="9" t="n">
        <v>2</v>
      </c>
      <c r="B8" s="10" t="s">
        <v>65</v>
      </c>
      <c r="C8" s="11" t="n">
        <v>60131</v>
      </c>
      <c r="D8" s="11" t="n">
        <v>59611</v>
      </c>
      <c r="E8" s="11" t="n">
        <v>63419</v>
      </c>
      <c r="F8" s="11" t="n">
        <v>64195</v>
      </c>
      <c r="G8" s="9" t="s">
        <v>66</v>
      </c>
    </row>
    <row r="9" customFormat="false" ht="15" hidden="false" customHeight="false" outlineLevel="0" collapsed="false">
      <c r="A9" s="9" t="n">
        <v>3</v>
      </c>
      <c r="B9" s="10" t="s">
        <v>67</v>
      </c>
      <c r="C9" s="11" t="n">
        <v>100527</v>
      </c>
      <c r="D9" s="11" t="n">
        <v>102086</v>
      </c>
      <c r="E9" s="11" t="n">
        <v>110532</v>
      </c>
      <c r="F9" s="11" t="n">
        <v>115240</v>
      </c>
      <c r="G9" s="9" t="s">
        <v>68</v>
      </c>
    </row>
    <row r="11" customFormat="false" ht="15" hidden="false" customHeight="false" outlineLevel="0" collapsed="false">
      <c r="A11" s="4" t="s">
        <v>69</v>
      </c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8" t="s">
        <v>56</v>
      </c>
      <c r="B12" s="8" t="s">
        <v>70</v>
      </c>
      <c r="C12" s="8" t="s">
        <v>58</v>
      </c>
      <c r="D12" s="8" t="s">
        <v>59</v>
      </c>
      <c r="E12" s="8" t="s">
        <v>60</v>
      </c>
      <c r="F12" s="8" t="s">
        <v>61</v>
      </c>
    </row>
    <row r="13" customFormat="false" ht="15" hidden="false" customHeight="false" outlineLevel="0" collapsed="false">
      <c r="A13" s="9" t="n">
        <v>1</v>
      </c>
      <c r="B13" s="9" t="s">
        <v>71</v>
      </c>
      <c r="C13" s="12" t="n">
        <f aca="false">C7+C8</f>
        <v>100527</v>
      </c>
      <c r="D13" s="12" t="n">
        <f aca="false">D7+D8</f>
        <v>102086</v>
      </c>
      <c r="E13" s="12" t="n">
        <f aca="false">E7+E8</f>
        <v>110531</v>
      </c>
      <c r="F13" s="12" t="n">
        <f aca="false">F7+F8</f>
        <v>115239</v>
      </c>
    </row>
    <row r="14" customFormat="false" ht="15" hidden="false" customHeight="false" outlineLevel="0" collapsed="false">
      <c r="A14" s="9" t="n">
        <v>2</v>
      </c>
      <c r="B14" s="9" t="s">
        <v>72</v>
      </c>
      <c r="C14" s="12" t="n">
        <f aca="false">C9-C13</f>
        <v>0</v>
      </c>
      <c r="D14" s="12" t="n">
        <f aca="false">D9-D13</f>
        <v>0</v>
      </c>
      <c r="E14" s="12" t="n">
        <f aca="false">E9-E13</f>
        <v>1</v>
      </c>
      <c r="F14" s="12" t="n">
        <f aca="false">F9-F13</f>
        <v>1</v>
      </c>
    </row>
    <row r="15" customFormat="false" ht="15" hidden="false" customHeight="false" outlineLevel="0" collapsed="false">
      <c r="A15" s="9" t="n">
        <v>3</v>
      </c>
      <c r="B15" s="9" t="s">
        <v>73</v>
      </c>
      <c r="C15" s="13" t="n">
        <f aca="false">C7/C9</f>
        <v>0.401842291125767</v>
      </c>
      <c r="D15" s="13" t="n">
        <f aca="false">D7/D9</f>
        <v>0.41607076386576</v>
      </c>
      <c r="E15" s="13" t="n">
        <f aca="false">E7/E9</f>
        <v>0.426229508196721</v>
      </c>
      <c r="F15" s="13" t="n">
        <f aca="false">F7/F9</f>
        <v>0.442936480388754</v>
      </c>
    </row>
    <row r="16" customFormat="false" ht="15" hidden="false" customHeight="false" outlineLevel="0" collapsed="false">
      <c r="A16" s="9" t="n">
        <v>4</v>
      </c>
      <c r="B16" s="9" t="s">
        <v>74</v>
      </c>
      <c r="C16" s="13" t="n">
        <f aca="false">C8/C9</f>
        <v>0.598157708874233</v>
      </c>
      <c r="D16" s="13" t="n">
        <f aca="false">D8/D9</f>
        <v>0.58392923613424</v>
      </c>
      <c r="E16" s="13" t="n">
        <f aca="false">E8/E9</f>
        <v>0.573761444649513</v>
      </c>
      <c r="F16" s="13" t="n">
        <f aca="false">F8/F9</f>
        <v>0.557054842068726</v>
      </c>
    </row>
    <row r="17" customFormat="false" ht="15" hidden="false" customHeight="false" outlineLevel="0" collapsed="false">
      <c r="A17" s="9" t="n">
        <v>5</v>
      </c>
      <c r="B17" s="9" t="s">
        <v>75</v>
      </c>
      <c r="C17" s="14" t="n">
        <f aca="false">C7/C8</f>
        <v>0.671799903543929</v>
      </c>
      <c r="D17" s="14" t="n">
        <f aca="false">D7/D8</f>
        <v>0.712536276861653</v>
      </c>
      <c r="E17" s="14" t="n">
        <f aca="false">E7/E8</f>
        <v>0.742868856336429</v>
      </c>
      <c r="F17" s="14" t="n">
        <f aca="false">F7/F8</f>
        <v>0.795139808396293</v>
      </c>
    </row>
    <row r="18" customFormat="false" ht="15" hidden="false" customHeight="false" outlineLevel="0" collapsed="false">
      <c r="A18" s="9" t="n">
        <v>6</v>
      </c>
      <c r="B18" s="9" t="s">
        <v>76</v>
      </c>
      <c r="C18" s="9" t="s">
        <v>77</v>
      </c>
      <c r="D18" s="12" t="n">
        <f aca="false">D7-C7</f>
        <v>2079</v>
      </c>
      <c r="E18" s="12" t="n">
        <f aca="false">E7-D7</f>
        <v>4637</v>
      </c>
      <c r="F18" s="12" t="n">
        <f aca="false">F7-E7</f>
        <v>3932</v>
      </c>
    </row>
    <row r="19" customFormat="false" ht="15" hidden="false" customHeight="false" outlineLevel="0" collapsed="false">
      <c r="A19" s="9" t="n">
        <v>7</v>
      </c>
      <c r="B19" s="9" t="s">
        <v>78</v>
      </c>
      <c r="C19" s="9" t="s">
        <v>77</v>
      </c>
      <c r="D19" s="12" t="n">
        <f aca="false">D8-C8</f>
        <v>-520</v>
      </c>
      <c r="E19" s="12" t="n">
        <f aca="false">E8-D8</f>
        <v>3808</v>
      </c>
      <c r="F19" s="12" t="n">
        <f aca="false">F8-E8</f>
        <v>776</v>
      </c>
    </row>
    <row r="20" customFormat="false" ht="15" hidden="false" customHeight="false" outlineLevel="0" collapsed="false">
      <c r="A20" s="9" t="n">
        <v>8</v>
      </c>
      <c r="B20" s="9" t="s">
        <v>79</v>
      </c>
      <c r="C20" s="9" t="s">
        <v>77</v>
      </c>
      <c r="D20" s="12" t="n">
        <f aca="false">D9-C9</f>
        <v>1559</v>
      </c>
      <c r="E20" s="12" t="n">
        <f aca="false">E9-D9</f>
        <v>8446</v>
      </c>
      <c r="F20" s="12" t="n">
        <f aca="false">F9-E9</f>
        <v>4708</v>
      </c>
    </row>
    <row r="21" customFormat="false" ht="15" hidden="false" customHeight="false" outlineLevel="0" collapsed="false">
      <c r="A21" s="9" t="n">
        <v>9</v>
      </c>
      <c r="B21" s="9" t="s">
        <v>80</v>
      </c>
      <c r="C21" s="9" t="s">
        <v>77</v>
      </c>
      <c r="D21" s="13" t="n">
        <f aca="false">D7/C7-1</f>
        <v>0.051465491632835</v>
      </c>
      <c r="E21" s="13" t="n">
        <f aca="false">E7/D7-1</f>
        <v>0.109170100058858</v>
      </c>
      <c r="F21" s="13" t="n">
        <f aca="false">F7/E7-1</f>
        <v>0.0834606894209544</v>
      </c>
    </row>
    <row r="22" customFormat="false" ht="15" hidden="false" customHeight="false" outlineLevel="0" collapsed="false">
      <c r="A22" s="9" t="n">
        <v>10</v>
      </c>
      <c r="B22" s="9" t="s">
        <v>81</v>
      </c>
      <c r="C22" s="9" t="s">
        <v>77</v>
      </c>
      <c r="D22" s="13" t="n">
        <f aca="false">D8/C8-1</f>
        <v>-0.00864778566795832</v>
      </c>
      <c r="E22" s="13" t="n">
        <f aca="false">E8/D8-1</f>
        <v>0.0638808273640772</v>
      </c>
      <c r="F22" s="13" t="n">
        <f aca="false">F8/E8-1</f>
        <v>0.0122360806698307</v>
      </c>
    </row>
    <row r="23" customFormat="false" ht="15" hidden="false" customHeight="false" outlineLevel="0" collapsed="false">
      <c r="A23" s="9" t="n">
        <v>11</v>
      </c>
      <c r="B23" s="9" t="s">
        <v>82</v>
      </c>
      <c r="C23" s="9" t="s">
        <v>77</v>
      </c>
      <c r="D23" s="13" t="n">
        <f aca="false">D9/C9-1</f>
        <v>0.015508271409671</v>
      </c>
      <c r="E23" s="13" t="n">
        <f aca="false">E9/D9-1</f>
        <v>0.0827341653116001</v>
      </c>
      <c r="F23" s="13" t="n">
        <f aca="false">F9/E9-1</f>
        <v>0.0425939999276228</v>
      </c>
    </row>
    <row r="24" customFormat="false" ht="15" hidden="false" customHeight="false" outlineLevel="0" collapsed="false">
      <c r="A24" s="9" t="n">
        <v>12</v>
      </c>
      <c r="B24" s="9" t="s">
        <v>83</v>
      </c>
      <c r="C24" s="9" t="s">
        <v>77</v>
      </c>
      <c r="D24" s="13" t="n">
        <f aca="false">D18/D20</f>
        <v>1.33354714560616</v>
      </c>
      <c r="E24" s="13" t="n">
        <f aca="false">E18/E20</f>
        <v>0.549017286289368</v>
      </c>
      <c r="F24" s="13" t="n">
        <f aca="false">F18/F20</f>
        <v>0.83517417162277</v>
      </c>
    </row>
    <row r="25" customFormat="false" ht="15" hidden="false" customHeight="false" outlineLevel="0" collapsed="false">
      <c r="A25" s="9" t="n">
        <v>13</v>
      </c>
      <c r="B25" s="9" t="s">
        <v>84</v>
      </c>
      <c r="C25" s="9" t="s">
        <v>77</v>
      </c>
      <c r="D25" s="13" t="n">
        <f aca="false">D19/D20</f>
        <v>-0.333547145606158</v>
      </c>
      <c r="E25" s="13" t="n">
        <f aca="false">E19/E20</f>
        <v>0.450864314468387</v>
      </c>
      <c r="F25" s="13" t="n">
        <f aca="false">F19/F20</f>
        <v>0.16482582837723</v>
      </c>
    </row>
    <row r="26" customFormat="false" ht="15" hidden="false" customHeight="false" outlineLevel="0" collapsed="false">
      <c r="A26" s="9" t="n">
        <v>14</v>
      </c>
      <c r="B26" s="9" t="s">
        <v>85</v>
      </c>
      <c r="C26" s="9" t="s">
        <v>77</v>
      </c>
      <c r="D26" s="15" t="n">
        <f aca="false">(D21-D22)*100</f>
        <v>6.01132773007933</v>
      </c>
      <c r="E26" s="15" t="n">
        <f aca="false">(E21-E22)*100</f>
        <v>4.52892726947809</v>
      </c>
      <c r="F26" s="15" t="n">
        <f aca="false">(F21-F22)*100</f>
        <v>7.12246087511237</v>
      </c>
    </row>
    <row r="27" customFormat="false" ht="15" hidden="false" customHeight="false" outlineLevel="0" collapsed="false">
      <c r="A27" s="9" t="n">
        <v>15</v>
      </c>
      <c r="B27" s="9" t="s">
        <v>86</v>
      </c>
      <c r="C27" s="13" t="n">
        <f aca="false">C7/$C$7-1</f>
        <v>0</v>
      </c>
      <c r="D27" s="13" t="n">
        <f aca="false">D7/$C$7-1</f>
        <v>0.051465491632835</v>
      </c>
      <c r="E27" s="13" t="n">
        <f aca="false">E7/$C$7-1</f>
        <v>0.166254084562828</v>
      </c>
      <c r="F27" s="13" t="n">
        <f aca="false">F7/$C$7-1</f>
        <v>0.263590454500446</v>
      </c>
    </row>
    <row r="28" customFormat="false" ht="15" hidden="false" customHeight="false" outlineLevel="0" collapsed="false">
      <c r="A28" s="9" t="n">
        <v>16</v>
      </c>
      <c r="B28" s="9" t="s">
        <v>87</v>
      </c>
      <c r="C28" s="13" t="n">
        <f aca="false">C8/$C$8-1</f>
        <v>0</v>
      </c>
      <c r="D28" s="13" t="n">
        <f aca="false">D8/$C$8-1</f>
        <v>-0.00864778566795832</v>
      </c>
      <c r="E28" s="13" t="n">
        <f aca="false">E8/$C$8-1</f>
        <v>0.0546806139927825</v>
      </c>
      <c r="F28" s="13" t="n">
        <f aca="false">F8/$C$8-1</f>
        <v>0.0675857710665049</v>
      </c>
    </row>
    <row r="29" customFormat="false" ht="15" hidden="false" customHeight="false" outlineLevel="0" collapsed="false">
      <c r="A29" s="9" t="n">
        <v>17</v>
      </c>
      <c r="B29" s="9" t="s">
        <v>88</v>
      </c>
      <c r="C29" s="13" t="n">
        <f aca="false">C9/$C$9-1</f>
        <v>0</v>
      </c>
      <c r="D29" s="13" t="n">
        <f aca="false">D9/$C$9-1</f>
        <v>0.015508271409671</v>
      </c>
      <c r="E29" s="13" t="n">
        <f aca="false">E9/$C$9-1</f>
        <v>0.0995255006117759</v>
      </c>
      <c r="F29" s="13" t="n">
        <f aca="false">F9/$C$9-1</f>
        <v>0.146358689705253</v>
      </c>
    </row>
    <row r="30" customFormat="false" ht="15" hidden="false" customHeight="false" outlineLevel="0" collapsed="false">
      <c r="A30" s="9" t="n">
        <v>18</v>
      </c>
      <c r="B30" s="9" t="s">
        <v>89</v>
      </c>
      <c r="C30" s="16" t="n">
        <f aca="false">100*C7/$C$7</f>
        <v>100</v>
      </c>
      <c r="D30" s="16" t="n">
        <f aca="false">100*D7/$C$7</f>
        <v>105.146549163284</v>
      </c>
      <c r="E30" s="16" t="n">
        <f aca="false">100*E7/$C$7</f>
        <v>116.625408456283</v>
      </c>
      <c r="F30" s="16" t="n">
        <f aca="false">100*F7/$C$7</f>
        <v>126.359045450045</v>
      </c>
    </row>
    <row r="31" customFormat="false" ht="15" hidden="false" customHeight="false" outlineLevel="0" collapsed="false">
      <c r="A31" s="9" t="n">
        <v>19</v>
      </c>
      <c r="B31" s="9" t="s">
        <v>90</v>
      </c>
      <c r="C31" s="16" t="n">
        <f aca="false">100*C8/$C$8</f>
        <v>100</v>
      </c>
      <c r="D31" s="16" t="n">
        <f aca="false">100*D8/$C$8</f>
        <v>99.1352214332042</v>
      </c>
      <c r="E31" s="16" t="n">
        <f aca="false">100*E8/$C$8</f>
        <v>105.468061399278</v>
      </c>
      <c r="F31" s="16" t="n">
        <f aca="false">100*F8/$C$8</f>
        <v>106.75857710665</v>
      </c>
    </row>
    <row r="32" customFormat="false" ht="15" hidden="false" customHeight="false" outlineLevel="0" collapsed="false">
      <c r="A32" s="9" t="n">
        <v>20</v>
      </c>
      <c r="B32" s="9" t="s">
        <v>91</v>
      </c>
      <c r="C32" s="9" t="s">
        <v>77</v>
      </c>
      <c r="D32" s="15" t="n">
        <f aca="false">(D15-C15)*100</f>
        <v>1.42284727399931</v>
      </c>
      <c r="E32" s="15" t="n">
        <f aca="false">(E15-D15)*100</f>
        <v>1.0158744330961</v>
      </c>
      <c r="F32" s="15" t="n">
        <f aca="false">(F15-E15)*100</f>
        <v>1.67069721920326</v>
      </c>
    </row>
    <row r="33" customFormat="false" ht="15" hidden="false" customHeight="false" outlineLevel="0" collapsed="false">
      <c r="A33" s="9" t="n">
        <v>21</v>
      </c>
      <c r="B33" s="9" t="s">
        <v>92</v>
      </c>
      <c r="C33" s="9" t="s">
        <v>77</v>
      </c>
      <c r="D33" s="12" t="n">
        <f aca="false">AVERAGE(C9,D9)</f>
        <v>101306.5</v>
      </c>
      <c r="E33" s="12" t="n">
        <f aca="false">AVERAGE(D9,E9)</f>
        <v>106309</v>
      </c>
      <c r="F33" s="12" t="n">
        <f aca="false">AVERAGE(E9,F9)</f>
        <v>112886</v>
      </c>
    </row>
    <row r="36" customFormat="false" ht="15" hidden="false" customHeight="false" outlineLevel="0" collapsed="false">
      <c r="A36" s="4" t="s">
        <v>93</v>
      </c>
      <c r="B36" s="5"/>
      <c r="C36" s="5"/>
      <c r="D36" s="5"/>
      <c r="E36" s="5"/>
      <c r="F36" s="5"/>
      <c r="G36" s="5"/>
      <c r="H36" s="5"/>
    </row>
    <row r="37" customFormat="false" ht="23.85" hidden="false" customHeight="false" outlineLevel="0" collapsed="false">
      <c r="A37" s="8" t="s">
        <v>56</v>
      </c>
      <c r="B37" s="8" t="s">
        <v>94</v>
      </c>
      <c r="C37" s="8" t="s">
        <v>95</v>
      </c>
      <c r="D37" s="8" t="s">
        <v>96</v>
      </c>
      <c r="E37" s="8" t="s">
        <v>97</v>
      </c>
    </row>
    <row r="38" customFormat="false" ht="35.05" hidden="false" customHeight="false" outlineLevel="0" collapsed="false">
      <c r="A38" s="9" t="n">
        <v>1</v>
      </c>
      <c r="B38" s="17" t="s">
        <v>98</v>
      </c>
      <c r="C38" s="18" t="n">
        <f aca="false">SUMPRODUCT(ABS(P2_Detailed_Table!E68:H68))</f>
        <v>5686</v>
      </c>
      <c r="D38" s="9" t="s">
        <v>99</v>
      </c>
      <c r="E38" s="19" t="s">
        <v>100</v>
      </c>
    </row>
    <row r="39" customFormat="false" ht="23.85" hidden="false" customHeight="false" outlineLevel="0" collapsed="false">
      <c r="A39" s="9" t="n">
        <v>2</v>
      </c>
      <c r="B39" s="17" t="s">
        <v>101</v>
      </c>
      <c r="C39" s="12" t="n">
        <f aca="false">SUMPRODUCT(ABS(C14:F14))</f>
        <v>2</v>
      </c>
      <c r="D39" s="9" t="s">
        <v>99</v>
      </c>
      <c r="E39" s="19" t="s">
        <v>102</v>
      </c>
    </row>
    <row r="40" customFormat="false" ht="35.05" hidden="false" customHeight="false" outlineLevel="0" collapsed="false">
      <c r="A40" s="9" t="n">
        <v>3</v>
      </c>
      <c r="B40" s="17" t="s">
        <v>103</v>
      </c>
      <c r="C40" s="12" t="n">
        <f aca="false">D19</f>
        <v>-520</v>
      </c>
      <c r="D40" s="9" t="s">
        <v>99</v>
      </c>
      <c r="E40" s="19" t="s">
        <v>104</v>
      </c>
    </row>
    <row r="41" customFormat="false" ht="23.85" hidden="false" customHeight="false" outlineLevel="0" collapsed="false">
      <c r="A41" s="9" t="n">
        <v>4</v>
      </c>
      <c r="B41" s="17" t="s">
        <v>105</v>
      </c>
      <c r="C41" s="20" t="str">
        <f aca="false">"n/a"</f>
        <v>n/a</v>
      </c>
      <c r="D41" s="9" t="s">
        <v>106</v>
      </c>
      <c r="E41" s="19" t="s">
        <v>107</v>
      </c>
    </row>
    <row r="43" customFormat="false" ht="15" hidden="false" customHeight="false" outlineLevel="0" collapsed="false">
      <c r="A43" s="4" t="s">
        <v>108</v>
      </c>
      <c r="B43" s="5"/>
      <c r="C43" s="5"/>
      <c r="D43" s="5"/>
      <c r="E43" s="5"/>
      <c r="F43" s="5"/>
      <c r="G43" s="5"/>
      <c r="H43" s="5"/>
    </row>
    <row r="45" customFormat="false" ht="15" hidden="false" customHeight="false" outlineLevel="0" collapsed="false">
      <c r="A45" s="4" t="s">
        <v>109</v>
      </c>
      <c r="B45" s="5"/>
      <c r="C45" s="5"/>
      <c r="D45" s="5"/>
      <c r="E45" s="5"/>
      <c r="F45" s="5"/>
      <c r="G45" s="5"/>
      <c r="H45" s="5"/>
    </row>
    <row r="46" customFormat="false" ht="15" hidden="false" customHeight="false" outlineLevel="0" collapsed="false">
      <c r="A46" s="8" t="s">
        <v>56</v>
      </c>
      <c r="B46" s="8" t="s">
        <v>110</v>
      </c>
      <c r="C46" s="8" t="s">
        <v>111</v>
      </c>
      <c r="D46" s="8" t="s">
        <v>112</v>
      </c>
      <c r="E46" s="8" t="s">
        <v>113</v>
      </c>
      <c r="F46" s="8" t="s">
        <v>96</v>
      </c>
      <c r="G46" s="8" t="s">
        <v>114</v>
      </c>
    </row>
    <row r="47" customFormat="false" ht="46.25" hidden="false" customHeight="false" outlineLevel="0" collapsed="false">
      <c r="A47" s="9" t="n">
        <v>1</v>
      </c>
      <c r="B47" s="10" t="s">
        <v>115</v>
      </c>
      <c r="C47" s="19" t="s">
        <v>116</v>
      </c>
      <c r="D47" s="19" t="s">
        <v>117</v>
      </c>
      <c r="E47" s="12" t="n">
        <f aca="false">F9</f>
        <v>115240</v>
      </c>
      <c r="F47" s="9" t="s">
        <v>99</v>
      </c>
      <c r="G47" s="19"/>
    </row>
    <row r="48" customFormat="false" ht="35.05" hidden="false" customHeight="false" outlineLevel="0" collapsed="false">
      <c r="A48" s="9" t="n">
        <v>2</v>
      </c>
      <c r="B48" s="10" t="s">
        <v>115</v>
      </c>
      <c r="C48" s="19" t="s">
        <v>118</v>
      </c>
      <c r="D48" s="19" t="s">
        <v>117</v>
      </c>
      <c r="E48" s="12" t="n">
        <f aca="false">D7</f>
        <v>42475</v>
      </c>
      <c r="F48" s="9" t="s">
        <v>99</v>
      </c>
      <c r="G48" s="19"/>
    </row>
    <row r="49" customFormat="false" ht="35.05" hidden="false" customHeight="false" outlineLevel="0" collapsed="false">
      <c r="A49" s="9" t="n">
        <v>3</v>
      </c>
      <c r="B49" s="10" t="s">
        <v>115</v>
      </c>
      <c r="C49" s="19" t="s">
        <v>119</v>
      </c>
      <c r="D49" s="19" t="s">
        <v>120</v>
      </c>
      <c r="E49" s="13" t="n">
        <f aca="false">C16</f>
        <v>0.598157708874233</v>
      </c>
      <c r="F49" s="9" t="s">
        <v>121</v>
      </c>
      <c r="G49" s="19"/>
    </row>
    <row r="50" customFormat="false" ht="35.05" hidden="false" customHeight="false" outlineLevel="0" collapsed="false">
      <c r="A50" s="9" t="n">
        <v>4</v>
      </c>
      <c r="B50" s="10" t="s">
        <v>122</v>
      </c>
      <c r="C50" s="19" t="s">
        <v>123</v>
      </c>
      <c r="D50" s="19" t="s">
        <v>124</v>
      </c>
      <c r="E50" s="13" t="n">
        <f aca="false">F7/C7-1</f>
        <v>0.263590454500446</v>
      </c>
      <c r="F50" s="9" t="s">
        <v>121</v>
      </c>
      <c r="G50" s="19"/>
    </row>
    <row r="51" customFormat="false" ht="57.45" hidden="false" customHeight="false" outlineLevel="0" collapsed="false">
      <c r="A51" s="9" t="n">
        <v>5</v>
      </c>
      <c r="B51" s="10" t="s">
        <v>122</v>
      </c>
      <c r="C51" s="19" t="s">
        <v>125</v>
      </c>
      <c r="D51" s="19" t="s">
        <v>126</v>
      </c>
      <c r="E51" s="13" t="n">
        <f aca="false">(F9/C9)^(1/3)-1</f>
        <v>0.0465825977036205</v>
      </c>
      <c r="F51" s="9" t="s">
        <v>121</v>
      </c>
      <c r="G51" s="19"/>
    </row>
    <row r="52" customFormat="false" ht="46.25" hidden="false" customHeight="false" outlineLevel="0" collapsed="false">
      <c r="A52" s="9" t="n">
        <v>6</v>
      </c>
      <c r="B52" s="10" t="s">
        <v>122</v>
      </c>
      <c r="C52" s="19" t="s">
        <v>127</v>
      </c>
      <c r="D52" s="19" t="s">
        <v>128</v>
      </c>
      <c r="E52" s="15" t="n">
        <f aca="false">(F15-C15)*100</f>
        <v>4.10941892629867</v>
      </c>
      <c r="F52" s="9" t="s">
        <v>32</v>
      </c>
      <c r="G52" s="19"/>
    </row>
    <row r="53" customFormat="false" ht="35.05" hidden="false" customHeight="false" outlineLevel="0" collapsed="false">
      <c r="A53" s="9" t="n">
        <v>7</v>
      </c>
      <c r="B53" s="10" t="s">
        <v>122</v>
      </c>
      <c r="C53" s="19" t="s">
        <v>129</v>
      </c>
      <c r="D53" s="19" t="s">
        <v>130</v>
      </c>
      <c r="E53" s="20" t="str">
        <f aca="false">INDEX(D6:F6,MATCH(MAX(D23:F23),D23:F23,0))</f>
        <v>Mar-26</v>
      </c>
      <c r="F53" s="9" t="s">
        <v>106</v>
      </c>
      <c r="G53" s="19"/>
    </row>
    <row r="54" customFormat="false" ht="102.2" hidden="false" customHeight="false" outlineLevel="0" collapsed="false">
      <c r="A54" s="9" t="n">
        <v>8</v>
      </c>
      <c r="B54" s="10" t="s">
        <v>131</v>
      </c>
      <c r="C54" s="19" t="s">
        <v>132</v>
      </c>
      <c r="D54" s="19" t="s">
        <v>133</v>
      </c>
      <c r="E54" s="15" t="n">
        <f aca="false">((F7-C7)/(F9-C9)-C15)*100</f>
        <v>32.1871431432515</v>
      </c>
      <c r="F54" s="9" t="s">
        <v>32</v>
      </c>
      <c r="G54" s="19" t="s">
        <v>134</v>
      </c>
    </row>
    <row r="55" customFormat="false" ht="79.85" hidden="false" customHeight="false" outlineLevel="0" collapsed="false">
      <c r="A55" s="9" t="n">
        <v>9</v>
      </c>
      <c r="B55" s="10" t="s">
        <v>131</v>
      </c>
      <c r="C55" s="19" t="s">
        <v>135</v>
      </c>
      <c r="D55" s="19" t="s">
        <v>136</v>
      </c>
      <c r="E55" s="18" t="n">
        <f aca="false">SUMPRODUCT(ABS(P2_Detailed_Table!E69:H69))</f>
        <v>0</v>
      </c>
      <c r="F55" s="9" t="s">
        <v>99</v>
      </c>
      <c r="G55" s="19" t="s">
        <v>137</v>
      </c>
    </row>
    <row r="56" customFormat="false" ht="91" hidden="false" customHeight="false" outlineLevel="0" collapsed="false">
      <c r="A56" s="9" t="n">
        <v>10</v>
      </c>
      <c r="B56" s="10" t="s">
        <v>131</v>
      </c>
      <c r="C56" s="19" t="s">
        <v>138</v>
      </c>
      <c r="D56" s="19" t="s">
        <v>139</v>
      </c>
      <c r="E56" s="15" t="n">
        <f aca="false">F26</f>
        <v>7.12246087511237</v>
      </c>
      <c r="F56" s="9" t="s">
        <v>32</v>
      </c>
      <c r="G56" s="19" t="s">
        <v>140</v>
      </c>
    </row>
    <row r="58" customFormat="false" ht="15" hidden="false" customHeight="false" outlineLevel="0" collapsed="false">
      <c r="A58" s="4" t="s">
        <v>141</v>
      </c>
      <c r="B58" s="5"/>
      <c r="C58" s="5"/>
      <c r="D58" s="5"/>
      <c r="E58" s="5"/>
      <c r="F58" s="5"/>
      <c r="G58" s="5"/>
      <c r="H58" s="5"/>
    </row>
    <row r="59" customFormat="false" ht="75" hidden="false" customHeight="true" outlineLevel="0" collapsed="false">
      <c r="A59" s="21" t="s">
        <v>142</v>
      </c>
      <c r="B59" s="21"/>
      <c r="C59" s="21"/>
      <c r="D59" s="21"/>
      <c r="E59" s="21"/>
      <c r="F59" s="21"/>
      <c r="G59" s="21"/>
      <c r="H59" s="21"/>
    </row>
    <row r="61" customFormat="false" ht="15" hidden="false" customHeight="false" outlineLevel="0" collapsed="false">
      <c r="A61" s="3" t="s">
        <v>2</v>
      </c>
    </row>
  </sheetData>
  <mergeCells count="1">
    <mergeCell ref="A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2" topLeftCell="A2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25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2" t="s">
        <v>145</v>
      </c>
      <c r="C6" s="22" t="s">
        <v>146</v>
      </c>
      <c r="D6" s="22"/>
      <c r="E6" s="22"/>
      <c r="F6" s="22"/>
    </row>
    <row r="7" customFormat="false" ht="15" hidden="false" customHeight="true" outlineLevel="0" collapsed="false">
      <c r="B7" s="10" t="s">
        <v>147</v>
      </c>
      <c r="C7" s="19" t="s">
        <v>148</v>
      </c>
      <c r="D7" s="19"/>
      <c r="E7" s="19"/>
      <c r="F7" s="19"/>
    </row>
    <row r="8" customFormat="false" ht="15" hidden="false" customHeight="true" outlineLevel="0" collapsed="false">
      <c r="B8" s="10" t="s">
        <v>149</v>
      </c>
      <c r="C8" s="19" t="s">
        <v>150</v>
      </c>
      <c r="D8" s="19"/>
      <c r="E8" s="19"/>
      <c r="F8" s="19"/>
    </row>
    <row r="9" customFormat="false" ht="15" hidden="false" customHeight="true" outlineLevel="0" collapsed="false">
      <c r="B9" s="10" t="s">
        <v>151</v>
      </c>
      <c r="C9" s="19" t="s">
        <v>152</v>
      </c>
      <c r="D9" s="19"/>
      <c r="E9" s="19"/>
      <c r="F9" s="19"/>
    </row>
    <row r="10" customFormat="false" ht="15" hidden="false" customHeight="true" outlineLevel="0" collapsed="false">
      <c r="B10" s="10" t="s">
        <v>153</v>
      </c>
      <c r="C10" s="19" t="s">
        <v>154</v>
      </c>
      <c r="D10" s="19"/>
      <c r="E10" s="19"/>
      <c r="F10" s="19"/>
    </row>
    <row r="11" customFormat="false" ht="15" hidden="false" customHeight="true" outlineLevel="0" collapsed="false">
      <c r="B11" s="10" t="s">
        <v>155</v>
      </c>
      <c r="C11" s="19" t="s">
        <v>156</v>
      </c>
      <c r="D11" s="19"/>
      <c r="E11" s="19"/>
      <c r="F11" s="19"/>
    </row>
    <row r="12" customFormat="false" ht="15" hidden="false" customHeight="true" outlineLevel="0" collapsed="false">
      <c r="B12" s="10" t="s">
        <v>157</v>
      </c>
      <c r="C12" s="19" t="s">
        <v>158</v>
      </c>
      <c r="D12" s="19"/>
      <c r="E12" s="19"/>
      <c r="F12" s="19"/>
    </row>
    <row r="13" customFormat="false" ht="15" hidden="false" customHeight="true" outlineLevel="0" collapsed="false">
      <c r="B13" s="10" t="s">
        <v>159</v>
      </c>
      <c r="C13" s="19" t="s">
        <v>160</v>
      </c>
      <c r="D13" s="19"/>
      <c r="E13" s="19"/>
      <c r="F13" s="19"/>
    </row>
    <row r="14" customFormat="false" ht="15" hidden="false" customHeight="true" outlineLevel="0" collapsed="false">
      <c r="B14" s="10" t="s">
        <v>30</v>
      </c>
      <c r="C14" s="19" t="s">
        <v>31</v>
      </c>
      <c r="D14" s="19"/>
      <c r="E14" s="19"/>
      <c r="F14" s="19"/>
    </row>
    <row r="15" customFormat="false" ht="15" hidden="false" customHeight="true" outlineLevel="0" collapsed="false">
      <c r="B15" s="10" t="s">
        <v>161</v>
      </c>
      <c r="C15" s="19" t="s">
        <v>162</v>
      </c>
      <c r="D15" s="19"/>
      <c r="E15" s="19"/>
      <c r="F15" s="19"/>
    </row>
    <row r="16" customFormat="false" ht="15" hidden="false" customHeight="true" outlineLevel="0" collapsed="false">
      <c r="B16" s="10" t="s">
        <v>163</v>
      </c>
      <c r="C16" s="19" t="s">
        <v>164</v>
      </c>
      <c r="D16" s="19"/>
      <c r="E16" s="19"/>
      <c r="F16" s="19"/>
    </row>
    <row r="17" customFormat="false" ht="15" hidden="false" customHeight="true" outlineLevel="0" collapsed="false">
      <c r="B17" s="10" t="s">
        <v>165</v>
      </c>
      <c r="C17" s="19" t="s">
        <v>166</v>
      </c>
      <c r="D17" s="19"/>
      <c r="E17" s="19"/>
      <c r="F17" s="19"/>
    </row>
    <row r="18" customFormat="false" ht="15" hidden="false" customHeight="true" outlineLevel="0" collapsed="false">
      <c r="B18" s="10" t="s">
        <v>167</v>
      </c>
      <c r="C18" s="19" t="s">
        <v>168</v>
      </c>
      <c r="D18" s="19"/>
      <c r="E18" s="19"/>
      <c r="F18" s="19"/>
    </row>
    <row r="19" customFormat="false" ht="15" hidden="false" customHeight="false" outlineLevel="0" collapsed="false">
      <c r="B19" s="23" t="s">
        <v>169</v>
      </c>
    </row>
    <row r="21" customFormat="false" ht="15" hidden="false" customHeight="false" outlineLevel="0" collapsed="false">
      <c r="A21" s="4" t="s">
        <v>170</v>
      </c>
      <c r="B21" s="5"/>
      <c r="C21" s="5"/>
      <c r="D21" s="5"/>
      <c r="E21" s="5"/>
      <c r="F21" s="5"/>
    </row>
    <row r="22" customFormat="false" ht="15" hidden="false" customHeight="false" outlineLevel="0" collapsed="false">
      <c r="A22" s="8" t="s">
        <v>56</v>
      </c>
      <c r="B22" s="8" t="s">
        <v>171</v>
      </c>
      <c r="C22" s="8" t="s">
        <v>172</v>
      </c>
      <c r="D22" s="8" t="s">
        <v>173</v>
      </c>
      <c r="E22" s="8" t="s">
        <v>174</v>
      </c>
      <c r="F22" s="8" t="s">
        <v>175</v>
      </c>
    </row>
    <row r="23" customFormat="false" ht="23.85" hidden="false" customHeight="false" outlineLevel="0" collapsed="false">
      <c r="A23" s="9" t="n">
        <v>1</v>
      </c>
      <c r="B23" s="19" t="s">
        <v>176</v>
      </c>
      <c r="C23" s="19" t="s">
        <v>177</v>
      </c>
      <c r="D23" s="19" t="s">
        <v>178</v>
      </c>
      <c r="E23" s="19" t="s">
        <v>179</v>
      </c>
      <c r="F23" s="24" t="str">
        <f aca="false">"W "&amp;TEXT(P1_NetFunded_Qtr!C7,"#,##0;-#,##0;0")&amp;" / "&amp;TEXT(P1_NetFunded_Qtr!D7,"#,##0;-#,##0;0")&amp;" / "&amp;TEXT(P1_NetFunded_Qtr!E7,"#,##0;-#,##0;0")&amp;" / "&amp;TEXT(P1_NetFunded_Qtr!F7,"#,##0;-#,##0;0")&amp;"; R "&amp;TEXT(P1_NetFunded_Qtr!C8,"#,##0;-#,##0;0")&amp;" / "&amp;TEXT(P1_NetFunded_Qtr!D8,"#,##0;-#,##0;0")&amp;" / "&amp;TEXT(P1_NetFunded_Qtr!E8,"#,##0;-#,##0;0")&amp;" / "&amp;TEXT(P1_NetFunded_Qtr!F8,"#,##0;-#,##0;0")&amp;"; T "&amp;TEXT(P1_NetFunded_Qtr!C9,"#,##0;-#,##0;0")&amp;" / "&amp;TEXT(P1_NetFunded_Qtr!D9,"#,##0;-#,##0;0")&amp;" / "&amp;TEXT(P1_NetFunded_Qtr!E9,"#,##0;-#,##0;0")&amp;" / "&amp;TEXT(P1_NetFunded_Qtr!F9,"#,##0;-#,##0;0")</f>
        <v>W 40,396 / 42,475 / 47,112 / 51,044; R 60,131 / 59,611 / 63,419 / 64,195; T 100,527 / 102,086 / 110,532 / 115,240</v>
      </c>
    </row>
    <row r="24" customFormat="false" ht="15" hidden="false" customHeight="false" outlineLevel="0" collapsed="false">
      <c r="A24" s="9" t="n">
        <v>2</v>
      </c>
      <c r="B24" s="19" t="s">
        <v>180</v>
      </c>
      <c r="C24" s="19" t="s">
        <v>181</v>
      </c>
      <c r="D24" s="19" t="s">
        <v>182</v>
      </c>
      <c r="E24" s="19" t="s">
        <v>183</v>
      </c>
      <c r="F24" s="24" t="str">
        <f aca="false">"W + R "&amp;TEXT(P1_NetFunded_Qtr!C13,"#,##0;-#,##0;0")&amp;" / "&amp;TEXT(P1_NetFunded_Qtr!D13,"#,##0;-#,##0;0")&amp;" / "&amp;TEXT(P1_NetFunded_Qtr!E13,"#,##0;-#,##0;0")&amp;" / "&amp;TEXT(P1_NetFunded_Qtr!F13,"#,##0;-#,##0;0")&amp;"; T − (W + R) "&amp;TEXT(P1_NetFunded_Qtr!C14,"#,##0;-#,##0;0")&amp;" / "&amp;TEXT(P1_NetFunded_Qtr!D14,"#,##0;-#,##0;0")&amp;" / "&amp;TEXT(P1_NetFunded_Qtr!E14,"#,##0;-#,##0;0")&amp;" / "&amp;TEXT(P1_NetFunded_Qtr!F14,"#,##0;-#,##0;0")</f>
        <v>W + R 100,527 / 102,086 / 110,531 / 115,239; T − (W + R) 0 / 0 / 1 / 1</v>
      </c>
    </row>
    <row r="25" customFormat="false" ht="15" hidden="false" customHeight="false" outlineLevel="0" collapsed="false">
      <c r="A25" s="9" t="n">
        <v>3</v>
      </c>
      <c r="B25" s="19" t="s">
        <v>184</v>
      </c>
      <c r="C25" s="19" t="s">
        <v>73</v>
      </c>
      <c r="D25" s="19" t="s">
        <v>185</v>
      </c>
      <c r="E25" s="19" t="s">
        <v>183</v>
      </c>
      <c r="F25" s="24" t="str">
        <f aca="false">TEXT(P1_NetFunded_Qtr!C15,"0.0%")&amp;" / "&amp;TEXT(P1_NetFunded_Qtr!D15,"0.0%")&amp;" / "&amp;TEXT(P1_NetFunded_Qtr!E15,"0.0%")&amp;" / "&amp;TEXT(P1_NetFunded_Qtr!F15,"0.0%")</f>
        <v>40.2% / 41.6% / 42.6% / 44.3%</v>
      </c>
    </row>
    <row r="26" customFormat="false" ht="15" hidden="false" customHeight="false" outlineLevel="0" collapsed="false">
      <c r="A26" s="9" t="n">
        <v>4</v>
      </c>
      <c r="B26" s="19" t="s">
        <v>184</v>
      </c>
      <c r="C26" s="19" t="s">
        <v>74</v>
      </c>
      <c r="D26" s="19" t="s">
        <v>186</v>
      </c>
      <c r="E26" s="19" t="s">
        <v>183</v>
      </c>
      <c r="F26" s="24" t="str">
        <f aca="false">TEXT(P1_NetFunded_Qtr!C16,"0.0%")&amp;" / "&amp;TEXT(P1_NetFunded_Qtr!D16,"0.0%")&amp;" / "&amp;TEXT(P1_NetFunded_Qtr!E16,"0.0%")&amp;" / "&amp;TEXT(P1_NetFunded_Qtr!F16,"0.0%")</f>
        <v>59.8% / 58.4% / 57.4% / 55.7%</v>
      </c>
    </row>
    <row r="27" customFormat="false" ht="15" hidden="false" customHeight="false" outlineLevel="0" collapsed="false">
      <c r="A27" s="9" t="n">
        <v>5</v>
      </c>
      <c r="B27" s="19" t="s">
        <v>184</v>
      </c>
      <c r="C27" s="19" t="s">
        <v>187</v>
      </c>
      <c r="D27" s="19" t="s">
        <v>188</v>
      </c>
      <c r="E27" s="19" t="s">
        <v>183</v>
      </c>
      <c r="F27" s="24" t="str">
        <f aca="false">TEXT(P1_NetFunded_Qtr!C17,"0.00""x""")&amp;" / "&amp;TEXT(P1_NetFunded_Qtr!D17,"0.00""x""")&amp;" / "&amp;TEXT(P1_NetFunded_Qtr!E17,"0.00""x""")&amp;" / "&amp;TEXT(P1_NetFunded_Qtr!F17,"0.00""x""")</f>
        <v>0.67x / 0.71x / 0.74x / 0.80x</v>
      </c>
    </row>
    <row r="28" customFormat="false" ht="15" hidden="false" customHeight="false" outlineLevel="0" collapsed="false">
      <c r="A28" s="9" t="n">
        <v>6</v>
      </c>
      <c r="B28" s="19" t="s">
        <v>184</v>
      </c>
      <c r="C28" s="19" t="s">
        <v>189</v>
      </c>
      <c r="D28" s="19" t="s">
        <v>190</v>
      </c>
      <c r="E28" s="19" t="s">
        <v>191</v>
      </c>
      <c r="F28" s="24" t="str">
        <f aca="false">TEXT(P1_NetFunded_Qtr!D32,"+0.0"" pp"";-0.0"" pp"";0.0"" pp""")&amp;" / "&amp;TEXT(P1_NetFunded_Qtr!E32,"+0.0"" pp"";-0.0"" pp"";0.0"" pp""")&amp;" / "&amp;TEXT(P1_NetFunded_Qtr!F32,"+0.0"" pp"";-0.0"" pp"";0.0"" pp""")&amp;"; 9M "&amp;TEXT((P1_NetFunded_Qtr!F15-P1_NetFunded_Qtr!C15)*100,"+0.0"" pp"";-0.0"" pp"";0.0"" pp""")</f>
        <v>+1.4 pp / +1.0 pp / +1.7 pp; 9M +4.1 pp</v>
      </c>
    </row>
    <row r="29" customFormat="false" ht="15" hidden="false" customHeight="false" outlineLevel="0" collapsed="false">
      <c r="A29" s="9" t="n">
        <v>7</v>
      </c>
      <c r="B29" s="19" t="s">
        <v>192</v>
      </c>
      <c r="C29" s="19" t="s">
        <v>193</v>
      </c>
      <c r="D29" s="19" t="s">
        <v>158</v>
      </c>
      <c r="E29" s="19" t="s">
        <v>194</v>
      </c>
      <c r="F29" s="24" t="str">
        <f aca="false">"W "&amp;TEXT(P1_NetFunded_Qtr!D18,"#,##0;-#,##0;0")&amp;" / "&amp;TEXT(P1_NetFunded_Qtr!E18,"#,##0;-#,##0;0")&amp;" / "&amp;TEXT(P1_NetFunded_Qtr!F18,"#,##0;-#,##0;0")&amp;"; R "&amp;TEXT(P1_NetFunded_Qtr!D19,"#,##0;-#,##0;0")&amp;" / "&amp;TEXT(P1_NetFunded_Qtr!E19,"#,##0;-#,##0;0")&amp;" / "&amp;TEXT(P1_NetFunded_Qtr!F19,"#,##0;-#,##0;0")&amp;"; T "&amp;TEXT(P1_NetFunded_Qtr!D20,"#,##0;-#,##0;0")&amp;" / "&amp;TEXT(P1_NetFunded_Qtr!E20,"#,##0;-#,##0;0")&amp;" / "&amp;TEXT(P1_NetFunded_Qtr!F20,"#,##0;-#,##0;0")</f>
        <v>W 2,079 / 4,637 / 3,932; R -520 / 3,808 / 776; T 1,559 / 8,446 / 4,708</v>
      </c>
    </row>
    <row r="30" customFormat="false" ht="15" hidden="false" customHeight="false" outlineLevel="0" collapsed="false">
      <c r="A30" s="9" t="n">
        <v>8</v>
      </c>
      <c r="B30" s="19" t="s">
        <v>192</v>
      </c>
      <c r="C30" s="19" t="s">
        <v>195</v>
      </c>
      <c r="D30" s="19" t="s">
        <v>160</v>
      </c>
      <c r="E30" s="19" t="s">
        <v>194</v>
      </c>
      <c r="F30" s="24" t="str">
        <f aca="false">"W "&amp;TEXT(P1_NetFunded_Qtr!D21,"+0.0%;-0.0%;0.0%")&amp;" / "&amp;TEXT(P1_NetFunded_Qtr!E21,"+0.0%;-0.0%;0.0%")&amp;" / "&amp;TEXT(P1_NetFunded_Qtr!F21,"+0.0%;-0.0%;0.0%")&amp;"; R "&amp;TEXT(P1_NetFunded_Qtr!D22,"+0.0%;-0.0%;0.0%")&amp;" / "&amp;TEXT(P1_NetFunded_Qtr!E22,"+0.0%;-0.0%;0.0%")&amp;" / "&amp;TEXT(P1_NetFunded_Qtr!F22,"+0.0%;-0.0%;0.0%")&amp;"; T "&amp;TEXT(P1_NetFunded_Qtr!D23,"+0.0%;-0.0%;0.0%")&amp;" / "&amp;TEXT(P1_NetFunded_Qtr!E23,"+0.0%;-0.0%;0.0%")&amp;" / "&amp;TEXT(P1_NetFunded_Qtr!F23,"+0.0%;-0.0%;0.0%")</f>
        <v>W +5.1% / +10.9% / +8.3%; R -0.9% / +6.4% / +1.2%; T +1.6% / +8.3% / +4.3%</v>
      </c>
    </row>
    <row r="31" customFormat="false" ht="15" hidden="false" customHeight="false" outlineLevel="0" collapsed="false">
      <c r="A31" s="9" t="n">
        <v>9</v>
      </c>
      <c r="B31" s="19" t="s">
        <v>192</v>
      </c>
      <c r="C31" s="19" t="s">
        <v>196</v>
      </c>
      <c r="D31" s="19" t="s">
        <v>197</v>
      </c>
      <c r="E31" s="19" t="s">
        <v>198</v>
      </c>
      <c r="F31" s="24" t="str">
        <f aca="false">"W "&amp;TEXT(P1_NetFunded_Qtr!F7/P1_NetFunded_Qtr!C7-1,"+0.0%;-0.0%;0.0%")&amp;" ("&amp;TEXT(P1_NetFunded_Qtr!F7-P1_NetFunded_Qtr!C7,"#,##0;-#,##0;0")&amp;"); R "&amp;TEXT(P1_NetFunded_Qtr!F8/P1_NetFunded_Qtr!C8-1,"+0.0%;-0.0%;0.0%")&amp;" ("&amp;TEXT(P1_NetFunded_Qtr!F8-P1_NetFunded_Qtr!C8,"#,##0;-#,##0;0")&amp;"); T "&amp;TEXT(P1_NetFunded_Qtr!F9/P1_NetFunded_Qtr!C9-1,"+0.0%;-0.0%;0.0%")&amp;" ("&amp;TEXT(P1_NetFunded_Qtr!F9-P1_NetFunded_Qtr!C9,"#,##0;-#,##0;0")&amp;")"</f>
        <v>W +26.4% (10,648); R +6.8% (4,064); T +14.6% (14,713)</v>
      </c>
    </row>
    <row r="32" customFormat="false" ht="15" hidden="false" customHeight="false" outlineLevel="0" collapsed="false">
      <c r="A32" s="9" t="n">
        <v>10</v>
      </c>
      <c r="B32" s="19" t="s">
        <v>192</v>
      </c>
      <c r="C32" s="19" t="s">
        <v>199</v>
      </c>
      <c r="D32" s="19" t="s">
        <v>200</v>
      </c>
      <c r="E32" s="19" t="s">
        <v>198</v>
      </c>
      <c r="F32" s="24" t="str">
        <f aca="false">"W "&amp;TEXT((P1_NetFunded_Qtr!F7/P1_NetFunded_Qtr!C7)^(1/3)-1,"+0.0%;-0.0%;0.0%")&amp;"; R "&amp;TEXT((P1_NetFunded_Qtr!F8/P1_NetFunded_Qtr!C8)^(1/3)-1,"+0.0%;-0.0%;0.0%")&amp;"; T "&amp;TEXT((P1_NetFunded_Qtr!F9/P1_NetFunded_Qtr!C9)^(1/3)-1,"+0.0%;-0.0%;0.0%")</f>
        <v>W +8.1%; R +2.2%; T +4.7%</v>
      </c>
    </row>
    <row r="33" customFormat="false" ht="15" hidden="false" customHeight="false" outlineLevel="0" collapsed="false">
      <c r="A33" s="9" t="n">
        <v>11</v>
      </c>
      <c r="B33" s="19" t="s">
        <v>192</v>
      </c>
      <c r="C33" s="19" t="s">
        <v>201</v>
      </c>
      <c r="D33" s="19" t="s">
        <v>202</v>
      </c>
      <c r="E33" s="19" t="s">
        <v>198</v>
      </c>
      <c r="F33" s="24" t="str">
        <f aca="false">"W "&amp;TEXT((P1_NetFunded_Qtr!F7/P1_NetFunded_Qtr!C7)^(4/3)-1,"+0.0%;-0.0%;0.0%")&amp;"; R "&amp;TEXT((P1_NetFunded_Qtr!F8/P1_NetFunded_Qtr!C8)^(4/3)-1,"+0.0%;-0.0%;0.0%")&amp;"; T "&amp;TEXT((P1_NetFunded_Qtr!F9/P1_NetFunded_Qtr!C9)^(4/3)-1,"+0.0%;-0.0%;0.0%")</f>
        <v>W +36.6%; R +9.1%; T +20.0%</v>
      </c>
    </row>
    <row r="34" customFormat="false" ht="15" hidden="false" customHeight="false" outlineLevel="0" collapsed="false">
      <c r="A34" s="9" t="n">
        <v>12</v>
      </c>
      <c r="B34" s="19" t="s">
        <v>192</v>
      </c>
      <c r="C34" s="19" t="s">
        <v>203</v>
      </c>
      <c r="D34" s="19" t="s">
        <v>204</v>
      </c>
      <c r="E34" s="19" t="s">
        <v>194</v>
      </c>
      <c r="F34" s="24" t="str">
        <f aca="false">"W "&amp;TEXT(P1_NetFunded_Qtr!D27,"+0.0%;-0.0%;0.0%")&amp;" / "&amp;TEXT(P1_NetFunded_Qtr!E27,"+0.0%;-0.0%;0.0%")&amp;" / "&amp;TEXT(P1_NetFunded_Qtr!F27,"+0.0%;-0.0%;0.0%")&amp;"; R "&amp;TEXT(P1_NetFunded_Qtr!D28,"+0.0%;-0.0%;0.0%")&amp;" / "&amp;TEXT(P1_NetFunded_Qtr!E28,"+0.0%;-0.0%;0.0%")&amp;" / "&amp;TEXT(P1_NetFunded_Qtr!F28,"+0.0%;-0.0%;0.0%")&amp;"; T "&amp;TEXT(P1_NetFunded_Qtr!D29,"+0.0%;-0.0%;0.0%")&amp;" / "&amp;TEXT(P1_NetFunded_Qtr!E29,"+0.0%;-0.0%;0.0%")&amp;" / "&amp;TEXT(P1_NetFunded_Qtr!F29,"+0.0%;-0.0%;0.0%")</f>
        <v>W +5.1% / +16.6% / +26.4%; R -0.9% / +5.5% / +6.8%; T +1.6% / +10.0% / +14.6%</v>
      </c>
    </row>
    <row r="35" customFormat="false" ht="15" hidden="false" customHeight="false" outlineLevel="0" collapsed="false">
      <c r="A35" s="9" t="n">
        <v>13</v>
      </c>
      <c r="B35" s="19" t="s">
        <v>192</v>
      </c>
      <c r="C35" s="19" t="s">
        <v>205</v>
      </c>
      <c r="D35" s="19" t="s">
        <v>206</v>
      </c>
      <c r="E35" s="19" t="s">
        <v>207</v>
      </c>
      <c r="F35" s="24" t="str">
        <f aca="false">"W "&amp;TEXT(P1_NetFunded_Qtr!C30,"0.0")&amp;" / "&amp;TEXT(P1_NetFunded_Qtr!D30,"0.0")&amp;" / "&amp;TEXT(P1_NetFunded_Qtr!E30,"0.0")&amp;" / "&amp;TEXT(P1_NetFunded_Qtr!F30,"0.0")&amp;"; R "&amp;TEXT(P1_NetFunded_Qtr!C31,"0.0")&amp;" / "&amp;TEXT(P1_NetFunded_Qtr!D31,"0.0")&amp;" / "&amp;TEXT(P1_NetFunded_Qtr!E31,"0.0")&amp;" / "&amp;TEXT(P1_NetFunded_Qtr!F31,"0.0")</f>
        <v>W 100.0 / 105.1 / 116.6 / 126.4; R 100.0 / 99.1 / 105.5 / 106.8</v>
      </c>
    </row>
    <row r="36" customFormat="false" ht="15" hidden="false" customHeight="false" outlineLevel="0" collapsed="false">
      <c r="A36" s="9" t="n">
        <v>14</v>
      </c>
      <c r="B36" s="19" t="s">
        <v>192</v>
      </c>
      <c r="C36" s="19" t="s">
        <v>208</v>
      </c>
      <c r="D36" s="19" t="s">
        <v>209</v>
      </c>
      <c r="E36" s="19" t="s">
        <v>191</v>
      </c>
      <c r="F36" s="24" t="str">
        <f aca="false">TEXT(P1_NetFunded_Qtr!D26,"+0.0"" pp"";-0.0"" pp"";0.0"" pp""")&amp;" / "&amp;TEXT(P1_NetFunded_Qtr!E26,"+0.0"" pp"";-0.0"" pp"";0.0"" pp""")&amp;" / "&amp;TEXT(P1_NetFunded_Qtr!F26,"+0.0"" pp"";-0.0"" pp"";0.0"" pp""")&amp;"; 9M "&amp;TEXT((P1_NetFunded_Qtr!F27-P1_NetFunded_Qtr!F28)*100,"+0.0"" pp"";-0.0"" pp"";0.0"" pp""")</f>
        <v>+6.0 pp / +4.5 pp / +7.1 pp; 9M +19.6 pp</v>
      </c>
    </row>
    <row r="37" customFormat="false" ht="15" hidden="false" customHeight="false" outlineLevel="0" collapsed="false">
      <c r="A37" s="9" t="n">
        <v>15</v>
      </c>
      <c r="B37" s="19" t="s">
        <v>192</v>
      </c>
      <c r="C37" s="19" t="s">
        <v>210</v>
      </c>
      <c r="D37" s="19" t="s">
        <v>211</v>
      </c>
      <c r="E37" s="19" t="s">
        <v>212</v>
      </c>
      <c r="F37" s="24" t="str">
        <f aca="false">"Mar-26 "&amp;TEXT((P1_NetFunded_Qtr!E23-P1_NetFunded_Qtr!D23)*100,"+0.0"" pp"";-0.0"" pp"";0.0"" pp""")&amp;"; Jun-26 "&amp;TEXT((P1_NetFunded_Qtr!F23-P1_NetFunded_Qtr!E23)*100,"+0.0"" pp"";-0.0"" pp"";0.0"" pp""")</f>
        <v>Mar-26 +6.7 pp; Jun-26 -4.0 pp</v>
      </c>
    </row>
    <row r="38" customFormat="false" ht="15" hidden="false" customHeight="false" outlineLevel="0" collapsed="false">
      <c r="A38" s="9" t="n">
        <v>16</v>
      </c>
      <c r="B38" s="19" t="s">
        <v>192</v>
      </c>
      <c r="C38" s="19" t="s">
        <v>213</v>
      </c>
      <c r="D38" s="19" t="s">
        <v>214</v>
      </c>
      <c r="E38" s="19" t="s">
        <v>215</v>
      </c>
      <c r="F38" s="24" t="str">
        <f aca="false">TEXT(AVERAGE(P1_NetFunded_Qtr!E20:F20)/P1_NetFunded_Qtr!D20,"0.00""x""")</f>
        <v>4.22x</v>
      </c>
    </row>
    <row r="39" customFormat="false" ht="15" hidden="false" customHeight="false" outlineLevel="0" collapsed="false">
      <c r="A39" s="9" t="n">
        <v>17</v>
      </c>
      <c r="B39" s="19" t="s">
        <v>192</v>
      </c>
      <c r="C39" s="19" t="s">
        <v>216</v>
      </c>
      <c r="D39" s="19" t="s">
        <v>217</v>
      </c>
      <c r="E39" s="19" t="s">
        <v>218</v>
      </c>
      <c r="F39" s="24" t="str">
        <f aca="false">TEXT(COUNTIF(P1_NetFunded_Qtr!D19:F19,"&lt;0"),"0")&amp;" (Dec-25 ΔR "&amp;TEXT(P1_NetFunded_Qtr!D19,"#,##0;-#,##0;0")&amp;")"</f>
        <v>1 (Dec-25 ΔR -520)</v>
      </c>
    </row>
    <row r="40" customFormat="false" ht="15" hidden="false" customHeight="false" outlineLevel="0" collapsed="false">
      <c r="A40" s="9" t="n">
        <v>18</v>
      </c>
      <c r="B40" s="19" t="s">
        <v>219</v>
      </c>
      <c r="C40" s="19" t="s">
        <v>220</v>
      </c>
      <c r="D40" s="19" t="s">
        <v>221</v>
      </c>
      <c r="E40" s="19" t="s">
        <v>218</v>
      </c>
      <c r="F40" s="24" t="str">
        <f aca="false">"W "&amp;TEXT(P1_NetFunded_Qtr!D24,"0.0%")&amp;" / "&amp;TEXT(P1_NetFunded_Qtr!E24,"0.0%")&amp;" / "&amp;TEXT(P1_NetFunded_Qtr!F24,"0.0%")&amp;"; R "&amp;TEXT(P1_NetFunded_Qtr!D25,"0.0%")&amp;" / "&amp;TEXT(P1_NetFunded_Qtr!E25,"0.0%")&amp;" / "&amp;TEXT(P1_NetFunded_Qtr!F25,"0.0%")</f>
        <v>W 133.4% / 54.9% / 83.5%; R -33.4% / 45.1% / 16.5%</v>
      </c>
    </row>
    <row r="41" customFormat="false" ht="15" hidden="false" customHeight="false" outlineLevel="0" collapsed="false">
      <c r="A41" s="9" t="n">
        <v>19</v>
      </c>
      <c r="B41" s="19" t="s">
        <v>219</v>
      </c>
      <c r="C41" s="19" t="s">
        <v>222</v>
      </c>
      <c r="D41" s="19" t="s">
        <v>223</v>
      </c>
      <c r="E41" s="19" t="s">
        <v>215</v>
      </c>
      <c r="F41" s="24" t="str">
        <f aca="false">"W "&amp;TEXT((P1_NetFunded_Qtr!F7-P1_NetFunded_Qtr!C7)/(P1_NetFunded_Qtr!F9-P1_NetFunded_Qtr!C9),"0.0%")&amp;"; R "&amp;TEXT((P1_NetFunded_Qtr!F8-P1_NetFunded_Qtr!C8)/(P1_NetFunded_Qtr!F9-P1_NetFunded_Qtr!C9),"0.0%")</f>
        <v>W 72.4%; R 27.6%</v>
      </c>
    </row>
    <row r="42" customFormat="false" ht="15" hidden="false" customHeight="false" outlineLevel="0" collapsed="false">
      <c r="A42" s="9" t="n">
        <v>20</v>
      </c>
      <c r="B42" s="19" t="s">
        <v>219</v>
      </c>
      <c r="C42" s="19" t="s">
        <v>224</v>
      </c>
      <c r="D42" s="19" t="s">
        <v>225</v>
      </c>
      <c r="E42" s="19" t="s">
        <v>215</v>
      </c>
      <c r="F42" s="24" t="str">
        <f aca="false">TEXT(((P1_NetFunded_Qtr!F7-P1_NetFunded_Qtr!C7)/(P1_NetFunded_Qtr!F9-P1_NetFunded_Qtr!C9)-P1_NetFunded_Qtr!C15)*100,"+0.0"" pp"";-0.0"" pp"";0.0"" pp""")</f>
        <v>+32.2 pp</v>
      </c>
    </row>
    <row r="43" customFormat="false" ht="15" hidden="false" customHeight="false" outlineLevel="0" collapsed="false">
      <c r="A43" s="9" t="n">
        <v>21</v>
      </c>
      <c r="B43" s="19" t="s">
        <v>226</v>
      </c>
      <c r="C43" s="19" t="s">
        <v>227</v>
      </c>
      <c r="D43" s="19" t="s">
        <v>228</v>
      </c>
      <c r="E43" s="19" t="s">
        <v>198</v>
      </c>
      <c r="F43" s="24" t="str">
        <f aca="false">"W "&amp;TEXT(AVERAGE(P1_NetFunded_Qtr!C7:F7),"#,##0;-#,##0;0")&amp;"; R "&amp;TEXT(AVERAGE(P1_NetFunded_Qtr!C8:F8),"#,##0;-#,##0;0")&amp;"; T "&amp;TEXT(AVERAGE(P1_NetFunded_Qtr!C9:F9),"#,##0;-#,##0;0")</f>
        <v>W 45,257; R 61,839; T 107,096</v>
      </c>
    </row>
    <row r="44" customFormat="false" ht="15" hidden="false" customHeight="false" outlineLevel="0" collapsed="false">
      <c r="A44" s="9" t="n">
        <v>22</v>
      </c>
      <c r="B44" s="19" t="s">
        <v>226</v>
      </c>
      <c r="C44" s="19" t="s">
        <v>229</v>
      </c>
      <c r="D44" s="19" t="s">
        <v>230</v>
      </c>
      <c r="E44" s="19" t="s">
        <v>218</v>
      </c>
      <c r="F44" s="24" t="str">
        <f aca="false">TEXT(P1_NetFunded_Qtr!D33,"#,##0;-#,##0;0")&amp;" / "&amp;TEXT(P1_NetFunded_Qtr!E33,"#,##0;-#,##0;0")&amp;" / "&amp;TEXT(P1_NetFunded_Qtr!F33,"#,##0;-#,##0;0")</f>
        <v>101,307 / 106,309 / 112,886</v>
      </c>
    </row>
    <row r="45" customFormat="false" ht="15" hidden="false" customHeight="false" outlineLevel="0" collapsed="false">
      <c r="A45" s="9" t="n">
        <v>23</v>
      </c>
      <c r="B45" s="19" t="s">
        <v>231</v>
      </c>
      <c r="C45" s="19" t="s">
        <v>232</v>
      </c>
      <c r="D45" s="19" t="s">
        <v>233</v>
      </c>
      <c r="E45" s="19" t="s">
        <v>198</v>
      </c>
      <c r="F45" s="24" t="str">
        <f aca="false">"W "&amp;TEXT(AVERAGE(P1_NetFunded_Qtr!D18:F18),"#,##0;-#,##0;0")&amp;"; R "&amp;TEXT(AVERAGE(P1_NetFunded_Qtr!D19:F19),"#,##0;-#,##0;0")&amp;"; T "&amp;TEXT(AVERAGE(P1_NetFunded_Qtr!D20:F20),"#,##0;-#,##0;0")</f>
        <v>W 3,549; R 1,355; T 4,904</v>
      </c>
    </row>
    <row r="46" customFormat="false" ht="23.85" hidden="false" customHeight="false" outlineLevel="0" collapsed="false">
      <c r="A46" s="9" t="n">
        <v>24</v>
      </c>
      <c r="B46" s="19" t="s">
        <v>231</v>
      </c>
      <c r="C46" s="19" t="s">
        <v>234</v>
      </c>
      <c r="D46" s="19" t="s">
        <v>235</v>
      </c>
      <c r="E46" s="19" t="s">
        <v>236</v>
      </c>
      <c r="F46" s="24" t="str">
        <f aca="false">TEXT(P1_NetFunded_Qtr!F9*(1+P1_NetFunded_Qtr!F23),"#,##0;-#,##0;0")</f>
        <v>120,149</v>
      </c>
    </row>
    <row r="47" customFormat="false" ht="15" hidden="false" customHeight="false" outlineLevel="0" collapsed="false">
      <c r="A47" s="9" t="n">
        <v>25</v>
      </c>
      <c r="B47" s="19" t="s">
        <v>231</v>
      </c>
      <c r="C47" s="19" t="s">
        <v>237</v>
      </c>
      <c r="D47" s="19" t="s">
        <v>238</v>
      </c>
      <c r="E47" s="19" t="s">
        <v>239</v>
      </c>
      <c r="F47" s="24" t="str">
        <f aca="false">TEXT(LN(P1_NetFunded_Qtr!F8/P1_NetFunded_Qtr!F7)/LN(((P1_NetFunded_Qtr!F7/P1_NetFunded_Qtr!C7)^(1/3))/((P1_NetFunded_Qtr!F8/P1_NetFunded_Qtr!C8)^(1/3))),"0.0")&amp;" quarters"</f>
        <v>4.1 quarters</v>
      </c>
    </row>
    <row r="48" customFormat="false" ht="15" hidden="false" customHeight="false" outlineLevel="0" collapsed="false">
      <c r="A48" s="9" t="n">
        <v>26</v>
      </c>
      <c r="B48" s="19" t="s">
        <v>240</v>
      </c>
      <c r="C48" s="19" t="s">
        <v>241</v>
      </c>
      <c r="D48" s="19" t="s">
        <v>242</v>
      </c>
      <c r="E48" s="19" t="s">
        <v>198</v>
      </c>
      <c r="F48" s="24" t="str">
        <f aca="false">"W "&amp;TEXT(STDEV(P1_NetFunded_Qtr!D21:F21),"0.0%")&amp;"; R "&amp;TEXT(STDEV(P1_NetFunded_Qtr!D22:F22),"0.0%")&amp;"; T "&amp;TEXT(STDEV(P1_NetFunded_Qtr!D23:F23),"0.0%")</f>
        <v>W 2.9%; R 3.7%; T 3.4%</v>
      </c>
    </row>
    <row r="49" customFormat="false" ht="15" hidden="false" customHeight="false" outlineLevel="0" collapsed="false">
      <c r="A49" s="9" t="n">
        <v>27</v>
      </c>
      <c r="B49" s="19" t="s">
        <v>240</v>
      </c>
      <c r="C49" s="19" t="s">
        <v>243</v>
      </c>
      <c r="D49" s="19" t="s">
        <v>244</v>
      </c>
      <c r="E49" s="19" t="s">
        <v>215</v>
      </c>
      <c r="F49" s="24" t="str">
        <f aca="false">TEXT(STDEV(P1_NetFunded_Qtr!D20:F20)/AVERAGE(P1_NetFunded_Qtr!D20:F20),"0.00""x""")</f>
        <v>0.70x</v>
      </c>
    </row>
    <row r="50" customFormat="false" ht="15" hidden="false" customHeight="false" outlineLevel="0" collapsed="false">
      <c r="A50" s="9" t="n">
        <v>28</v>
      </c>
      <c r="B50" s="19" t="s">
        <v>240</v>
      </c>
      <c r="C50" s="19" t="s">
        <v>245</v>
      </c>
      <c r="D50" s="19" t="s">
        <v>246</v>
      </c>
      <c r="E50" s="19" t="s">
        <v>183</v>
      </c>
      <c r="F50" s="24" t="str">
        <f aca="false">TEXT(MAX(P1_NetFunded_Qtr!C9:F9),"#,##0;-#,##0;0")&amp;" / "&amp;TEXT(MIN(P1_NetFunded_Qtr!C9:F9),"#,##0;-#,##0;0")</f>
        <v>115,240 / 100,527</v>
      </c>
    </row>
    <row r="51" customFormat="false" ht="15" hidden="false" customHeight="false" outlineLevel="0" collapsed="false">
      <c r="A51" s="9" t="n">
        <v>29</v>
      </c>
      <c r="B51" s="19" t="s">
        <v>240</v>
      </c>
      <c r="C51" s="19" t="s">
        <v>247</v>
      </c>
      <c r="D51" s="19" t="s">
        <v>248</v>
      </c>
      <c r="E51" s="19" t="s">
        <v>249</v>
      </c>
      <c r="F51" s="24" t="str">
        <f aca="false">TEXT(P1_NetFunded_Qtr!D8/P1_NetFunded_Qtr!C8-1,"+0.0%;-0.0%;0.0%")</f>
        <v>-0.9%</v>
      </c>
    </row>
    <row r="52" customFormat="false" ht="15" hidden="false" customHeight="false" outlineLevel="0" collapsed="false">
      <c r="A52" s="9" t="n">
        <v>30</v>
      </c>
      <c r="B52" s="19" t="s">
        <v>250</v>
      </c>
      <c r="C52" s="19" t="s">
        <v>251</v>
      </c>
      <c r="D52" s="19" t="s">
        <v>252</v>
      </c>
      <c r="E52" s="19" t="s">
        <v>183</v>
      </c>
      <c r="F52" s="24" t="str">
        <f aca="false">TEXT(P2_Detailed_Table!E68,"#,##0;-#,##0;0")&amp;" / "&amp;TEXT(P2_Detailed_Table!F68,"#,##0;-#,##0;0")&amp;" / "&amp;TEXT(P2_Detailed_Table!G68,"#,##0;-#,##0;0")&amp;" / "&amp;TEXT(P2_Detailed_Table!H68,"#,##0;-#,##0;0")</f>
        <v>0 / 1,000 / 3,700 / 986</v>
      </c>
    </row>
    <row r="53" customFormat="false" ht="15" hidden="false" customHeight="false" outlineLevel="0" collapsed="false">
      <c r="A53" s="9" t="n">
        <v>31</v>
      </c>
      <c r="B53" s="19" t="s">
        <v>250</v>
      </c>
      <c r="C53" s="19" t="s">
        <v>253</v>
      </c>
      <c r="D53" s="19" t="s">
        <v>254</v>
      </c>
      <c r="E53" s="19" t="s">
        <v>183</v>
      </c>
      <c r="F53" s="24" t="str">
        <f aca="false">TEXT(P2_Detailed_Table!E69,"#,##0;-#,##0;0")&amp;" / "&amp;TEXT(P2_Detailed_Table!F69,"#,##0;-#,##0;0")&amp;" / "&amp;TEXT(P2_Detailed_Table!G69,"#,##0;-#,##0;0")&amp;" / "&amp;TEXT(P2_Detailed_Table!H69,"#,##0;-#,##0;0")&amp;" (0 = chart excludes Null)"</f>
        <v>0 / 0 / 0 / 0 (0 = chart excludes Null)</v>
      </c>
    </row>
    <row r="54" customFormat="false" ht="15" hidden="false" customHeight="false" outlineLevel="0" collapsed="false">
      <c r="A54" s="9" t="n">
        <v>32</v>
      </c>
      <c r="B54" s="19" t="s">
        <v>250</v>
      </c>
      <c r="C54" s="19" t="s">
        <v>255</v>
      </c>
      <c r="D54" s="19" t="s">
        <v>256</v>
      </c>
      <c r="E54" s="19" t="s">
        <v>183</v>
      </c>
      <c r="F54" s="24" t="str">
        <f aca="false">TEXT(P4_Wholesale_Monthly!D9-P1_NetFunded_Qtr!C7,"#,##0;-#,##0;0")&amp;" / "&amp;TEXT(P4_Wholesale_Monthly!G9-P1_NetFunded_Qtr!D7,"#,##0;-#,##0;0")&amp;" / "&amp;TEXT(P4_Wholesale_Monthly!J9-P1_NetFunded_Qtr!E7,"#,##0;-#,##0;0")&amp;" / "&amp;TEXT(P4_Wholesale_Monthly!M9-P1_NetFunded_Qtr!F7,"#,##0;-#,##0;0")</f>
        <v>0 / 0 / 0 / 0</v>
      </c>
    </row>
    <row r="55" customFormat="false" ht="15" hidden="false" customHeight="false" outlineLevel="0" collapsed="false">
      <c r="A55" s="9" t="n">
        <v>33</v>
      </c>
      <c r="B55" s="19" t="s">
        <v>250</v>
      </c>
      <c r="C55" s="19" t="s">
        <v>257</v>
      </c>
      <c r="D55" s="19" t="s">
        <v>258</v>
      </c>
      <c r="E55" s="19" t="s">
        <v>183</v>
      </c>
      <c r="F55" s="24" t="str">
        <f aca="false">TEXT(P3_Retail_Monthly!D7-P1_NetFunded_Qtr!C8,"#,##0;-#,##0;0")&amp;" / "&amp;TEXT(P3_Retail_Monthly!G7-P1_NetFunded_Qtr!D8,"#,##0;-#,##0;0")&amp;" / "&amp;TEXT(P3_Retail_Monthly!J7-P1_NetFunded_Qtr!E8,"#,##0;-#,##0;0")&amp;" / "&amp;TEXT(P3_Retail_Monthly!M7-P1_NetFunded_Qtr!F8,"#,##0;-#,##0;0")</f>
        <v>0 / 0 / 0 / 0</v>
      </c>
    </row>
    <row r="56" customFormat="false" ht="15" hidden="false" customHeight="false" outlineLevel="0" collapsed="false">
      <c r="A56" s="9" t="n">
        <v>34</v>
      </c>
      <c r="B56" s="19" t="s">
        <v>259</v>
      </c>
      <c r="C56" s="19" t="s">
        <v>260</v>
      </c>
      <c r="D56" s="19" t="s">
        <v>261</v>
      </c>
      <c r="E56" s="19" t="s">
        <v>183</v>
      </c>
      <c r="F56" s="24" t="str">
        <f aca="false">TEXT(P1_NetFunded_Qtr!C14,"#,##0;-#,##0;0")&amp;" / "&amp;TEXT(P1_NetFunded_Qtr!D14,"#,##0;-#,##0;0")&amp;" / "&amp;TEXT(P1_NetFunded_Qtr!E14,"#,##0;-#,##0;0")&amp;" / "&amp;TEXT(P1_NetFunded_Qtr!F14,"#,##0;-#,##0;0")&amp;" (±1 = rounding)"</f>
        <v>0 / 0 / 1 / 1 (±1 = rounding)</v>
      </c>
    </row>
    <row r="57" customFormat="false" ht="15" hidden="false" customHeight="false" outlineLevel="0" collapsed="false">
      <c r="A57" s="9" t="n">
        <v>35</v>
      </c>
      <c r="B57" s="19" t="s">
        <v>259</v>
      </c>
      <c r="C57" s="19" t="s">
        <v>262</v>
      </c>
      <c r="D57" s="19" t="s">
        <v>263</v>
      </c>
      <c r="E57" s="19" t="s">
        <v>264</v>
      </c>
      <c r="F57" s="19" t="s">
        <v>265</v>
      </c>
    </row>
    <row r="58" customFormat="false" ht="15" hidden="false" customHeight="false" outlineLevel="0" collapsed="false">
      <c r="A58" s="9" t="n">
        <v>36</v>
      </c>
      <c r="B58" s="19" t="s">
        <v>259</v>
      </c>
      <c r="C58" s="19" t="s">
        <v>266</v>
      </c>
      <c r="D58" s="19" t="s">
        <v>267</v>
      </c>
      <c r="E58" s="19" t="s">
        <v>264</v>
      </c>
      <c r="F58" s="19" t="s">
        <v>268</v>
      </c>
    </row>
    <row r="60" customFormat="false" ht="15" hidden="false" customHeight="false" outlineLevel="0" collapsed="false">
      <c r="A60" s="3" t="s">
        <v>2</v>
      </c>
    </row>
  </sheetData>
  <mergeCells count="13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11" min="9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7" min="17" style="0" width="9"/>
    <col collapsed="false" customWidth="true" hidden="false" outlineLevel="0" max="18" min="18" style="0" width="38"/>
  </cols>
  <sheetData>
    <row r="1" customFormat="false" ht="17.3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2" t="s">
        <v>270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271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35.05" hidden="false" customHeight="false" outlineLevel="0" collapsed="false">
      <c r="A6" s="8" t="s">
        <v>56</v>
      </c>
      <c r="B6" s="8" t="s">
        <v>272</v>
      </c>
      <c r="C6" s="8" t="s">
        <v>273</v>
      </c>
      <c r="D6" s="8" t="s">
        <v>274</v>
      </c>
      <c r="E6" s="8" t="s">
        <v>58</v>
      </c>
      <c r="F6" s="8" t="s">
        <v>59</v>
      </c>
      <c r="G6" s="8" t="s">
        <v>60</v>
      </c>
      <c r="H6" s="8" t="s">
        <v>61</v>
      </c>
      <c r="I6" s="8" t="s">
        <v>275</v>
      </c>
      <c r="J6" s="8" t="s">
        <v>276</v>
      </c>
      <c r="K6" s="8" t="s">
        <v>277</v>
      </c>
      <c r="L6" s="8" t="s">
        <v>278</v>
      </c>
      <c r="M6" s="8" t="s">
        <v>279</v>
      </c>
      <c r="N6" s="8" t="s">
        <v>280</v>
      </c>
      <c r="O6" s="8" t="s">
        <v>281</v>
      </c>
      <c r="P6" s="8" t="s">
        <v>282</v>
      </c>
      <c r="Q6" s="8" t="s">
        <v>283</v>
      </c>
      <c r="R6" s="8" t="s">
        <v>284</v>
      </c>
    </row>
    <row r="7" customFormat="false" ht="15" hidden="false" customHeight="false" outlineLevel="0" collapsed="false">
      <c r="A7" s="9" t="n">
        <v>1</v>
      </c>
      <c r="B7" s="9" t="s">
        <v>63</v>
      </c>
      <c r="C7" s="9" t="s">
        <v>285</v>
      </c>
      <c r="D7" s="9" t="s">
        <v>286</v>
      </c>
      <c r="E7" s="11" t="n">
        <v>11556</v>
      </c>
      <c r="F7" s="11" t="n">
        <v>12413</v>
      </c>
      <c r="G7" s="11" t="n">
        <v>13493</v>
      </c>
      <c r="H7" s="11" t="n">
        <v>15070</v>
      </c>
      <c r="I7" s="13" t="n">
        <f aca="false">IF(OR(E7="",F7="",N(E7)=0),"n/a",F7/E7-1)</f>
        <v>0.0741606092073381</v>
      </c>
      <c r="J7" s="13" t="n">
        <f aca="false">IF(OR(F7="",G7="",N(F7)=0),"n/a",G7/F7-1)</f>
        <v>0.0870055586884717</v>
      </c>
      <c r="K7" s="13" t="n">
        <f aca="false">IF(OR(G7="",H7="",N(G7)=0),"n/a",H7/G7-1)</f>
        <v>0.116875416882828</v>
      </c>
      <c r="L7" s="12" t="n">
        <f aca="false">N(H7)-N(E7)</f>
        <v>3514</v>
      </c>
      <c r="M7" s="13" t="n">
        <f aca="false">IF(OR(E7="",H7="",N(E7)=0),"n/a",H7/E7-1)</f>
        <v>0.304084458290066</v>
      </c>
      <c r="N7" s="13" t="n">
        <f aca="false">IF(H7="","",H7/$H$62)</f>
        <v>0.130771700552764</v>
      </c>
      <c r="O7" s="13" t="n">
        <f aca="false">IF(H7="","",H7/SUMIFS($H$7:$H$42,$B$7:$B$42,B7))</f>
        <v>0.295235483112609</v>
      </c>
      <c r="P7" s="13" t="n">
        <f aca="false">IF(B7="Null","excl.",L7/($H$62-$E$62))</f>
        <v>0.238852637302882</v>
      </c>
      <c r="Q7" s="25" t="n">
        <f aca="false">IF(OR(B7="Null",H7=""),"",RANK(H7,$H$7:$H$41))</f>
        <v>3</v>
      </c>
      <c r="R7" s="9" t="str">
        <f aca="false">IF(B7="Null","Unmapped Null bucket – excluded from chart totals",IF(COUNT(E7:H7)&lt;4,"Partial-period – column placement inferred",IF(AND(ISNUMBER(M7),ABS(M7)&gt;0.5),"Large 9M swing (&gt;±50%)","")))</f>
        <v/>
      </c>
    </row>
    <row r="8" customFormat="false" ht="15" hidden="false" customHeight="false" outlineLevel="0" collapsed="false">
      <c r="A8" s="9" t="n">
        <v>2</v>
      </c>
      <c r="B8" s="9" t="s">
        <v>63</v>
      </c>
      <c r="C8" s="9" t="s">
        <v>285</v>
      </c>
      <c r="D8" s="9" t="s">
        <v>287</v>
      </c>
      <c r="E8" s="11" t="n">
        <v>23</v>
      </c>
      <c r="F8" s="11" t="n">
        <v>145</v>
      </c>
      <c r="G8" s="11" t="n">
        <v>149</v>
      </c>
      <c r="H8" s="11" t="n">
        <v>150</v>
      </c>
      <c r="I8" s="13" t="n">
        <f aca="false">IF(OR(E8="",F8="",N(E8)=0),"n/a",F8/E8-1)</f>
        <v>5.30434782608696</v>
      </c>
      <c r="J8" s="13" t="n">
        <f aca="false">IF(OR(F8="",G8="",N(F8)=0),"n/a",G8/F8-1)</f>
        <v>0.0275862068965518</v>
      </c>
      <c r="K8" s="13" t="n">
        <f aca="false">IF(OR(G8="",H8="",N(G8)=0),"n/a",H8/G8-1)</f>
        <v>0.00671140939597326</v>
      </c>
      <c r="L8" s="12" t="n">
        <f aca="false">N(H8)-N(E8)</f>
        <v>127</v>
      </c>
      <c r="M8" s="13" t="n">
        <f aca="false">IF(OR(E8="",H8="",N(E8)=0),"n/a",H8/E8-1)</f>
        <v>5.52173913043478</v>
      </c>
      <c r="N8" s="13" t="n">
        <f aca="false">IF(H8="","",H8/$H$62)</f>
        <v>0.00130164267305339</v>
      </c>
      <c r="O8" s="13" t="n">
        <f aca="false">IF(H8="","",H8/SUMIFS($H$7:$H$42,$B$7:$B$42,B8))</f>
        <v>0.00293864117232192</v>
      </c>
      <c r="P8" s="13" t="n">
        <f aca="false">IF(B8="Null","excl.",L8/($H$62-$E$62))</f>
        <v>0.00863240891789016</v>
      </c>
      <c r="Q8" s="25" t="n">
        <f aca="false">IF(OR(B8="Null",H8=""),"",RANK(H8,$H$7:$H$41))</f>
        <v>25</v>
      </c>
      <c r="R8" s="9" t="str">
        <f aca="false">IF(B8="Null","Unmapped Null bucket – excluded from chart totals",IF(COUNT(E8:H8)&lt;4,"Partial-period – column placement inferred",IF(AND(ISNUMBER(M8),ABS(M8)&gt;0.5),"Large 9M swing (&gt;±50%)","")))</f>
        <v>Large 9M swing (&gt;±50%)</v>
      </c>
    </row>
    <row r="9" customFormat="false" ht="15" hidden="false" customHeight="false" outlineLevel="0" collapsed="false">
      <c r="A9" s="9" t="n">
        <v>3</v>
      </c>
      <c r="B9" s="9" t="s">
        <v>63</v>
      </c>
      <c r="C9" s="9" t="s">
        <v>285</v>
      </c>
      <c r="D9" s="9" t="s">
        <v>288</v>
      </c>
      <c r="E9" s="11" t="n">
        <v>1536</v>
      </c>
      <c r="F9" s="11" t="n">
        <v>1457</v>
      </c>
      <c r="G9" s="11" t="n">
        <v>1626</v>
      </c>
      <c r="H9" s="11" t="n">
        <v>1654</v>
      </c>
      <c r="I9" s="13" t="n">
        <f aca="false">IF(OR(E9="",F9="",N(E9)=0),"n/a",F9/E9-1)</f>
        <v>-0.0514322916666666</v>
      </c>
      <c r="J9" s="13" t="n">
        <f aca="false">IF(OR(F9="",G9="",N(F9)=0),"n/a",G9/F9-1)</f>
        <v>0.115991763898421</v>
      </c>
      <c r="K9" s="13" t="n">
        <f aca="false">IF(OR(G9="",H9="",N(G9)=0),"n/a",H9/G9-1)</f>
        <v>0.017220172201722</v>
      </c>
      <c r="L9" s="12" t="n">
        <f aca="false">N(H9)-N(E9)</f>
        <v>118</v>
      </c>
      <c r="M9" s="13" t="n">
        <f aca="false">IF(OR(E9="",H9="",N(E9)=0),"n/a",H9/E9-1)</f>
        <v>0.0768229166666667</v>
      </c>
      <c r="N9" s="13" t="n">
        <f aca="false">IF(H9="","",H9/$H$62)</f>
        <v>0.0143527798748688</v>
      </c>
      <c r="O9" s="13" t="n">
        <f aca="false">IF(H9="","",H9/SUMIFS($H$7:$H$42,$B$7:$B$42,B9))</f>
        <v>0.0324034166601364</v>
      </c>
      <c r="P9" s="13" t="n">
        <f aca="false">IF(B9="Null","excl.",L9/($H$62-$E$62))</f>
        <v>0.00802066340402393</v>
      </c>
      <c r="Q9" s="25" t="n">
        <f aca="false">IF(OR(B9="Null",H9=""),"",RANK(H9,$H$7:$H$41))</f>
        <v>16</v>
      </c>
      <c r="R9" s="9" t="str">
        <f aca="false">IF(B9="Null","Unmapped Null bucket – excluded from chart totals",IF(COUNT(E9:H9)&lt;4,"Partial-period – column placement inferred",IF(AND(ISNUMBER(M9),ABS(M9)&gt;0.5),"Large 9M swing (&gt;±50%)","")))</f>
        <v/>
      </c>
    </row>
    <row r="10" customFormat="false" ht="15" hidden="false" customHeight="false" outlineLevel="0" collapsed="false">
      <c r="A10" s="9" t="n">
        <v>4</v>
      </c>
      <c r="B10" s="9" t="s">
        <v>63</v>
      </c>
      <c r="C10" s="9" t="s">
        <v>289</v>
      </c>
      <c r="D10" s="9" t="s">
        <v>290</v>
      </c>
      <c r="E10" s="11"/>
      <c r="F10" s="11" t="n">
        <v>1</v>
      </c>
      <c r="G10" s="11" t="n">
        <v>1</v>
      </c>
      <c r="H10" s="11"/>
      <c r="I10" s="13" t="str">
        <f aca="false">IF(OR(E10="",F10="",N(E10)=0),"n/a",F10/E10-1)</f>
        <v>n/a</v>
      </c>
      <c r="J10" s="13" t="n">
        <f aca="false">IF(OR(F10="",G10="",N(F10)=0),"n/a",G10/F10-1)</f>
        <v>0</v>
      </c>
      <c r="K10" s="13" t="str">
        <f aca="false">IF(OR(G10="",H10="",N(G10)=0),"n/a",H10/G10-1)</f>
        <v>n/a</v>
      </c>
      <c r="L10" s="12" t="n">
        <f aca="false">N(H10)-N(E10)</f>
        <v>0</v>
      </c>
      <c r="M10" s="13" t="str">
        <f aca="false">IF(OR(E10="",H10="",N(E10)=0),"n/a",H10/E10-1)</f>
        <v>n/a</v>
      </c>
      <c r="N10" s="13" t="str">
        <f aca="false">IF(H10="","",H10/$H$62)</f>
        <v/>
      </c>
      <c r="O10" s="13" t="str">
        <f aca="false">IF(H10="","",H10/SUMIFS($H$7:$H$42,$B$7:$B$42,B10))</f>
        <v/>
      </c>
      <c r="P10" s="13" t="n">
        <f aca="false">IF(B10="Null","excl.",L10/($H$62-$E$62))</f>
        <v>0</v>
      </c>
      <c r="Q10" s="25" t="str">
        <f aca="false">IF(OR(B10="Null",H10=""),"",RANK(H10,$H$7:$H$41))</f>
        <v/>
      </c>
      <c r="R10" s="9" t="str">
        <f aca="false">IF(B10="Null","Unmapped Null bucket – excluded from chart totals",IF(COUNT(E10:H10)&lt;4,"Partial-period – column placement inferred",IF(AND(ISNUMBER(M10),ABS(M10)&gt;0.5),"Large 9M swing (&gt;±50%)","")))</f>
        <v>Partial-period – column placement inferred</v>
      </c>
    </row>
    <row r="11" customFormat="false" ht="15" hidden="false" customHeight="false" outlineLevel="0" collapsed="false">
      <c r="A11" s="9" t="n">
        <v>5</v>
      </c>
      <c r="B11" s="9" t="s">
        <v>63</v>
      </c>
      <c r="C11" s="9" t="s">
        <v>289</v>
      </c>
      <c r="D11" s="9" t="s">
        <v>291</v>
      </c>
      <c r="E11" s="11" t="n">
        <v>17696</v>
      </c>
      <c r="F11" s="11" t="n">
        <v>18438</v>
      </c>
      <c r="G11" s="11" t="n">
        <v>19782</v>
      </c>
      <c r="H11" s="11" t="n">
        <v>21812</v>
      </c>
      <c r="I11" s="13" t="n">
        <f aca="false">IF(OR(E11="",F11="",N(E11)=0),"n/a",F11/E11-1)</f>
        <v>0.0419303797468353</v>
      </c>
      <c r="J11" s="13" t="n">
        <f aca="false">IF(OR(F11="",G11="",N(F11)=0),"n/a",G11/F11-1)</f>
        <v>0.0728929384965831</v>
      </c>
      <c r="K11" s="13" t="n">
        <f aca="false">IF(OR(G11="",H11="",N(G11)=0),"n/a",H11/G11-1)</f>
        <v>0.102618542108988</v>
      </c>
      <c r="L11" s="12" t="n">
        <f aca="false">N(H11)-N(E11)</f>
        <v>4116</v>
      </c>
      <c r="M11" s="13" t="n">
        <f aca="false">IF(OR(E11="",H11="",N(E11)=0),"n/a",H11/E11-1)</f>
        <v>0.232594936708861</v>
      </c>
      <c r="N11" s="13" t="n">
        <f aca="false">IF(H11="","",H11/$H$62)</f>
        <v>0.189276199897604</v>
      </c>
      <c r="O11" s="13" t="n">
        <f aca="false">IF(H11="","",H11/SUMIFS($H$7:$H$42,$B$7:$B$42,B11))</f>
        <v>0.427317608337905</v>
      </c>
      <c r="P11" s="13" t="n">
        <f aca="false">IF(B11="Null","excl.",L11/($H$62-$E$62))</f>
        <v>0.279771615008157</v>
      </c>
      <c r="Q11" s="25" t="n">
        <f aca="false">IF(OR(B11="Null",H11=""),"",RANK(H11,$H$7:$H$41))</f>
        <v>1</v>
      </c>
      <c r="R11" s="9" t="str">
        <f aca="false">IF(B11="Null","Unmapped Null bucket – excluded from chart totals",IF(COUNT(E11:H11)&lt;4,"Partial-period – column placement inferred",IF(AND(ISNUMBER(M11),ABS(M11)&gt;0.5),"Large 9M swing (&gt;±50%)","")))</f>
        <v/>
      </c>
    </row>
    <row r="12" customFormat="false" ht="15" hidden="false" customHeight="false" outlineLevel="0" collapsed="false">
      <c r="A12" s="9" t="n">
        <v>6</v>
      </c>
      <c r="B12" s="9" t="s">
        <v>63</v>
      </c>
      <c r="C12" s="9" t="s">
        <v>289</v>
      </c>
      <c r="D12" s="9" t="s">
        <v>292</v>
      </c>
      <c r="E12" s="11" t="n">
        <v>6775</v>
      </c>
      <c r="F12" s="11" t="n">
        <v>6835</v>
      </c>
      <c r="G12" s="11" t="n">
        <v>8195</v>
      </c>
      <c r="H12" s="11" t="n">
        <v>8205</v>
      </c>
      <c r="I12" s="13" t="n">
        <f aca="false">IF(OR(E12="",F12="",N(E12)=0),"n/a",F12/E12-1)</f>
        <v>0.00885608856088571</v>
      </c>
      <c r="J12" s="13" t="n">
        <f aca="false">IF(OR(F12="",G12="",N(F12)=0),"n/a",G12/F12-1)</f>
        <v>0.198975859546452</v>
      </c>
      <c r="K12" s="13" t="n">
        <f aca="false">IF(OR(G12="",H12="",N(G12)=0),"n/a",H12/G12-1)</f>
        <v>0.00122025625381328</v>
      </c>
      <c r="L12" s="12" t="n">
        <f aca="false">N(H12)-N(E12)</f>
        <v>1430</v>
      </c>
      <c r="M12" s="13" t="n">
        <f aca="false">IF(OR(E12="",H12="",N(E12)=0),"n/a",H12/E12-1)</f>
        <v>0.211070110701107</v>
      </c>
      <c r="N12" s="13" t="n">
        <f aca="false">IF(H12="","",H12/$H$62)</f>
        <v>0.0711998542160206</v>
      </c>
      <c r="O12" s="13" t="n">
        <f aca="false">IF(H12="","",H12/SUMIFS($H$7:$H$42,$B$7:$B$42,B12))</f>
        <v>0.160743672126009</v>
      </c>
      <c r="P12" s="13" t="n">
        <f aca="false">IF(B12="Null","excl.",L12/($H$62-$E$62))</f>
        <v>0.0971995649809679</v>
      </c>
      <c r="Q12" s="25" t="n">
        <f aca="false">IF(OR(B12="Null",H12=""),"",RANK(H12,$H$7:$H$41))</f>
        <v>6</v>
      </c>
      <c r="R12" s="9" t="str">
        <f aca="false">IF(B12="Null","Unmapped Null bucket – excluded from chart totals",IF(COUNT(E12:H12)&lt;4,"Partial-period – column placement inferred",IF(AND(ISNUMBER(M12),ABS(M12)&gt;0.5),"Large 9M swing (&gt;±50%)","")))</f>
        <v/>
      </c>
    </row>
    <row r="13" customFormat="false" ht="15" hidden="false" customHeight="false" outlineLevel="0" collapsed="false">
      <c r="A13" s="9" t="n">
        <v>7</v>
      </c>
      <c r="B13" s="9" t="s">
        <v>63</v>
      </c>
      <c r="C13" s="9" t="s">
        <v>289</v>
      </c>
      <c r="D13" s="9" t="s">
        <v>293</v>
      </c>
      <c r="E13" s="11"/>
      <c r="F13" s="11" t="n">
        <v>7</v>
      </c>
      <c r="G13" s="11" t="n">
        <v>7</v>
      </c>
      <c r="H13" s="11" t="n">
        <v>0</v>
      </c>
      <c r="I13" s="13" t="str">
        <f aca="false">IF(OR(E13="",F13="",N(E13)=0),"n/a",F13/E13-1)</f>
        <v>n/a</v>
      </c>
      <c r="J13" s="13" t="n">
        <f aca="false">IF(OR(F13="",G13="",N(F13)=0),"n/a",G13/F13-1)</f>
        <v>0</v>
      </c>
      <c r="K13" s="13" t="n">
        <f aca="false">IF(OR(G13="",H13="",N(G13)=0),"n/a",H13/G13-1)</f>
        <v>-1</v>
      </c>
      <c r="L13" s="12" t="n">
        <f aca="false">N(H13)-N(E13)</f>
        <v>0</v>
      </c>
      <c r="M13" s="13" t="str">
        <f aca="false">IF(OR(E13="",H13="",N(E13)=0),"n/a",H13/E13-1)</f>
        <v>n/a</v>
      </c>
      <c r="N13" s="13" t="n">
        <f aca="false">IF(H13="","",H13/$H$62)</f>
        <v>0</v>
      </c>
      <c r="O13" s="13" t="n">
        <f aca="false">IF(H13="","",H13/SUMIFS($H$7:$H$42,$B$7:$B$42,B13))</f>
        <v>0</v>
      </c>
      <c r="P13" s="13" t="n">
        <f aca="false">IF(B13="Null","excl.",L13/($H$62-$E$62))</f>
        <v>0</v>
      </c>
      <c r="Q13" s="25" t="n">
        <f aca="false">IF(OR(B13="Null",H13=""),"",RANK(H13,$H$7:$H$41))</f>
        <v>32</v>
      </c>
      <c r="R13" s="9" t="str">
        <f aca="false">IF(B13="Null","Unmapped Null bucket – excluded from chart totals",IF(COUNT(E13:H13)&lt;4,"Partial-period – column placement inferred",IF(AND(ISNUMBER(M13),ABS(M13)&gt;0.5),"Large 9M swing (&gt;±50%)","")))</f>
        <v>Partial-period – column placement inferred</v>
      </c>
    </row>
    <row r="14" customFormat="false" ht="15" hidden="false" customHeight="false" outlineLevel="0" collapsed="false">
      <c r="A14" s="9" t="n">
        <v>8</v>
      </c>
      <c r="B14" s="9" t="s">
        <v>63</v>
      </c>
      <c r="C14" s="9" t="s">
        <v>289</v>
      </c>
      <c r="D14" s="9" t="s">
        <v>294</v>
      </c>
      <c r="E14" s="11" t="n">
        <v>3</v>
      </c>
      <c r="F14" s="11"/>
      <c r="G14" s="11"/>
      <c r="H14" s="11"/>
      <c r="I14" s="13" t="str">
        <f aca="false">IF(OR(E14="",F14="",N(E14)=0),"n/a",F14/E14-1)</f>
        <v>n/a</v>
      </c>
      <c r="J14" s="13" t="str">
        <f aca="false">IF(OR(F14="",G14="",N(F14)=0),"n/a",G14/F14-1)</f>
        <v>n/a</v>
      </c>
      <c r="K14" s="13" t="str">
        <f aca="false">IF(OR(G14="",H14="",N(G14)=0),"n/a",H14/G14-1)</f>
        <v>n/a</v>
      </c>
      <c r="L14" s="12" t="n">
        <f aca="false">N(H14)-N(E14)</f>
        <v>-3</v>
      </c>
      <c r="M14" s="13" t="str">
        <f aca="false">IF(OR(E14="",H14="",N(E14)=0),"n/a",H14/E14-1)</f>
        <v>n/a</v>
      </c>
      <c r="N14" s="13" t="str">
        <f aca="false">IF(H14="","",H14/$H$62)</f>
        <v/>
      </c>
      <c r="O14" s="13" t="str">
        <f aca="false">IF(H14="","",H14/SUMIFS($H$7:$H$42,$B$7:$B$42,B14))</f>
        <v/>
      </c>
      <c r="P14" s="13" t="n">
        <f aca="false">IF(B14="Null","excl.",L14/($H$62-$E$62))</f>
        <v>-0.000203915171288744</v>
      </c>
      <c r="Q14" s="25" t="str">
        <f aca="false">IF(OR(B14="Null",H14=""),"",RANK(H14,$H$7:$H$41))</f>
        <v/>
      </c>
      <c r="R14" s="9" t="str">
        <f aca="false">IF(B14="Null","Unmapped Null bucket – excluded from chart totals",IF(COUNT(E14:H14)&lt;4,"Partial-period – column placement inferred",IF(AND(ISNUMBER(M14),ABS(M14)&gt;0.5),"Large 9M swing (&gt;±50%)","")))</f>
        <v>Partial-period – column placement inferred</v>
      </c>
    </row>
    <row r="15" customFormat="false" ht="15" hidden="false" customHeight="false" outlineLevel="0" collapsed="false">
      <c r="A15" s="9" t="n">
        <v>9</v>
      </c>
      <c r="B15" s="9" t="s">
        <v>63</v>
      </c>
      <c r="C15" s="9" t="s">
        <v>289</v>
      </c>
      <c r="D15" s="9" t="s">
        <v>295</v>
      </c>
      <c r="E15" s="11" t="n">
        <v>2698</v>
      </c>
      <c r="F15" s="11" t="n">
        <v>2901</v>
      </c>
      <c r="G15" s="11" t="n">
        <v>3540</v>
      </c>
      <c r="H15" s="11" t="n">
        <v>4008</v>
      </c>
      <c r="I15" s="13" t="n">
        <f aca="false">IF(OR(E15="",F15="",N(E15)=0),"n/a",F15/E15-1)</f>
        <v>0.075240919199407</v>
      </c>
      <c r="J15" s="13" t="n">
        <f aca="false">IF(OR(F15="",G15="",N(F15)=0),"n/a",G15/F15-1)</f>
        <v>0.220268872802482</v>
      </c>
      <c r="K15" s="13" t="n">
        <f aca="false">IF(OR(G15="",H15="",N(G15)=0),"n/a",H15/G15-1)</f>
        <v>0.132203389830508</v>
      </c>
      <c r="L15" s="12" t="n">
        <f aca="false">N(H15)-N(E15)</f>
        <v>1310</v>
      </c>
      <c r="M15" s="13" t="n">
        <f aca="false">IF(OR(E15="",H15="",N(E15)=0),"n/a",H15/E15-1)</f>
        <v>0.485544848035582</v>
      </c>
      <c r="N15" s="13" t="n">
        <f aca="false">IF(H15="","",H15/$H$62)</f>
        <v>0.0347798922239867</v>
      </c>
      <c r="O15" s="13" t="n">
        <f aca="false">IF(H15="","",H15/SUMIFS($H$7:$H$42,$B$7:$B$42,B15))</f>
        <v>0.0785204921244417</v>
      </c>
      <c r="P15" s="13" t="n">
        <f aca="false">IF(B15="Null","excl.",L15/($H$62-$E$62))</f>
        <v>0.0890429581294182</v>
      </c>
      <c r="Q15" s="25" t="n">
        <f aca="false">IF(OR(B15="Null",H15=""),"",RANK(H15,$H$7:$H$41))</f>
        <v>8</v>
      </c>
      <c r="R15" s="9" t="str">
        <f aca="false">IF(B15="Null","Unmapped Null bucket – excluded from chart totals",IF(COUNT(E15:H15)&lt;4,"Partial-period – column placement inferred",IF(AND(ISNUMBER(M15),ABS(M15)&gt;0.5),"Large 9M swing (&gt;±50%)","")))</f>
        <v/>
      </c>
    </row>
    <row r="16" customFormat="false" ht="15" hidden="false" customHeight="false" outlineLevel="0" collapsed="false">
      <c r="A16" s="9" t="n">
        <v>10</v>
      </c>
      <c r="B16" s="9" t="s">
        <v>63</v>
      </c>
      <c r="C16" s="9" t="s">
        <v>289</v>
      </c>
      <c r="D16" s="9" t="s">
        <v>296</v>
      </c>
      <c r="E16" s="11" t="n">
        <v>108</v>
      </c>
      <c r="F16" s="11" t="n">
        <v>277</v>
      </c>
      <c r="G16" s="11" t="n">
        <v>322</v>
      </c>
      <c r="H16" s="11" t="n">
        <v>145</v>
      </c>
      <c r="I16" s="13" t="n">
        <f aca="false">IF(OR(E16="",F16="",N(E16)=0),"n/a",F16/E16-1)</f>
        <v>1.56481481481481</v>
      </c>
      <c r="J16" s="13" t="n">
        <f aca="false">IF(OR(F16="",G16="",N(F16)=0),"n/a",G16/F16-1)</f>
        <v>0.162454873646209</v>
      </c>
      <c r="K16" s="13" t="n">
        <f aca="false">IF(OR(G16="",H16="",N(G16)=0),"n/a",H16/G16-1)</f>
        <v>-0.549689440993789</v>
      </c>
      <c r="L16" s="12" t="n">
        <f aca="false">N(H16)-N(E16)</f>
        <v>37</v>
      </c>
      <c r="M16" s="13" t="n">
        <f aca="false">IF(OR(E16="",H16="",N(E16)=0),"n/a",H16/E16-1)</f>
        <v>0.342592592592593</v>
      </c>
      <c r="N16" s="13" t="n">
        <f aca="false">IF(H16="","",H16/$H$62)</f>
        <v>0.00125825458395161</v>
      </c>
      <c r="O16" s="13" t="n">
        <f aca="false">IF(H16="","",H16/SUMIFS($H$7:$H$42,$B$7:$B$42,B16))</f>
        <v>0.00284068646657785</v>
      </c>
      <c r="P16" s="13" t="n">
        <f aca="false">IF(B16="Null","excl.",L16/($H$62-$E$62))</f>
        <v>0.00251495377922784</v>
      </c>
      <c r="Q16" s="25" t="n">
        <f aca="false">IF(OR(B16="Null",H16=""),"",RANK(H16,$H$7:$H$41))</f>
        <v>26</v>
      </c>
      <c r="R16" s="9" t="str">
        <f aca="false">IF(B16="Null","Unmapped Null bucket – excluded from chart totals",IF(COUNT(E16:H16)&lt;4,"Partial-period – column placement inferred",IF(AND(ISNUMBER(M16),ABS(M16)&gt;0.5),"Large 9M swing (&gt;±50%)","")))</f>
        <v/>
      </c>
    </row>
    <row r="17" customFormat="false" ht="15" hidden="false" customHeight="false" outlineLevel="0" collapsed="false">
      <c r="A17" s="9" t="n">
        <v>11</v>
      </c>
      <c r="B17" s="9" t="s">
        <v>65</v>
      </c>
      <c r="C17" s="9" t="s">
        <v>297</v>
      </c>
      <c r="D17" s="9" t="s">
        <v>298</v>
      </c>
      <c r="E17" s="11" t="n">
        <v>1760</v>
      </c>
      <c r="F17" s="11" t="n">
        <v>1987</v>
      </c>
      <c r="G17" s="11" t="n">
        <v>2307</v>
      </c>
      <c r="H17" s="11" t="n">
        <v>2501</v>
      </c>
      <c r="I17" s="13" t="n">
        <f aca="false">IF(OR(E17="",F17="",N(E17)=0),"n/a",F17/E17-1)</f>
        <v>0.128977272727273</v>
      </c>
      <c r="J17" s="13" t="n">
        <f aca="false">IF(OR(F17="",G17="",N(F17)=0),"n/a",G17/F17-1)</f>
        <v>0.161046804227479</v>
      </c>
      <c r="K17" s="13" t="n">
        <f aca="false">IF(OR(G17="",H17="",N(G17)=0),"n/a",H17/G17-1)</f>
        <v>0.0840918942349371</v>
      </c>
      <c r="L17" s="12" t="n">
        <f aca="false">N(H17)-N(E17)</f>
        <v>741</v>
      </c>
      <c r="M17" s="13" t="n">
        <f aca="false">IF(OR(E17="",H17="",N(E17)=0),"n/a",H17/E17-1)</f>
        <v>0.421022727272727</v>
      </c>
      <c r="N17" s="13" t="n">
        <f aca="false">IF(H17="","",H17/$H$62)</f>
        <v>0.0217027221687102</v>
      </c>
      <c r="O17" s="13" t="n">
        <f aca="false">IF(H17="","",H17/SUMIFS($H$7:$H$42,$B$7:$B$42,B17))</f>
        <v>0.0389594205156165</v>
      </c>
      <c r="P17" s="13" t="n">
        <f aca="false">IF(B17="Null","excl.",L17/($H$62-$E$62))</f>
        <v>0.0503670473083197</v>
      </c>
      <c r="Q17" s="25" t="n">
        <f aca="false">IF(OR(B17="Null",H17=""),"",RANK(H17,$H$7:$H$41))</f>
        <v>13</v>
      </c>
      <c r="R17" s="9" t="str">
        <f aca="false">IF(B17="Null","Unmapped Null bucket – excluded from chart totals",IF(COUNT(E17:H17)&lt;4,"Partial-period – column placement inferred",IF(AND(ISNUMBER(M17),ABS(M17)&gt;0.5),"Large 9M swing (&gt;±50%)","")))</f>
        <v/>
      </c>
    </row>
    <row r="18" customFormat="false" ht="15" hidden="false" customHeight="false" outlineLevel="0" collapsed="false">
      <c r="A18" s="9" t="n">
        <v>12</v>
      </c>
      <c r="B18" s="9" t="s">
        <v>65</v>
      </c>
      <c r="C18" s="9" t="s">
        <v>297</v>
      </c>
      <c r="D18" s="9" t="s">
        <v>299</v>
      </c>
      <c r="E18" s="11" t="n">
        <v>1175</v>
      </c>
      <c r="F18" s="11" t="n">
        <v>1223</v>
      </c>
      <c r="G18" s="11" t="n">
        <v>1186</v>
      </c>
      <c r="H18" s="11" t="n">
        <v>1218</v>
      </c>
      <c r="I18" s="13" t="n">
        <f aca="false">IF(OR(E18="",F18="",N(E18)=0),"n/a",F18/E18-1)</f>
        <v>0.0408510638297872</v>
      </c>
      <c r="J18" s="13" t="n">
        <f aca="false">IF(OR(F18="",G18="",N(F18)=0),"n/a",G18/F18-1)</f>
        <v>-0.0302534750613246</v>
      </c>
      <c r="K18" s="13" t="n">
        <f aca="false">IF(OR(G18="",H18="",N(G18)=0),"n/a",H18/G18-1)</f>
        <v>0.0269814502529511</v>
      </c>
      <c r="L18" s="12" t="n">
        <f aca="false">N(H18)-N(E18)</f>
        <v>43</v>
      </c>
      <c r="M18" s="13" t="n">
        <f aca="false">IF(OR(E18="",H18="",N(E18)=0),"n/a",H18/E18-1)</f>
        <v>0.0365957446808511</v>
      </c>
      <c r="N18" s="13" t="n">
        <f aca="false">IF(H18="","",H18/$H$62)</f>
        <v>0.0105693385051936</v>
      </c>
      <c r="O18" s="13" t="n">
        <f aca="false">IF(H18="","",H18/SUMIFS($H$7:$H$42,$B$7:$B$42,B18))</f>
        <v>0.0189734402990887</v>
      </c>
      <c r="P18" s="13" t="n">
        <f aca="false">IF(B18="Null","excl.",L18/($H$62-$E$62))</f>
        <v>0.00292278412180533</v>
      </c>
      <c r="Q18" s="25" t="n">
        <f aca="false">IF(OR(B18="Null",H18=""),"",RANK(H18,$H$7:$H$41))</f>
        <v>18</v>
      </c>
      <c r="R18" s="9" t="str">
        <f aca="false">IF(B18="Null","Unmapped Null bucket – excluded from chart totals",IF(COUNT(E18:H18)&lt;4,"Partial-period – column placement inferred",IF(AND(ISNUMBER(M18),ABS(M18)&gt;0.5),"Large 9M swing (&gt;±50%)","")))</f>
        <v/>
      </c>
    </row>
    <row r="19" customFormat="false" ht="15" hidden="false" customHeight="false" outlineLevel="0" collapsed="false">
      <c r="A19" s="9" t="n">
        <v>13</v>
      </c>
      <c r="B19" s="9" t="s">
        <v>65</v>
      </c>
      <c r="C19" s="9" t="s">
        <v>297</v>
      </c>
      <c r="D19" s="9" t="s">
        <v>300</v>
      </c>
      <c r="E19" s="11" t="n">
        <v>1008</v>
      </c>
      <c r="F19" s="11" t="n">
        <v>962</v>
      </c>
      <c r="G19" s="11" t="n">
        <v>938</v>
      </c>
      <c r="H19" s="11" t="n">
        <v>890</v>
      </c>
      <c r="I19" s="13" t="n">
        <f aca="false">IF(OR(E19="",F19="",N(E19)=0),"n/a",F19/E19-1)</f>
        <v>-0.0456349206349206</v>
      </c>
      <c r="J19" s="13" t="n">
        <f aca="false">IF(OR(F19="",G19="",N(F19)=0),"n/a",G19/F19-1)</f>
        <v>-0.024948024948025</v>
      </c>
      <c r="K19" s="13" t="n">
        <f aca="false">IF(OR(G19="",H19="",N(G19)=0),"n/a",H19/G19-1)</f>
        <v>-0.0511727078891258</v>
      </c>
      <c r="L19" s="12" t="n">
        <f aca="false">N(H19)-N(E19)</f>
        <v>-118</v>
      </c>
      <c r="M19" s="13" t="n">
        <f aca="false">IF(OR(E19="",H19="",N(E19)=0),"n/a",H19/E19-1)</f>
        <v>-0.117063492063492</v>
      </c>
      <c r="N19" s="13" t="n">
        <f aca="false">IF(H19="","",H19/$H$62)</f>
        <v>0.0077230798601168</v>
      </c>
      <c r="O19" s="13" t="n">
        <f aca="false">IF(H19="","",H19/SUMIFS($H$7:$H$42,$B$7:$B$42,B19))</f>
        <v>0.0138640081003193</v>
      </c>
      <c r="P19" s="13" t="n">
        <f aca="false">IF(B19="Null","excl.",L19/($H$62-$E$62))</f>
        <v>-0.00802066340402393</v>
      </c>
      <c r="Q19" s="25" t="n">
        <f aca="false">IF(OR(B19="Null",H19=""),"",RANK(H19,$H$7:$H$41))</f>
        <v>20</v>
      </c>
      <c r="R19" s="9" t="str">
        <f aca="false">IF(B19="Null","Unmapped Null bucket – excluded from chart totals",IF(COUNT(E19:H19)&lt;4,"Partial-period – column placement inferred",IF(AND(ISNUMBER(M19),ABS(M19)&gt;0.5),"Large 9M swing (&gt;±50%)","")))</f>
        <v/>
      </c>
    </row>
    <row r="20" customFormat="false" ht="15" hidden="false" customHeight="false" outlineLevel="0" collapsed="false">
      <c r="A20" s="9" t="n">
        <v>14</v>
      </c>
      <c r="B20" s="9" t="s">
        <v>65</v>
      </c>
      <c r="C20" s="9" t="s">
        <v>297</v>
      </c>
      <c r="D20" s="9" t="s">
        <v>301</v>
      </c>
      <c r="E20" s="11" t="n">
        <v>4553</v>
      </c>
      <c r="F20" s="11" t="n">
        <v>4528</v>
      </c>
      <c r="G20" s="11" t="n">
        <v>4399</v>
      </c>
      <c r="H20" s="11" t="n">
        <v>4321</v>
      </c>
      <c r="I20" s="13" t="n">
        <f aca="false">IF(OR(E20="",F20="",N(E20)=0),"n/a",F20/E20-1)</f>
        <v>-0.00549088513068308</v>
      </c>
      <c r="J20" s="13" t="n">
        <f aca="false">IF(OR(F20="",G20="",N(F20)=0),"n/a",G20/F20-1)</f>
        <v>-0.0284893992932862</v>
      </c>
      <c r="K20" s="13" t="n">
        <f aca="false">IF(OR(G20="",H20="",N(G20)=0),"n/a",H20/G20-1)</f>
        <v>-0.0177313025687657</v>
      </c>
      <c r="L20" s="12" t="n">
        <f aca="false">N(H20)-N(E20)</f>
        <v>-232</v>
      </c>
      <c r="M20" s="13" t="n">
        <f aca="false">IF(OR(E20="",H20="",N(E20)=0),"n/a",H20/E20-1)</f>
        <v>-0.0509554140127388</v>
      </c>
      <c r="N20" s="13" t="n">
        <f aca="false">IF(H20="","",H20/$H$62)</f>
        <v>0.0374959866017581</v>
      </c>
      <c r="O20" s="13" t="n">
        <f aca="false">IF(H20="","",H20/SUMIFS($H$7:$H$42,$B$7:$B$42,B20))</f>
        <v>0.06731053820391</v>
      </c>
      <c r="P20" s="13" t="n">
        <f aca="false">IF(B20="Null","excl.",L20/($H$62-$E$62))</f>
        <v>-0.0157694399129962</v>
      </c>
      <c r="Q20" s="25" t="n">
        <f aca="false">IF(OR(B20="Null",H20=""),"",RANK(H20,$H$7:$H$41))</f>
        <v>7</v>
      </c>
      <c r="R20" s="9" t="str">
        <f aca="false">IF(B20="Null","Unmapped Null bucket – excluded from chart totals",IF(COUNT(E20:H20)&lt;4,"Partial-period – column placement inferred",IF(AND(ISNUMBER(M20),ABS(M20)&gt;0.5),"Large 9M swing (&gt;±50%)","")))</f>
        <v/>
      </c>
    </row>
    <row r="21" customFormat="false" ht="15" hidden="false" customHeight="false" outlineLevel="0" collapsed="false">
      <c r="A21" s="9" t="n">
        <v>15</v>
      </c>
      <c r="B21" s="9" t="s">
        <v>65</v>
      </c>
      <c r="C21" s="9" t="s">
        <v>302</v>
      </c>
      <c r="D21" s="9" t="s">
        <v>303</v>
      </c>
      <c r="E21" s="11" t="n">
        <v>393</v>
      </c>
      <c r="F21" s="11" t="n">
        <v>462</v>
      </c>
      <c r="G21" s="11" t="n">
        <v>473</v>
      </c>
      <c r="H21" s="11" t="n">
        <v>476</v>
      </c>
      <c r="I21" s="13" t="n">
        <f aca="false">IF(OR(E21="",F21="",N(E21)=0),"n/a",F21/E21-1)</f>
        <v>0.175572519083969</v>
      </c>
      <c r="J21" s="13" t="n">
        <f aca="false">IF(OR(F21="",G21="",N(F21)=0),"n/a",G21/F21-1)</f>
        <v>0.0238095238095237</v>
      </c>
      <c r="K21" s="13" t="n">
        <f aca="false">IF(OR(G21="",H21="",N(G21)=0),"n/a",H21/G21-1)</f>
        <v>0.00634249471458781</v>
      </c>
      <c r="L21" s="12" t="n">
        <f aca="false">N(H21)-N(E21)</f>
        <v>83</v>
      </c>
      <c r="M21" s="13" t="n">
        <f aca="false">IF(OR(E21="",H21="",N(E21)=0),"n/a",H21/E21-1)</f>
        <v>0.211195928753181</v>
      </c>
      <c r="N21" s="13" t="n">
        <f aca="false">IF(H21="","",H21/$H$62)</f>
        <v>0.00413054608248944</v>
      </c>
      <c r="O21" s="13" t="n">
        <f aca="false">IF(H21="","",H21/SUMIFS($H$7:$H$42,$B$7:$B$42,B21))</f>
        <v>0.00741490770309214</v>
      </c>
      <c r="P21" s="13" t="n">
        <f aca="false">IF(B21="Null","excl.",L21/($H$62-$E$62))</f>
        <v>0.00564165307232191</v>
      </c>
      <c r="Q21" s="25" t="n">
        <f aca="false">IF(OR(B21="Null",H21=""),"",RANK(H21,$H$7:$H$41))</f>
        <v>22</v>
      </c>
      <c r="R21" s="9" t="str">
        <f aca="false">IF(B21="Null","Unmapped Null bucket – excluded from chart totals",IF(COUNT(E21:H21)&lt;4,"Partial-period – column placement inferred",IF(AND(ISNUMBER(M21),ABS(M21)&gt;0.5),"Large 9M swing (&gt;±50%)","")))</f>
        <v/>
      </c>
    </row>
    <row r="22" customFormat="false" ht="15" hidden="false" customHeight="false" outlineLevel="0" collapsed="false">
      <c r="A22" s="9" t="n">
        <v>16</v>
      </c>
      <c r="B22" s="9" t="s">
        <v>65</v>
      </c>
      <c r="C22" s="9" t="s">
        <v>302</v>
      </c>
      <c r="D22" s="9" t="s">
        <v>304</v>
      </c>
      <c r="E22" s="11" t="n">
        <v>1742</v>
      </c>
      <c r="F22" s="11" t="n">
        <v>2169</v>
      </c>
      <c r="G22" s="11" t="n">
        <v>2103</v>
      </c>
      <c r="H22" s="11" t="n">
        <v>1990</v>
      </c>
      <c r="I22" s="13" t="n">
        <f aca="false">IF(OR(E22="",F22="",N(E22)=0),"n/a",F22/E22-1)</f>
        <v>0.2451205510907</v>
      </c>
      <c r="J22" s="13" t="n">
        <f aca="false">IF(OR(F22="",G22="",N(F22)=0),"n/a",G22/F22-1)</f>
        <v>-0.0304287690179806</v>
      </c>
      <c r="K22" s="13" t="n">
        <f aca="false">IF(OR(G22="",H22="",N(G22)=0),"n/a",H22/G22-1)</f>
        <v>-0.0537327627199239</v>
      </c>
      <c r="L22" s="12" t="n">
        <f aca="false">N(H22)-N(E22)</f>
        <v>248</v>
      </c>
      <c r="M22" s="13" t="n">
        <f aca="false">IF(OR(E22="",H22="",N(E22)=0),"n/a",H22/E22-1)</f>
        <v>0.142365097588978</v>
      </c>
      <c r="N22" s="13" t="n">
        <f aca="false">IF(H22="","",H22/$H$62)</f>
        <v>0.0172684594625084</v>
      </c>
      <c r="O22" s="13" t="n">
        <f aca="false">IF(H22="","",H22/SUMIFS($H$7:$H$42,$B$7:$B$42,B22))</f>
        <v>0.0309992990108264</v>
      </c>
      <c r="P22" s="13" t="n">
        <f aca="false">IF(B22="Null","excl.",L22/($H$62-$E$62))</f>
        <v>0.0168569874932028</v>
      </c>
      <c r="Q22" s="25" t="n">
        <f aca="false">IF(OR(B22="Null",H22=""),"",RANK(H22,$H$7:$H$41))</f>
        <v>14</v>
      </c>
      <c r="R22" s="9" t="str">
        <f aca="false">IF(B22="Null","Unmapped Null bucket – excluded from chart totals",IF(COUNT(E22:H22)&lt;4,"Partial-period – column placement inferred",IF(AND(ISNUMBER(M22),ABS(M22)&gt;0.5),"Large 9M swing (&gt;±50%)","")))</f>
        <v/>
      </c>
    </row>
    <row r="23" customFormat="false" ht="15" hidden="false" customHeight="false" outlineLevel="0" collapsed="false">
      <c r="A23" s="9" t="n">
        <v>17</v>
      </c>
      <c r="B23" s="9" t="s">
        <v>65</v>
      </c>
      <c r="C23" s="9" t="s">
        <v>302</v>
      </c>
      <c r="D23" s="9" t="s">
        <v>305</v>
      </c>
      <c r="E23" s="11" t="n">
        <v>8230</v>
      </c>
      <c r="F23" s="11" t="n">
        <v>8942</v>
      </c>
      <c r="G23" s="11" t="n">
        <v>9936</v>
      </c>
      <c r="H23" s="11" t="n">
        <v>10306</v>
      </c>
      <c r="I23" s="13" t="n">
        <f aca="false">IF(OR(E23="",F23="",N(E23)=0),"n/a",F23/E23-1)</f>
        <v>0.0865127582017011</v>
      </c>
      <c r="J23" s="13" t="n">
        <f aca="false">IF(OR(F23="",G23="",N(F23)=0),"n/a",G23/F23-1)</f>
        <v>0.11116081413554</v>
      </c>
      <c r="K23" s="13" t="n">
        <f aca="false">IF(OR(G23="",H23="",N(G23)=0),"n/a",H23/G23-1)</f>
        <v>0.0372383252818036</v>
      </c>
      <c r="L23" s="12" t="n">
        <f aca="false">N(H23)-N(E23)</f>
        <v>2076</v>
      </c>
      <c r="M23" s="13" t="n">
        <f aca="false">IF(OR(E23="",H23="",N(E23)=0),"n/a",H23/E23-1)</f>
        <v>0.25224787363305</v>
      </c>
      <c r="N23" s="13" t="n">
        <f aca="false">IF(H23="","",H23/$H$62)</f>
        <v>0.0894315292565885</v>
      </c>
      <c r="O23" s="13" t="n">
        <f aca="false">IF(H23="","",H23/SUMIFS($H$7:$H$42,$B$7:$B$42,B23))</f>
        <v>0.16054209829426</v>
      </c>
      <c r="P23" s="13" t="n">
        <f aca="false">IF(B23="Null","excl.",L23/($H$62-$E$62))</f>
        <v>0.141109298531811</v>
      </c>
      <c r="Q23" s="25" t="n">
        <f aca="false">IF(OR(B23="Null",H23=""),"",RANK(H23,$H$7:$H$41))</f>
        <v>4</v>
      </c>
      <c r="R23" s="9" t="str">
        <f aca="false">IF(B23="Null","Unmapped Null bucket – excluded from chart totals",IF(COUNT(E23:H23)&lt;4,"Partial-period – column placement inferred",IF(AND(ISNUMBER(M23),ABS(M23)&gt;0.5),"Large 9M swing (&gt;±50%)","")))</f>
        <v/>
      </c>
    </row>
    <row r="24" customFormat="false" ht="15" hidden="false" customHeight="false" outlineLevel="0" collapsed="false">
      <c r="A24" s="9" t="n">
        <v>18</v>
      </c>
      <c r="B24" s="9" t="s">
        <v>65</v>
      </c>
      <c r="C24" s="9" t="s">
        <v>302</v>
      </c>
      <c r="D24" s="9" t="s">
        <v>306</v>
      </c>
      <c r="E24" s="11" t="n">
        <v>581</v>
      </c>
      <c r="F24" s="11" t="n">
        <v>750</v>
      </c>
      <c r="G24" s="11" t="n">
        <v>916</v>
      </c>
      <c r="H24" s="11" t="n">
        <v>999</v>
      </c>
      <c r="I24" s="13" t="n">
        <f aca="false">IF(OR(E24="",F24="",N(E24)=0),"n/a",F24/E24-1)</f>
        <v>0.290877796901893</v>
      </c>
      <c r="J24" s="13" t="n">
        <f aca="false">IF(OR(F24="",G24="",N(F24)=0),"n/a",G24/F24-1)</f>
        <v>0.221333333333333</v>
      </c>
      <c r="K24" s="13" t="n">
        <f aca="false">IF(OR(G24="",H24="",N(G24)=0),"n/a",H24/G24-1)</f>
        <v>0.0906113537117903</v>
      </c>
      <c r="L24" s="12" t="n">
        <f aca="false">N(H24)-N(E24)</f>
        <v>418</v>
      </c>
      <c r="M24" s="13" t="n">
        <f aca="false">IF(OR(E24="",H24="",N(E24)=0),"n/a",H24/E24-1)</f>
        <v>0.719449225473322</v>
      </c>
      <c r="N24" s="13" t="n">
        <f aca="false">IF(H24="","",H24/$H$62)</f>
        <v>0.0086689402025356</v>
      </c>
      <c r="O24" s="13" t="n">
        <f aca="false">IF(H24="","",H24/SUMIFS($H$7:$H$42,$B$7:$B$42,B24))</f>
        <v>0.0155619596541787</v>
      </c>
      <c r="P24" s="13" t="n">
        <f aca="false">IF(B24="Null","excl.",L24/($H$62-$E$62))</f>
        <v>0.0284121805328983</v>
      </c>
      <c r="Q24" s="25" t="n">
        <f aca="false">IF(OR(B24="Null",H24=""),"",RANK(H24,$H$7:$H$41))</f>
        <v>19</v>
      </c>
      <c r="R24" s="9" t="str">
        <f aca="false">IF(B24="Null","Unmapped Null bucket – excluded from chart totals",IF(COUNT(E24:H24)&lt;4,"Partial-period – column placement inferred",IF(AND(ISNUMBER(M24),ABS(M24)&gt;0.5),"Large 9M swing (&gt;±50%)","")))</f>
        <v>Large 9M swing (&gt;±50%)</v>
      </c>
    </row>
    <row r="25" customFormat="false" ht="15" hidden="false" customHeight="false" outlineLevel="0" collapsed="false">
      <c r="A25" s="9" t="n">
        <v>19</v>
      </c>
      <c r="B25" s="9" t="s">
        <v>65</v>
      </c>
      <c r="C25" s="9" t="s">
        <v>307</v>
      </c>
      <c r="D25" s="9" t="s">
        <v>308</v>
      </c>
      <c r="E25" s="11" t="n">
        <v>676</v>
      </c>
      <c r="F25" s="11" t="n">
        <v>933</v>
      </c>
      <c r="G25" s="11" t="n">
        <v>1348</v>
      </c>
      <c r="H25" s="11" t="n">
        <v>1441</v>
      </c>
      <c r="I25" s="13" t="n">
        <f aca="false">IF(OR(E25="",F25="",N(E25)=0),"n/a",F25/E25-1)</f>
        <v>0.380177514792899</v>
      </c>
      <c r="J25" s="13" t="n">
        <f aca="false">IF(OR(F25="",G25="",N(F25)=0),"n/a",G25/F25-1)</f>
        <v>0.444801714898178</v>
      </c>
      <c r="K25" s="13" t="n">
        <f aca="false">IF(OR(G25="",H25="",N(G25)=0),"n/a",H25/G25-1)</f>
        <v>0.0689910979228487</v>
      </c>
      <c r="L25" s="12" t="n">
        <f aca="false">N(H25)-N(E25)</f>
        <v>765</v>
      </c>
      <c r="M25" s="13" t="n">
        <f aca="false">IF(OR(E25="",H25="",N(E25)=0),"n/a",H25/E25-1)</f>
        <v>1.13165680473373</v>
      </c>
      <c r="N25" s="13" t="n">
        <f aca="false">IF(H25="","",H25/$H$62)</f>
        <v>0.0125044472791329</v>
      </c>
      <c r="O25" s="13" t="n">
        <f aca="false">IF(H25="","",H25/SUMIFS($H$7:$H$42,$B$7:$B$42,B25))</f>
        <v>0.0224472310927642</v>
      </c>
      <c r="P25" s="13" t="n">
        <f aca="false">IF(B25="Null","excl.",L25/($H$62-$E$62))</f>
        <v>0.0519983686786297</v>
      </c>
      <c r="Q25" s="25" t="n">
        <f aca="false">IF(OR(B25="Null",H25=""),"",RANK(H25,$H$7:$H$41))</f>
        <v>17</v>
      </c>
      <c r="R25" s="9" t="str">
        <f aca="false">IF(B25="Null","Unmapped Null bucket – excluded from chart totals",IF(COUNT(E25:H25)&lt;4,"Partial-period – column placement inferred",IF(AND(ISNUMBER(M25),ABS(M25)&gt;0.5),"Large 9M swing (&gt;±50%)","")))</f>
        <v>Large 9M swing (&gt;±50%)</v>
      </c>
    </row>
    <row r="26" customFormat="false" ht="15" hidden="false" customHeight="false" outlineLevel="0" collapsed="false">
      <c r="A26" s="9" t="n">
        <v>20</v>
      </c>
      <c r="B26" s="9" t="s">
        <v>65</v>
      </c>
      <c r="C26" s="9" t="s">
        <v>307</v>
      </c>
      <c r="D26" s="9" t="s">
        <v>309</v>
      </c>
      <c r="E26" s="11" t="n">
        <v>1544</v>
      </c>
      <c r="F26" s="11" t="n">
        <v>2423</v>
      </c>
      <c r="G26" s="11" t="n">
        <v>2907</v>
      </c>
      <c r="H26" s="11" t="n">
        <v>2965</v>
      </c>
      <c r="I26" s="13" t="n">
        <f aca="false">IF(OR(E26="",F26="",N(E26)=0),"n/a",F26/E26-1)</f>
        <v>0.569300518134715</v>
      </c>
      <c r="J26" s="13" t="n">
        <f aca="false">IF(OR(F26="",G26="",N(F26)=0),"n/a",G26/F26-1)</f>
        <v>0.199752373091209</v>
      </c>
      <c r="K26" s="13" t="n">
        <f aca="false">IF(OR(G26="",H26="",N(G26)=0),"n/a",H26/G26-1)</f>
        <v>0.019951840385277</v>
      </c>
      <c r="L26" s="12" t="n">
        <f aca="false">N(H26)-N(E26)</f>
        <v>1421</v>
      </c>
      <c r="M26" s="13" t="n">
        <f aca="false">IF(OR(E26="",H26="",N(E26)=0),"n/a",H26/E26-1)</f>
        <v>0.920336787564767</v>
      </c>
      <c r="N26" s="13" t="n">
        <f aca="false">IF(H26="","",H26/$H$62)</f>
        <v>0.0257291368373554</v>
      </c>
      <c r="O26" s="13" t="n">
        <f aca="false">IF(H26="","",H26/SUMIFS($H$7:$H$42,$B$7:$B$42,B26))</f>
        <v>0.0461873977724122</v>
      </c>
      <c r="P26" s="13" t="n">
        <f aca="false">IF(B26="Null","excl.",L26/($H$62-$E$62))</f>
        <v>0.0965878194671017</v>
      </c>
      <c r="Q26" s="25" t="n">
        <f aca="false">IF(OR(B26="Null",H26=""),"",RANK(H26,$H$7:$H$41))</f>
        <v>11</v>
      </c>
      <c r="R26" s="9" t="str">
        <f aca="false">IF(B26="Null","Unmapped Null bucket – excluded from chart totals",IF(COUNT(E26:H26)&lt;4,"Partial-period – column placement inferred",IF(AND(ISNUMBER(M26),ABS(M26)&gt;0.5),"Large 9M swing (&gt;±50%)","")))</f>
        <v>Large 9M swing (&gt;±50%)</v>
      </c>
    </row>
    <row r="27" customFormat="false" ht="15" hidden="false" customHeight="false" outlineLevel="0" collapsed="false">
      <c r="A27" s="9" t="n">
        <v>21</v>
      </c>
      <c r="B27" s="9" t="s">
        <v>65</v>
      </c>
      <c r="C27" s="9" t="s">
        <v>310</v>
      </c>
      <c r="D27" s="9" t="s">
        <v>311</v>
      </c>
      <c r="E27" s="11" t="n">
        <v>47</v>
      </c>
      <c r="F27" s="11" t="n">
        <v>39</v>
      </c>
      <c r="G27" s="11" t="n">
        <v>33</v>
      </c>
      <c r="H27" s="11" t="n">
        <v>28</v>
      </c>
      <c r="I27" s="13" t="n">
        <f aca="false">IF(OR(E27="",F27="",N(E27)=0),"n/a",F27/E27-1)</f>
        <v>-0.170212765957447</v>
      </c>
      <c r="J27" s="13" t="n">
        <f aca="false">IF(OR(F27="",G27="",N(F27)=0),"n/a",G27/F27-1)</f>
        <v>-0.153846153846154</v>
      </c>
      <c r="K27" s="13" t="n">
        <f aca="false">IF(OR(G27="",H27="",N(G27)=0),"n/a",H27/G27-1)</f>
        <v>-0.151515151515152</v>
      </c>
      <c r="L27" s="12" t="n">
        <f aca="false">N(H27)-N(E27)</f>
        <v>-19</v>
      </c>
      <c r="M27" s="13" t="n">
        <f aca="false">IF(OR(E27="",H27="",N(E27)=0),"n/a",H27/E27-1)</f>
        <v>-0.404255319148936</v>
      </c>
      <c r="N27" s="13" t="n">
        <f aca="false">IF(H27="","",H27/$H$62)</f>
        <v>0.000242973298969967</v>
      </c>
      <c r="O27" s="13" t="n">
        <f aca="false">IF(H27="","",H27/SUMIFS($H$7:$H$42,$B$7:$B$42,B27))</f>
        <v>0.000436171041358361</v>
      </c>
      <c r="P27" s="13" t="n">
        <f aca="false">IF(B27="Null","excl.",L27/($H$62-$E$62))</f>
        <v>-0.00129146275149538</v>
      </c>
      <c r="Q27" s="25" t="n">
        <f aca="false">IF(OR(B27="Null",H27=""),"",RANK(H27,$H$7:$H$41))</f>
        <v>30</v>
      </c>
      <c r="R27" s="9" t="str">
        <f aca="false">IF(B27="Null","Unmapped Null bucket – excluded from chart totals",IF(COUNT(E27:H27)&lt;4,"Partial-period – column placement inferred",IF(AND(ISNUMBER(M27),ABS(M27)&gt;0.5),"Large 9M swing (&gt;±50%)","")))</f>
        <v/>
      </c>
    </row>
    <row r="28" customFormat="false" ht="15" hidden="false" customHeight="false" outlineLevel="0" collapsed="false">
      <c r="A28" s="9" t="n">
        <v>22</v>
      </c>
      <c r="B28" s="9" t="s">
        <v>65</v>
      </c>
      <c r="C28" s="9" t="s">
        <v>310</v>
      </c>
      <c r="D28" s="9" t="s">
        <v>312</v>
      </c>
      <c r="E28" s="11" t="n">
        <v>1580</v>
      </c>
      <c r="F28" s="11" t="n">
        <v>1598</v>
      </c>
      <c r="G28" s="11" t="n">
        <v>1716</v>
      </c>
      <c r="H28" s="11" t="n">
        <v>1715</v>
      </c>
      <c r="I28" s="13" t="n">
        <f aca="false">IF(OR(E28="",F28="",N(E28)=0),"n/a",F28/E28-1)</f>
        <v>0.0113924050632912</v>
      </c>
      <c r="J28" s="13" t="n">
        <f aca="false">IF(OR(F28="",G28="",N(F28)=0),"n/a",G28/F28-1)</f>
        <v>0.0738423028785982</v>
      </c>
      <c r="K28" s="13" t="n">
        <f aca="false">IF(OR(G28="",H28="",N(G28)=0),"n/a",H28/G28-1)</f>
        <v>-0.000582750582750591</v>
      </c>
      <c r="L28" s="12" t="n">
        <f aca="false">N(H28)-N(E28)</f>
        <v>135</v>
      </c>
      <c r="M28" s="13" t="n">
        <f aca="false">IF(OR(E28="",H28="",N(E28)=0),"n/a",H28/E28-1)</f>
        <v>0.0854430379746836</v>
      </c>
      <c r="N28" s="13" t="n">
        <f aca="false">IF(H28="","",H28/$H$62)</f>
        <v>0.0148821145619105</v>
      </c>
      <c r="O28" s="13" t="n">
        <f aca="false">IF(H28="","",H28/SUMIFS($H$7:$H$42,$B$7:$B$42,B28))</f>
        <v>0.0267154762831996</v>
      </c>
      <c r="P28" s="13" t="n">
        <f aca="false">IF(B28="Null","excl.",L28/($H$62-$E$62))</f>
        <v>0.00917618270799347</v>
      </c>
      <c r="Q28" s="25" t="n">
        <f aca="false">IF(OR(B28="Null",H28=""),"",RANK(H28,$H$7:$H$41))</f>
        <v>15</v>
      </c>
      <c r="R28" s="9" t="str">
        <f aca="false">IF(B28="Null","Unmapped Null bucket – excluded from chart totals",IF(COUNT(E28:H28)&lt;4,"Partial-period – column placement inferred",IF(AND(ISNUMBER(M28),ABS(M28)&gt;0.5),"Large 9M swing (&gt;±50%)","")))</f>
        <v/>
      </c>
    </row>
    <row r="29" customFormat="false" ht="15" hidden="false" customHeight="false" outlineLevel="0" collapsed="false">
      <c r="A29" s="9" t="n">
        <v>23</v>
      </c>
      <c r="B29" s="9" t="s">
        <v>65</v>
      </c>
      <c r="C29" s="9" t="s">
        <v>310</v>
      </c>
      <c r="D29" s="9" t="s">
        <v>313</v>
      </c>
      <c r="E29" s="11" t="n">
        <v>2044</v>
      </c>
      <c r="F29" s="11" t="n">
        <v>2307</v>
      </c>
      <c r="G29" s="11" t="n">
        <v>2820</v>
      </c>
      <c r="H29" s="11" t="n">
        <v>2852</v>
      </c>
      <c r="I29" s="13" t="n">
        <f aca="false">IF(OR(E29="",F29="",N(E29)=0),"n/a",F29/E29-1)</f>
        <v>0.12866927592955</v>
      </c>
      <c r="J29" s="13" t="n">
        <f aca="false">IF(OR(F29="",G29="",N(F29)=0),"n/a",G29/F29-1)</f>
        <v>0.222366710013004</v>
      </c>
      <c r="K29" s="13" t="n">
        <f aca="false">IF(OR(G29="",H29="",N(G29)=0),"n/a",H29/G29-1)</f>
        <v>0.0113475177304965</v>
      </c>
      <c r="L29" s="12" t="n">
        <f aca="false">N(H29)-N(E29)</f>
        <v>808</v>
      </c>
      <c r="M29" s="13" t="n">
        <f aca="false">IF(OR(E29="",H29="",N(E29)=0),"n/a",H29/E29-1)</f>
        <v>0.395303326810176</v>
      </c>
      <c r="N29" s="13" t="n">
        <f aca="false">IF(H29="","",H29/$H$62)</f>
        <v>0.0247485660236552</v>
      </c>
      <c r="O29" s="13" t="n">
        <f aca="false">IF(H29="","",H29/SUMIFS($H$7:$H$42,$B$7:$B$42,B29))</f>
        <v>0.0444271360697874</v>
      </c>
      <c r="P29" s="13" t="n">
        <f aca="false">IF(B29="Null","excl.",L29/($H$62-$E$62))</f>
        <v>0.054921152800435</v>
      </c>
      <c r="Q29" s="25" t="n">
        <f aca="false">IF(OR(B29="Null",H29=""),"",RANK(H29,$H$7:$H$41))</f>
        <v>12</v>
      </c>
      <c r="R29" s="9" t="str">
        <f aca="false">IF(B29="Null","Unmapped Null bucket – excluded from chart totals",IF(COUNT(E29:H29)&lt;4,"Partial-period – column placement inferred",IF(AND(ISNUMBER(M29),ABS(M29)&gt;0.5),"Large 9M swing (&gt;±50%)","")))</f>
        <v/>
      </c>
    </row>
    <row r="30" customFormat="false" ht="15" hidden="false" customHeight="false" outlineLevel="0" collapsed="false">
      <c r="A30" s="9" t="n">
        <v>24</v>
      </c>
      <c r="B30" s="9" t="s">
        <v>65</v>
      </c>
      <c r="C30" s="9" t="s">
        <v>314</v>
      </c>
      <c r="D30" s="9" t="s">
        <v>315</v>
      </c>
      <c r="E30" s="11" t="n">
        <v>17197</v>
      </c>
      <c r="F30" s="11" t="n">
        <v>16690</v>
      </c>
      <c r="G30" s="11" t="n">
        <v>16250</v>
      </c>
      <c r="H30" s="11" t="n">
        <v>16040</v>
      </c>
      <c r="I30" s="13" t="n">
        <f aca="false">IF(OR(E30="",F30="",N(E30)=0),"n/a",F30/E30-1)</f>
        <v>-0.0294818863755306</v>
      </c>
      <c r="J30" s="13" t="n">
        <f aca="false">IF(OR(F30="",G30="",N(F30)=0),"n/a",G30/F30-1)</f>
        <v>-0.0263630916716596</v>
      </c>
      <c r="K30" s="13" t="n">
        <f aca="false">IF(OR(G30="",H30="",N(G30)=0),"n/a",H30/G30-1)</f>
        <v>-0.0129230769230769</v>
      </c>
      <c r="L30" s="12" t="n">
        <f aca="false">N(H30)-N(E30)</f>
        <v>-1157</v>
      </c>
      <c r="M30" s="13" t="n">
        <f aca="false">IF(OR(E30="",H30="",N(E30)=0),"n/a",H30/E30-1)</f>
        <v>-0.0672791766005698</v>
      </c>
      <c r="N30" s="13" t="n">
        <f aca="false">IF(H30="","",H30/$H$62)</f>
        <v>0.13918898983851</v>
      </c>
      <c r="O30" s="13" t="n">
        <f aca="false">IF(H30="","",H30/SUMIFS($H$7:$H$42,$B$7:$B$42,B30))</f>
        <v>0.249863696549576</v>
      </c>
      <c r="P30" s="13" t="n">
        <f aca="false">IF(B30="Null","excl.",L30/($H$62-$E$62))</f>
        <v>-0.0786432843936922</v>
      </c>
      <c r="Q30" s="25" t="n">
        <f aca="false">IF(OR(B30="Null",H30=""),"",RANK(H30,$H$7:$H$41))</f>
        <v>2</v>
      </c>
      <c r="R30" s="9" t="str">
        <f aca="false">IF(B30="Null","Unmapped Null bucket – excluded from chart totals",IF(COUNT(E30:H30)&lt;4,"Partial-period – column placement inferred",IF(AND(ISNUMBER(M30),ABS(M30)&gt;0.5),"Large 9M swing (&gt;±50%)","")))</f>
        <v/>
      </c>
    </row>
    <row r="31" customFormat="false" ht="15" hidden="false" customHeight="false" outlineLevel="0" collapsed="false">
      <c r="A31" s="9" t="n">
        <v>25</v>
      </c>
      <c r="B31" s="9" t="s">
        <v>65</v>
      </c>
      <c r="C31" s="9" t="s">
        <v>314</v>
      </c>
      <c r="D31" s="9" t="s">
        <v>316</v>
      </c>
      <c r="E31" s="11" t="n">
        <v>3260</v>
      </c>
      <c r="F31" s="11" t="n">
        <v>3211</v>
      </c>
      <c r="G31" s="11" t="n">
        <v>3327</v>
      </c>
      <c r="H31" s="11" t="n">
        <v>3281</v>
      </c>
      <c r="I31" s="13" t="n">
        <f aca="false">IF(OR(E31="",F31="",N(E31)=0),"n/a",F31/E31-1)</f>
        <v>-0.0150306748466258</v>
      </c>
      <c r="J31" s="13" t="n">
        <f aca="false">IF(OR(F31="",G31="",N(F31)=0),"n/a",G31/F31-1)</f>
        <v>0.0361258175023358</v>
      </c>
      <c r="K31" s="13" t="n">
        <f aca="false">IF(OR(G31="",H31="",N(G31)=0),"n/a",H31/G31-1)</f>
        <v>-0.0138262699128344</v>
      </c>
      <c r="L31" s="12" t="n">
        <f aca="false">N(H31)-N(E31)</f>
        <v>21</v>
      </c>
      <c r="M31" s="13" t="n">
        <f aca="false">IF(OR(E31="",H31="",N(E31)=0),"n/a",H31/E31-1)</f>
        <v>0.00644171779141112</v>
      </c>
      <c r="N31" s="13" t="n">
        <f aca="false">IF(H31="","",H31/$H$62)</f>
        <v>0.0284712640685879</v>
      </c>
      <c r="O31" s="13" t="n">
        <f aca="false">IF(H31="","",H31/SUMIFS($H$7:$H$42,$B$7:$B$42,B31))</f>
        <v>0.0511098995248851</v>
      </c>
      <c r="P31" s="13" t="n">
        <f aca="false">IF(B31="Null","excl.",L31/($H$62-$E$62))</f>
        <v>0.00142740619902121</v>
      </c>
      <c r="Q31" s="25" t="n">
        <f aca="false">IF(OR(B31="Null",H31=""),"",RANK(H31,$H$7:$H$41))</f>
        <v>10</v>
      </c>
      <c r="R31" s="9" t="str">
        <f aca="false">IF(B31="Null","Unmapped Null bucket – excluded from chart totals",IF(COUNT(E31:H31)&lt;4,"Partial-period – column placement inferred",IF(AND(ISNUMBER(M31),ABS(M31)&gt;0.5),"Large 9M swing (&gt;±50%)","")))</f>
        <v/>
      </c>
    </row>
    <row r="32" customFormat="false" ht="15" hidden="false" customHeight="false" outlineLevel="0" collapsed="false">
      <c r="A32" s="9" t="n">
        <v>26</v>
      </c>
      <c r="B32" s="9" t="s">
        <v>65</v>
      </c>
      <c r="C32" s="9" t="s">
        <v>317</v>
      </c>
      <c r="D32" s="9" t="s">
        <v>317</v>
      </c>
      <c r="E32" s="11" t="n">
        <v>5885</v>
      </c>
      <c r="F32" s="11" t="n">
        <v>6692</v>
      </c>
      <c r="G32" s="11" t="n">
        <v>7771</v>
      </c>
      <c r="H32" s="11" t="n">
        <v>8216</v>
      </c>
      <c r="I32" s="13" t="n">
        <f aca="false">IF(OR(E32="",F32="",N(E32)=0),"n/a",F32/E32-1)</f>
        <v>0.137128292268479</v>
      </c>
      <c r="J32" s="13" t="n">
        <f aca="false">IF(OR(F32="",G32="",N(F32)=0),"n/a",G32/F32-1)</f>
        <v>0.161237298266587</v>
      </c>
      <c r="K32" s="13" t="n">
        <f aca="false">IF(OR(G32="",H32="",N(G32)=0),"n/a",H32/G32-1)</f>
        <v>0.0572641873632738</v>
      </c>
      <c r="L32" s="12" t="n">
        <f aca="false">N(H32)-N(E32)</f>
        <v>2331</v>
      </c>
      <c r="M32" s="13" t="n">
        <f aca="false">IF(OR(E32="",H32="",N(E32)=0),"n/a",H32/E32-1)</f>
        <v>0.396091758708581</v>
      </c>
      <c r="N32" s="13" t="n">
        <f aca="false">IF(H32="","",H32/$H$62)</f>
        <v>0.0712953080120445</v>
      </c>
      <c r="O32" s="13" t="n">
        <f aca="false">IF(H32="","",H32/SUMIFS($H$7:$H$42,$B$7:$B$42,B32))</f>
        <v>0.127985045564296</v>
      </c>
      <c r="P32" s="13" t="n">
        <f aca="false">IF(B32="Null","excl.",L32/($H$62-$E$62))</f>
        <v>0.158442088091354</v>
      </c>
      <c r="Q32" s="25" t="n">
        <f aca="false">IF(OR(B32="Null",H32=""),"",RANK(H32,$H$7:$H$41))</f>
        <v>5</v>
      </c>
      <c r="R32" s="9" t="str">
        <f aca="false">IF(B32="Null","Unmapped Null bucket – excluded from chart totals",IF(COUNT(E32:H32)&lt;4,"Partial-period – column placement inferred",IF(AND(ISNUMBER(M32),ABS(M32)&gt;0.5),"Large 9M swing (&gt;±50%)","")))</f>
        <v/>
      </c>
    </row>
    <row r="33" customFormat="false" ht="15" hidden="false" customHeight="false" outlineLevel="0" collapsed="false">
      <c r="A33" s="9" t="n">
        <v>27</v>
      </c>
      <c r="B33" s="9" t="s">
        <v>65</v>
      </c>
      <c r="C33" s="9" t="s">
        <v>318</v>
      </c>
      <c r="D33" s="9" t="s">
        <v>319</v>
      </c>
      <c r="E33" s="11" t="n">
        <v>5</v>
      </c>
      <c r="F33" s="11" t="n">
        <v>4</v>
      </c>
      <c r="G33" s="11" t="n">
        <v>5</v>
      </c>
      <c r="H33" s="11" t="n">
        <v>4</v>
      </c>
      <c r="I33" s="13" t="n">
        <f aca="false">IF(OR(E33="",F33="",N(E33)=0),"n/a",F33/E33-1)</f>
        <v>-0.2</v>
      </c>
      <c r="J33" s="13" t="n">
        <f aca="false">IF(OR(F33="",G33="",N(F33)=0),"n/a",G33/F33-1)</f>
        <v>0.25</v>
      </c>
      <c r="K33" s="13" t="n">
        <f aca="false">IF(OR(G33="",H33="",N(G33)=0),"n/a",H33/G33-1)</f>
        <v>-0.2</v>
      </c>
      <c r="L33" s="12" t="n">
        <f aca="false">N(H33)-N(E33)</f>
        <v>-1</v>
      </c>
      <c r="M33" s="13" t="n">
        <f aca="false">IF(OR(E33="",H33="",N(E33)=0),"n/a",H33/E33-1)</f>
        <v>-0.2</v>
      </c>
      <c r="N33" s="13" t="n">
        <f aca="false">IF(H33="","",H33/$H$62)</f>
        <v>3.47104712814238E-005</v>
      </c>
      <c r="O33" s="13" t="n">
        <f aca="false">IF(H33="","",H33/SUMIFS($H$7:$H$42,$B$7:$B$42,B33))</f>
        <v>6.23101487654802E-005</v>
      </c>
      <c r="P33" s="13" t="n">
        <f aca="false">IF(B33="Null","excl.",L33/($H$62-$E$62))</f>
        <v>-6.79717237629146E-005</v>
      </c>
      <c r="Q33" s="25" t="n">
        <f aca="false">IF(OR(B33="Null",H33=""),"",RANK(H33,$H$7:$H$41))</f>
        <v>31</v>
      </c>
      <c r="R33" s="9" t="str">
        <f aca="false">IF(B33="Null","Unmapped Null bucket – excluded from chart totals",IF(COUNT(E33:H33)&lt;4,"Partial-period – column placement inferred",IF(AND(ISNUMBER(M33),ABS(M33)&gt;0.5),"Large 9M swing (&gt;±50%)","")))</f>
        <v/>
      </c>
    </row>
    <row r="34" customFormat="false" ht="15" hidden="false" customHeight="false" outlineLevel="0" collapsed="false">
      <c r="A34" s="9" t="n">
        <v>28</v>
      </c>
      <c r="B34" s="9" t="s">
        <v>65</v>
      </c>
      <c r="C34" s="9" t="s">
        <v>318</v>
      </c>
      <c r="D34" s="9" t="s">
        <v>320</v>
      </c>
      <c r="E34" s="11" t="n">
        <v>41</v>
      </c>
      <c r="F34" s="11" t="n">
        <v>43</v>
      </c>
      <c r="G34" s="11" t="n">
        <v>43</v>
      </c>
      <c r="H34" s="11" t="n">
        <v>39</v>
      </c>
      <c r="I34" s="13" t="n">
        <f aca="false">IF(OR(E34="",F34="",N(E34)=0),"n/a",F34/E34-1)</f>
        <v>0.0487804878048781</v>
      </c>
      <c r="J34" s="13" t="n">
        <f aca="false">IF(OR(F34="",G34="",N(F34)=0),"n/a",G34/F34-1)</f>
        <v>0</v>
      </c>
      <c r="K34" s="13" t="n">
        <f aca="false">IF(OR(G34="",H34="",N(G34)=0),"n/a",H34/G34-1)</f>
        <v>-0.0930232558139535</v>
      </c>
      <c r="L34" s="12" t="n">
        <f aca="false">N(H34)-N(E34)</f>
        <v>-2</v>
      </c>
      <c r="M34" s="13" t="n">
        <f aca="false">IF(OR(E34="",H34="",N(E34)=0),"n/a",H34/E34-1)</f>
        <v>-0.0487804878048781</v>
      </c>
      <c r="N34" s="13" t="n">
        <f aca="false">IF(H34="","",H34/$H$62)</f>
        <v>0.000338427094993882</v>
      </c>
      <c r="O34" s="13" t="n">
        <f aca="false">IF(H34="","",H34/SUMIFS($H$7:$H$42,$B$7:$B$42,B34))</f>
        <v>0.000607523950463432</v>
      </c>
      <c r="P34" s="13" t="n">
        <f aca="false">IF(B34="Null","excl.",L34/($H$62-$E$62))</f>
        <v>-0.000135943447525829</v>
      </c>
      <c r="Q34" s="25" t="n">
        <f aca="false">IF(OR(B34="Null",H34=""),"",RANK(H34,$H$7:$H$41))</f>
        <v>28</v>
      </c>
      <c r="R34" s="9" t="str">
        <f aca="false">IF(B34="Null","Unmapped Null bucket – excluded from chart totals",IF(COUNT(E34:H34)&lt;4,"Partial-period – column placement inferred",IF(AND(ISNUMBER(M34),ABS(M34)&gt;0.5),"Large 9M swing (&gt;±50%)","")))</f>
        <v/>
      </c>
    </row>
    <row r="35" customFormat="false" ht="15" hidden="false" customHeight="false" outlineLevel="0" collapsed="false">
      <c r="A35" s="9" t="n">
        <v>29</v>
      </c>
      <c r="B35" s="9" t="s">
        <v>65</v>
      </c>
      <c r="C35" s="9" t="s">
        <v>318</v>
      </c>
      <c r="D35" s="9" t="s">
        <v>321</v>
      </c>
      <c r="E35" s="11" t="n">
        <v>24</v>
      </c>
      <c r="F35" s="11" t="n">
        <v>27</v>
      </c>
      <c r="G35" s="11" t="n">
        <v>30</v>
      </c>
      <c r="H35" s="11" t="n">
        <v>33</v>
      </c>
      <c r="I35" s="13" t="n">
        <f aca="false">IF(OR(E35="",F35="",N(E35)=0),"n/a",F35/E35-1)</f>
        <v>0.125</v>
      </c>
      <c r="J35" s="13" t="n">
        <f aca="false">IF(OR(F35="",G35="",N(F35)=0),"n/a",G35/F35-1)</f>
        <v>0.111111111111111</v>
      </c>
      <c r="K35" s="13" t="n">
        <f aca="false">IF(OR(G35="",H35="",N(G35)=0),"n/a",H35/G35-1)</f>
        <v>0.1</v>
      </c>
      <c r="L35" s="12" t="n">
        <f aca="false">N(H35)-N(E35)</f>
        <v>9</v>
      </c>
      <c r="M35" s="13" t="n">
        <f aca="false">IF(OR(E35="",H35="",N(E35)=0),"n/a",H35/E35-1)</f>
        <v>0.375</v>
      </c>
      <c r="N35" s="13" t="n">
        <f aca="false">IF(H35="","",H35/$H$62)</f>
        <v>0.000286361388071747</v>
      </c>
      <c r="O35" s="13" t="n">
        <f aca="false">IF(H35="","",H35/SUMIFS($H$7:$H$42,$B$7:$B$42,B35))</f>
        <v>0.000514058727315212</v>
      </c>
      <c r="P35" s="13" t="n">
        <f aca="false">IF(B35="Null","excl.",L35/($H$62-$E$62))</f>
        <v>0.000611745513866232</v>
      </c>
      <c r="Q35" s="25" t="n">
        <f aca="false">IF(OR(B35="Null",H35=""),"",RANK(H35,$H$7:$H$41))</f>
        <v>29</v>
      </c>
      <c r="R35" s="9" t="str">
        <f aca="false">IF(B35="Null","Unmapped Null bucket – excluded from chart totals",IF(COUNT(E35:H35)&lt;4,"Partial-period – column placement inferred",IF(AND(ISNUMBER(M35),ABS(M35)&gt;0.5),"Large 9M swing (&gt;±50%)","")))</f>
        <v/>
      </c>
    </row>
    <row r="36" customFormat="false" ht="15" hidden="false" customHeight="false" outlineLevel="0" collapsed="false">
      <c r="A36" s="9" t="n">
        <v>30</v>
      </c>
      <c r="B36" s="9" t="s">
        <v>65</v>
      </c>
      <c r="C36" s="9" t="s">
        <v>318</v>
      </c>
      <c r="D36" s="9" t="s">
        <v>322</v>
      </c>
      <c r="E36" s="11"/>
      <c r="F36" s="11"/>
      <c r="G36" s="11"/>
      <c r="H36" s="11" t="n">
        <v>0</v>
      </c>
      <c r="I36" s="13" t="str">
        <f aca="false">IF(OR(E36="",F36="",N(E36)=0),"n/a",F36/E36-1)</f>
        <v>n/a</v>
      </c>
      <c r="J36" s="13" t="str">
        <f aca="false">IF(OR(F36="",G36="",N(F36)=0),"n/a",G36/F36-1)</f>
        <v>n/a</v>
      </c>
      <c r="K36" s="13" t="str">
        <f aca="false">IF(OR(G36="",H36="",N(G36)=0),"n/a",H36/G36-1)</f>
        <v>n/a</v>
      </c>
      <c r="L36" s="12" t="n">
        <f aca="false">N(H36)-N(E36)</f>
        <v>0</v>
      </c>
      <c r="M36" s="13" t="str">
        <f aca="false">IF(OR(E36="",H36="",N(E36)=0),"n/a",H36/E36-1)</f>
        <v>n/a</v>
      </c>
      <c r="N36" s="13" t="n">
        <f aca="false">IF(H36="","",H36/$H$62)</f>
        <v>0</v>
      </c>
      <c r="O36" s="13" t="n">
        <f aca="false">IF(H36="","",H36/SUMIFS($H$7:$H$42,$B$7:$B$42,B36))</f>
        <v>0</v>
      </c>
      <c r="P36" s="13" t="n">
        <f aca="false">IF(B36="Null","excl.",L36/($H$62-$E$62))</f>
        <v>0</v>
      </c>
      <c r="Q36" s="25" t="n">
        <f aca="false">IF(OR(B36="Null",H36=""),"",RANK(H36,$H$7:$H$41))</f>
        <v>32</v>
      </c>
      <c r="R36" s="9" t="str">
        <f aca="false">IF(B36="Null","Unmapped Null bucket – excluded from chart totals",IF(COUNT(E36:H36)&lt;4,"Partial-period – column placement inferred",IF(AND(ISNUMBER(M36),ABS(M36)&gt;0.5),"Large 9M swing (&gt;±50%)","")))</f>
        <v>Partial-period – column placement inferred</v>
      </c>
    </row>
    <row r="37" customFormat="false" ht="15" hidden="false" customHeight="false" outlineLevel="0" collapsed="false">
      <c r="A37" s="9" t="n">
        <v>31</v>
      </c>
      <c r="B37" s="9" t="s">
        <v>65</v>
      </c>
      <c r="C37" s="9" t="s">
        <v>318</v>
      </c>
      <c r="D37" s="9" t="s">
        <v>323</v>
      </c>
      <c r="E37" s="11" t="n">
        <v>533</v>
      </c>
      <c r="F37" s="11" t="n">
        <v>519</v>
      </c>
      <c r="G37" s="11" t="n">
        <v>663</v>
      </c>
      <c r="H37" s="11" t="n">
        <v>607</v>
      </c>
      <c r="I37" s="13" t="n">
        <f aca="false">IF(OR(E37="",F37="",N(E37)=0),"n/a",F37/E37-1)</f>
        <v>-0.0262664165103189</v>
      </c>
      <c r="J37" s="13" t="n">
        <f aca="false">IF(OR(F37="",G37="",N(F37)=0),"n/a",G37/F37-1)</f>
        <v>0.277456647398844</v>
      </c>
      <c r="K37" s="13" t="n">
        <f aca="false">IF(OR(G37="",H37="",N(G37)=0),"n/a",H37/G37-1)</f>
        <v>-0.0844645550527904</v>
      </c>
      <c r="L37" s="12" t="n">
        <f aca="false">N(H37)-N(E37)</f>
        <v>74</v>
      </c>
      <c r="M37" s="13" t="n">
        <f aca="false">IF(OR(E37="",H37="",N(E37)=0),"n/a",H37/E37-1)</f>
        <v>0.138836772983114</v>
      </c>
      <c r="N37" s="13" t="n">
        <f aca="false">IF(H37="","",H37/$H$62)</f>
        <v>0.00526731401695607</v>
      </c>
      <c r="O37" s="13" t="n">
        <f aca="false">IF(H37="","",H37/SUMIFS($H$7:$H$42,$B$7:$B$42,B37))</f>
        <v>0.00945556507516162</v>
      </c>
      <c r="P37" s="13" t="n">
        <f aca="false">IF(B37="Null","excl.",L37/($H$62-$E$62))</f>
        <v>0.00502990755845568</v>
      </c>
      <c r="Q37" s="25" t="n">
        <f aca="false">IF(OR(B37="Null",H37=""),"",RANK(H37,$H$7:$H$41))</f>
        <v>21</v>
      </c>
      <c r="R37" s="9" t="str">
        <f aca="false">IF(B37="Null","Unmapped Null bucket – excluded from chart totals",IF(COUNT(E37:H37)&lt;4,"Partial-period – column placement inferred",IF(AND(ISNUMBER(M37),ABS(M37)&gt;0.5),"Large 9M swing (&gt;±50%)","")))</f>
        <v/>
      </c>
    </row>
    <row r="38" customFormat="false" ht="15" hidden="false" customHeight="false" outlineLevel="0" collapsed="false">
      <c r="A38" s="9" t="n">
        <v>32</v>
      </c>
      <c r="B38" s="9" t="s">
        <v>65</v>
      </c>
      <c r="C38" s="9" t="s">
        <v>318</v>
      </c>
      <c r="D38" s="9" t="s">
        <v>324</v>
      </c>
      <c r="E38" s="11" t="n">
        <v>4391</v>
      </c>
      <c r="F38" s="11" t="n">
        <v>387</v>
      </c>
      <c r="G38" s="11" t="n">
        <v>401</v>
      </c>
      <c r="H38" s="11" t="n">
        <v>410</v>
      </c>
      <c r="I38" s="13" t="n">
        <f aca="false">IF(OR(E38="",F38="",N(E38)=0),"n/a",F38/E38-1)</f>
        <v>-0.911865178774767</v>
      </c>
      <c r="J38" s="13" t="n">
        <f aca="false">IF(OR(F38="",G38="",N(F38)=0),"n/a",G38/F38-1)</f>
        <v>0.0361757105943152</v>
      </c>
      <c r="K38" s="13" t="n">
        <f aca="false">IF(OR(G38="",H38="",N(G38)=0),"n/a",H38/G38-1)</f>
        <v>0.0224438902743143</v>
      </c>
      <c r="L38" s="12" t="n">
        <f aca="false">N(H38)-N(E38)</f>
        <v>-3981</v>
      </c>
      <c r="M38" s="13" t="n">
        <f aca="false">IF(OR(E38="",H38="",N(E38)=0),"n/a",H38/E38-1)</f>
        <v>-0.906627191983603</v>
      </c>
      <c r="N38" s="13" t="n">
        <f aca="false">IF(H38="","",H38/$H$62)</f>
        <v>0.00355782330634594</v>
      </c>
      <c r="O38" s="13" t="n">
        <f aca="false">IF(H38="","",H38/SUMIFS($H$7:$H$42,$B$7:$B$42,B38))</f>
        <v>0.00638679024846172</v>
      </c>
      <c r="P38" s="13" t="n">
        <f aca="false">IF(B38="Null","excl.",L38/($H$62-$E$62))</f>
        <v>-0.270595432300163</v>
      </c>
      <c r="Q38" s="25" t="n">
        <f aca="false">IF(OR(B38="Null",H38=""),"",RANK(H38,$H$7:$H$41))</f>
        <v>23</v>
      </c>
      <c r="R38" s="9" t="str">
        <f aca="false">IF(B38="Null","Unmapped Null bucket – excluded from chart totals",IF(COUNT(E38:H38)&lt;4,"Partial-period – column placement inferred",IF(AND(ISNUMBER(M38),ABS(M38)&gt;0.5),"Large 9M swing (&gt;±50%)","")))</f>
        <v>Large 9M swing (&gt;±50%)</v>
      </c>
    </row>
    <row r="39" customFormat="false" ht="15" hidden="false" customHeight="false" outlineLevel="0" collapsed="false">
      <c r="A39" s="9" t="n">
        <v>33</v>
      </c>
      <c r="B39" s="9" t="s">
        <v>65</v>
      </c>
      <c r="C39" s="9" t="s">
        <v>325</v>
      </c>
      <c r="D39" s="9" t="s">
        <v>326</v>
      </c>
      <c r="E39" s="11" t="n">
        <v>3047</v>
      </c>
      <c r="F39" s="11" t="n">
        <v>3244</v>
      </c>
      <c r="G39" s="11" t="n">
        <v>3372</v>
      </c>
      <c r="H39" s="11" t="n">
        <v>3399</v>
      </c>
      <c r="I39" s="13" t="n">
        <f aca="false">IF(OR(E39="",F39="",N(E39)=0),"n/a",F39/E39-1)</f>
        <v>0.0646537577945521</v>
      </c>
      <c r="J39" s="13" t="n">
        <f aca="false">IF(OR(F39="",G39="",N(F39)=0),"n/a",G39/F39-1)</f>
        <v>0.0394574599260173</v>
      </c>
      <c r="K39" s="13" t="n">
        <f aca="false">IF(OR(G39="",H39="",N(G39)=0),"n/a",H39/G39-1)</f>
        <v>0.00800711743772231</v>
      </c>
      <c r="L39" s="12" t="n">
        <f aca="false">N(H39)-N(E39)</f>
        <v>352</v>
      </c>
      <c r="M39" s="13" t="n">
        <f aca="false">IF(OR(E39="",H39="",N(E39)=0),"n/a",H39/E39-1)</f>
        <v>0.115523465703971</v>
      </c>
      <c r="N39" s="13" t="n">
        <f aca="false">IF(H39="","",H39/$H$62)</f>
        <v>0.0294952229713899</v>
      </c>
      <c r="O39" s="13" t="n">
        <f aca="false">IF(H39="","",H39/SUMIFS($H$7:$H$42,$B$7:$B$42,B39))</f>
        <v>0.0529480489134668</v>
      </c>
      <c r="P39" s="13" t="n">
        <f aca="false">IF(B39="Null","excl.",L39/($H$62-$E$62))</f>
        <v>0.023926046764546</v>
      </c>
      <c r="Q39" s="25" t="n">
        <f aca="false">IF(OR(B39="Null",H39=""),"",RANK(H39,$H$7:$H$41))</f>
        <v>9</v>
      </c>
      <c r="R39" s="9" t="str">
        <f aca="false">IF(B39="Null","Unmapped Null bucket – excluded from chart totals",IF(COUNT(E39:H39)&lt;4,"Partial-period – column placement inferred",IF(AND(ISNUMBER(M39),ABS(M39)&gt;0.5),"Large 9M swing (&gt;±50%)","")))</f>
        <v/>
      </c>
    </row>
    <row r="40" customFormat="false" ht="15" hidden="false" customHeight="false" outlineLevel="0" collapsed="false">
      <c r="A40" s="9" t="n">
        <v>34</v>
      </c>
      <c r="B40" s="9" t="s">
        <v>65</v>
      </c>
      <c r="C40" s="9" t="s">
        <v>325</v>
      </c>
      <c r="D40" s="9" t="s">
        <v>327</v>
      </c>
      <c r="E40" s="11" t="n">
        <v>309</v>
      </c>
      <c r="F40" s="11" t="n">
        <v>364</v>
      </c>
      <c r="G40" s="11" t="n">
        <v>369</v>
      </c>
      <c r="H40" s="11" t="n">
        <v>364</v>
      </c>
      <c r="I40" s="13" t="n">
        <f aca="false">IF(OR(E40="",F40="",N(E40)=0),"n/a",F40/E40-1)</f>
        <v>0.177993527508091</v>
      </c>
      <c r="J40" s="13" t="n">
        <f aca="false">IF(OR(F40="",G40="",N(F40)=0),"n/a",G40/F40-1)</f>
        <v>0.0137362637362637</v>
      </c>
      <c r="K40" s="13" t="n">
        <f aca="false">IF(OR(G40="",H40="",N(G40)=0),"n/a",H40/G40-1)</f>
        <v>-0.013550135501355</v>
      </c>
      <c r="L40" s="12" t="n">
        <f aca="false">N(H40)-N(E40)</f>
        <v>55</v>
      </c>
      <c r="M40" s="13" t="n">
        <f aca="false">IF(OR(E40="",H40="",N(E40)=0),"n/a",H40/E40-1)</f>
        <v>0.177993527508091</v>
      </c>
      <c r="N40" s="13" t="n">
        <f aca="false">IF(H40="","",H40/$H$62)</f>
        <v>0.00315865288660957</v>
      </c>
      <c r="O40" s="13" t="n">
        <f aca="false">IF(H40="","",H40/SUMIFS($H$7:$H$42,$B$7:$B$42,B40))</f>
        <v>0.0056702235376587</v>
      </c>
      <c r="P40" s="13" t="n">
        <f aca="false">IF(B40="Null","excl.",L40/($H$62-$E$62))</f>
        <v>0.0037384448069603</v>
      </c>
      <c r="Q40" s="25" t="n">
        <f aca="false">IF(OR(B40="Null",H40=""),"",RANK(H40,$H$7:$H$41))</f>
        <v>24</v>
      </c>
      <c r="R40" s="9" t="str">
        <f aca="false">IF(B40="Null","Unmapped Null bucket – excluded from chart totals",IF(COUNT(E40:H40)&lt;4,"Partial-period – column placement inferred",IF(AND(ISNUMBER(M40),ABS(M40)&gt;0.5),"Large 9M swing (&gt;±50%)","")))</f>
        <v/>
      </c>
    </row>
    <row r="41" customFormat="false" ht="15" hidden="false" customHeight="false" outlineLevel="0" collapsed="false">
      <c r="A41" s="9" t="n">
        <v>35</v>
      </c>
      <c r="B41" s="9" t="s">
        <v>65</v>
      </c>
      <c r="C41" s="9" t="s">
        <v>325</v>
      </c>
      <c r="D41" s="9" t="s">
        <v>328</v>
      </c>
      <c r="E41" s="11" t="n">
        <v>107</v>
      </c>
      <c r="F41" s="11" t="n">
        <v>108</v>
      </c>
      <c r="G41" s="11" t="n">
        <v>107</v>
      </c>
      <c r="H41" s="11" t="n">
        <v>100</v>
      </c>
      <c r="I41" s="13" t="n">
        <f aca="false">IF(OR(E41="",F41="",N(E41)=0),"n/a",F41/E41-1)</f>
        <v>0.00934579439252326</v>
      </c>
      <c r="J41" s="13" t="n">
        <f aca="false">IF(OR(F41="",G41="",N(F41)=0),"n/a",G41/F41-1)</f>
        <v>-0.0092592592592593</v>
      </c>
      <c r="K41" s="13" t="n">
        <f aca="false">IF(OR(G41="",H41="",N(G41)=0),"n/a",H41/G41-1)</f>
        <v>-0.0654205607476636</v>
      </c>
      <c r="L41" s="12" t="n">
        <f aca="false">N(H41)-N(E41)</f>
        <v>-7</v>
      </c>
      <c r="M41" s="13" t="n">
        <f aca="false">IF(OR(E41="",H41="",N(E41)=0),"n/a",H41/E41-1)</f>
        <v>-0.0654205607476636</v>
      </c>
      <c r="N41" s="13" t="n">
        <f aca="false">IF(H41="","",H41/$H$62)</f>
        <v>0.000867761782035596</v>
      </c>
      <c r="O41" s="13" t="n">
        <f aca="false">IF(H41="","",H41/SUMIFS($H$7:$H$42,$B$7:$B$42,B41))</f>
        <v>0.001557753719137</v>
      </c>
      <c r="P41" s="13" t="n">
        <f aca="false">IF(B41="Null","excl.",L41/($H$62-$E$62))</f>
        <v>-0.000475802066340402</v>
      </c>
      <c r="Q41" s="25" t="n">
        <f aca="false">IF(OR(B41="Null",H41=""),"",RANK(H41,$H$7:$H$41))</f>
        <v>27</v>
      </c>
      <c r="R41" s="9" t="str">
        <f aca="false">IF(B41="Null","Unmapped Null bucket – excluded from chart totals",IF(COUNT(E41:H41)&lt;4,"Partial-period – column placement inferred",IF(AND(ISNUMBER(M41),ABS(M41)&gt;0.5),"Large 9M swing (&gt;±50%)","")))</f>
        <v/>
      </c>
    </row>
    <row r="42" customFormat="false" ht="15" hidden="false" customHeight="false" outlineLevel="0" collapsed="false">
      <c r="A42" s="9" t="n">
        <v>36</v>
      </c>
      <c r="B42" s="9" t="s">
        <v>329</v>
      </c>
      <c r="C42" s="9" t="s">
        <v>318</v>
      </c>
      <c r="D42" s="9" t="s">
        <v>329</v>
      </c>
      <c r="E42" s="11"/>
      <c r="F42" s="11" t="n">
        <v>1000</v>
      </c>
      <c r="G42" s="11" t="n">
        <v>3700</v>
      </c>
      <c r="H42" s="11" t="n">
        <v>986</v>
      </c>
      <c r="I42" s="13" t="str">
        <f aca="false">IF(OR(E42="",F42="",N(E42)=0),"n/a",F42/E42-1)</f>
        <v>n/a</v>
      </c>
      <c r="J42" s="13" t="n">
        <f aca="false">IF(OR(F42="",G42="",N(F42)=0),"n/a",G42/F42-1)</f>
        <v>2.7</v>
      </c>
      <c r="K42" s="13" t="n">
        <f aca="false">IF(OR(G42="",H42="",N(G42)=0),"n/a",H42/G42-1)</f>
        <v>-0.733513513513514</v>
      </c>
      <c r="L42" s="12" t="n">
        <f aca="false">N(H42)-N(E42)</f>
        <v>986</v>
      </c>
      <c r="M42" s="13" t="str">
        <f aca="false">IF(OR(E42="",H42="",N(E42)=0),"n/a",H42/E42-1)</f>
        <v>n/a</v>
      </c>
      <c r="N42" s="13" t="n">
        <f aca="false">IF(H42="","",H42/$H$62)</f>
        <v>0.00855613117087097</v>
      </c>
      <c r="O42" s="13" t="n">
        <f aca="false">IF(H42="","",H42/SUMIFS($H$7:$H$42,$B$7:$B$42,B42))</f>
        <v>1</v>
      </c>
      <c r="P42" s="13" t="str">
        <f aca="false">IF(B42="Null","excl.",L42/($H$62-$E$62))</f>
        <v>excl.</v>
      </c>
      <c r="Q42" s="25" t="str">
        <f aca="false">IF(OR(B42="Null",H42=""),"",RANK(H42,$H$7:$H$41))</f>
        <v/>
      </c>
      <c r="R42" s="9" t="str">
        <f aca="false">IF(B42="Null","Unmapped Null bucket – excluded from chart totals",IF(COUNT(E42:H42)&lt;4,"Partial-period – column placement inferred",IF(AND(ISNUMBER(M42),ABS(M42)&gt;0.5),"Large 9M swing (&gt;±50%)","")))</f>
        <v>Unmapped Null bucket – excluded from chart totals</v>
      </c>
    </row>
    <row r="45" customFormat="false" ht="15" hidden="false" customHeight="false" outlineLevel="0" collapsed="false">
      <c r="A45" s="4" t="s">
        <v>330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customFormat="false" ht="35.05" hidden="false" customHeight="false" outlineLevel="0" collapsed="false">
      <c r="A46" s="8" t="s">
        <v>56</v>
      </c>
      <c r="B46" s="8" t="s">
        <v>272</v>
      </c>
      <c r="C46" s="8" t="s">
        <v>273</v>
      </c>
      <c r="D46" s="8"/>
      <c r="E46" s="8" t="s">
        <v>58</v>
      </c>
      <c r="F46" s="8" t="s">
        <v>59</v>
      </c>
      <c r="G46" s="8" t="s">
        <v>60</v>
      </c>
      <c r="H46" s="8" t="s">
        <v>61</v>
      </c>
      <c r="I46" s="8" t="s">
        <v>278</v>
      </c>
      <c r="J46" s="8" t="s">
        <v>279</v>
      </c>
      <c r="K46" s="8" t="s">
        <v>331</v>
      </c>
      <c r="L46" s="8" t="s">
        <v>332</v>
      </c>
      <c r="M46" s="8" t="s">
        <v>333</v>
      </c>
      <c r="N46" s="8" t="s">
        <v>282</v>
      </c>
      <c r="O46" s="8" t="s">
        <v>283</v>
      </c>
    </row>
    <row r="47" customFormat="false" ht="15" hidden="false" customHeight="false" outlineLevel="0" collapsed="false">
      <c r="A47" s="9" t="n">
        <v>1</v>
      </c>
      <c r="B47" s="9" t="s">
        <v>63</v>
      </c>
      <c r="C47" s="10" t="s">
        <v>285</v>
      </c>
      <c r="E47" s="12" t="n">
        <f aca="false">SUMIFS(E$7:E$42,$B$7:$B$42,$B47,$C$7:$C$42,$C47)</f>
        <v>13115</v>
      </c>
      <c r="F47" s="12" t="n">
        <f aca="false">SUMIFS(F$7:F$42,$B$7:$B$42,$B47,$C$7:$C$42,$C47)</f>
        <v>14015</v>
      </c>
      <c r="G47" s="12" t="n">
        <f aca="false">SUMIFS(G$7:G$42,$B$7:$B$42,$B47,$C$7:$C$42,$C47)</f>
        <v>15268</v>
      </c>
      <c r="H47" s="12" t="n">
        <f aca="false">SUMIFS(H$7:H$42,$B$7:$B$42,$B47,$C$7:$C$42,$C47)</f>
        <v>16874</v>
      </c>
      <c r="I47" s="12" t="n">
        <f aca="false">H47-E47</f>
        <v>3759</v>
      </c>
      <c r="J47" s="13" t="n">
        <f aca="false">IF(E47=0,"n/a",H47/E47-1)</f>
        <v>0.286618375905452</v>
      </c>
      <c r="K47" s="13" t="n">
        <f aca="false">E47/$E$62</f>
        <v>0.130462462820934</v>
      </c>
      <c r="L47" s="13" t="n">
        <f aca="false">H47/$H$62</f>
        <v>0.146426123100686</v>
      </c>
      <c r="M47" s="15" t="n">
        <f aca="false">(L47-K47)*100</f>
        <v>1.59636602797527</v>
      </c>
      <c r="N47" s="13" t="n">
        <f aca="false">IF(B47="Null","excl.",I47/($H$62-$E$62))</f>
        <v>0.255505709624796</v>
      </c>
      <c r="O47" s="25" t="n">
        <f aca="false">IF(B47="Null","",RANK(H47,$H$47:$H$56))</f>
        <v>3</v>
      </c>
    </row>
    <row r="48" customFormat="false" ht="15" hidden="false" customHeight="false" outlineLevel="0" collapsed="false">
      <c r="A48" s="9" t="n">
        <v>2</v>
      </c>
      <c r="B48" s="9" t="s">
        <v>63</v>
      </c>
      <c r="C48" s="10" t="s">
        <v>289</v>
      </c>
      <c r="E48" s="12" t="n">
        <f aca="false">SUMIFS(E$7:E$42,$B$7:$B$42,$B48,$C$7:$C$42,$C48)</f>
        <v>27280</v>
      </c>
      <c r="F48" s="12" t="n">
        <f aca="false">SUMIFS(F$7:F$42,$B$7:$B$42,$B48,$C$7:$C$42,$C48)</f>
        <v>28459</v>
      </c>
      <c r="G48" s="12" t="n">
        <f aca="false">SUMIFS(G$7:G$42,$B$7:$B$42,$B48,$C$7:$C$42,$C48)</f>
        <v>31847</v>
      </c>
      <c r="H48" s="12" t="n">
        <f aca="false">SUMIFS(H$7:H$42,$B$7:$B$42,$B48,$C$7:$C$42,$C48)</f>
        <v>34170</v>
      </c>
      <c r="I48" s="12" t="n">
        <f aca="false">H48-E48</f>
        <v>6890</v>
      </c>
      <c r="J48" s="13" t="n">
        <f aca="false">IF(E48=0,"n/a",H48/E48-1)</f>
        <v>0.252565982404692</v>
      </c>
      <c r="K48" s="13" t="n">
        <f aca="false">E48/$E$62</f>
        <v>0.271369880728561</v>
      </c>
      <c r="L48" s="13" t="n">
        <f aca="false">H48/$H$62</f>
        <v>0.296514200921563</v>
      </c>
      <c r="M48" s="15" t="n">
        <f aca="false">(L48-K48)*100</f>
        <v>2.51443201930025</v>
      </c>
      <c r="N48" s="13" t="n">
        <f aca="false">IF(B48="Null","excl.",I48/($H$62-$E$62))</f>
        <v>0.468325176726482</v>
      </c>
      <c r="O48" s="25" t="n">
        <f aca="false">IF(B48="Null","",RANK(H48,$H$47:$H$56))</f>
        <v>1</v>
      </c>
    </row>
    <row r="49" customFormat="false" ht="15" hidden="false" customHeight="false" outlineLevel="0" collapsed="false">
      <c r="A49" s="9" t="n">
        <v>3</v>
      </c>
      <c r="B49" s="9" t="s">
        <v>65</v>
      </c>
      <c r="C49" s="10" t="s">
        <v>297</v>
      </c>
      <c r="E49" s="12" t="n">
        <f aca="false">SUMIFS(E$7:E$42,$B$7:$B$42,$B49,$C$7:$C$42,$C49)</f>
        <v>8496</v>
      </c>
      <c r="F49" s="12" t="n">
        <f aca="false">SUMIFS(F$7:F$42,$B$7:$B$42,$B49,$C$7:$C$42,$C49)</f>
        <v>8700</v>
      </c>
      <c r="G49" s="12" t="n">
        <f aca="false">SUMIFS(G$7:G$42,$B$7:$B$42,$B49,$C$7:$C$42,$C49)</f>
        <v>8830</v>
      </c>
      <c r="H49" s="12" t="n">
        <f aca="false">SUMIFS(H$7:H$42,$B$7:$B$42,$B49,$C$7:$C$42,$C49)</f>
        <v>8930</v>
      </c>
      <c r="I49" s="12" t="n">
        <f aca="false">H49-E49</f>
        <v>434</v>
      </c>
      <c r="J49" s="13" t="n">
        <f aca="false">IF(E49=0,"n/a",H49/E49-1)</f>
        <v>0.0510828625235404</v>
      </c>
      <c r="K49" s="13" t="n">
        <f aca="false">E49/$E$62</f>
        <v>0.084514608015757</v>
      </c>
      <c r="L49" s="13" t="n">
        <f aca="false">H49/$H$62</f>
        <v>0.0774911271357787</v>
      </c>
      <c r="M49" s="15" t="n">
        <f aca="false">(L49-K49)*100</f>
        <v>-0.702348087997827</v>
      </c>
      <c r="N49" s="13" t="n">
        <f aca="false">IF(B49="Null","excl.",I49/($H$62-$E$62))</f>
        <v>0.029499728113105</v>
      </c>
      <c r="O49" s="25" t="n">
        <f aca="false">IF(B49="Null","",RANK(H49,$H$47:$H$56))</f>
        <v>5</v>
      </c>
    </row>
    <row r="50" customFormat="false" ht="15" hidden="false" customHeight="false" outlineLevel="0" collapsed="false">
      <c r="A50" s="9" t="n">
        <v>4</v>
      </c>
      <c r="B50" s="9" t="s">
        <v>65</v>
      </c>
      <c r="C50" s="10" t="s">
        <v>302</v>
      </c>
      <c r="E50" s="12" t="n">
        <f aca="false">SUMIFS(E$7:E$42,$B$7:$B$42,$B50,$C$7:$C$42,$C50)</f>
        <v>10946</v>
      </c>
      <c r="F50" s="12" t="n">
        <f aca="false">SUMIFS(F$7:F$42,$B$7:$B$42,$B50,$C$7:$C$42,$C50)</f>
        <v>12323</v>
      </c>
      <c r="G50" s="12" t="n">
        <f aca="false">SUMIFS(G$7:G$42,$B$7:$B$42,$B50,$C$7:$C$42,$C50)</f>
        <v>13428</v>
      </c>
      <c r="H50" s="12" t="n">
        <f aca="false">SUMIFS(H$7:H$42,$B$7:$B$42,$B50,$C$7:$C$42,$C50)</f>
        <v>13771</v>
      </c>
      <c r="I50" s="12" t="n">
        <f aca="false">H50-E50</f>
        <v>2825</v>
      </c>
      <c r="J50" s="13" t="n">
        <f aca="false">IF(E50=0,"n/a",H50/E50-1)</f>
        <v>0.258085145258542</v>
      </c>
      <c r="K50" s="13" t="n">
        <f aca="false">E50/$E$62</f>
        <v>0.108886169884708</v>
      </c>
      <c r="L50" s="13" t="n">
        <f aca="false">H50/$H$62</f>
        <v>0.119499475004122</v>
      </c>
      <c r="M50" s="15" t="n">
        <f aca="false">(L50-K50)*100</f>
        <v>1.06133051194143</v>
      </c>
      <c r="N50" s="13" t="n">
        <f aca="false">IF(B50="Null","excl.",I50/($H$62-$E$62))</f>
        <v>0.192020119630234</v>
      </c>
      <c r="O50" s="25" t="n">
        <f aca="false">IF(B50="Null","",RANK(H50,$H$47:$H$56))</f>
        <v>4</v>
      </c>
    </row>
    <row r="51" customFormat="false" ht="15" hidden="false" customHeight="false" outlineLevel="0" collapsed="false">
      <c r="A51" s="9" t="n">
        <v>5</v>
      </c>
      <c r="B51" s="9" t="s">
        <v>65</v>
      </c>
      <c r="C51" s="10" t="s">
        <v>307</v>
      </c>
      <c r="E51" s="12" t="n">
        <f aca="false">SUMIFS(E$7:E$42,$B$7:$B$42,$B51,$C$7:$C$42,$C51)</f>
        <v>2220</v>
      </c>
      <c r="F51" s="12" t="n">
        <f aca="false">SUMIFS(F$7:F$42,$B$7:$B$42,$B51,$C$7:$C$42,$C51)</f>
        <v>3356</v>
      </c>
      <c r="G51" s="12" t="n">
        <f aca="false">SUMIFS(G$7:G$42,$B$7:$B$42,$B51,$C$7:$C$42,$C51)</f>
        <v>4255</v>
      </c>
      <c r="H51" s="12" t="n">
        <f aca="false">SUMIFS(H$7:H$42,$B$7:$B$42,$B51,$C$7:$C$42,$C51)</f>
        <v>4406</v>
      </c>
      <c r="I51" s="12" t="n">
        <f aca="false">H51-E51</f>
        <v>2186</v>
      </c>
      <c r="J51" s="13" t="n">
        <f aca="false">IF(E51=0,"n/a",H51/E51-1)</f>
        <v>0.984684684684685</v>
      </c>
      <c r="K51" s="13" t="n">
        <f aca="false">E51/$E$62</f>
        <v>0.0220836193261512</v>
      </c>
      <c r="L51" s="13" t="n">
        <f aca="false">H51/$H$62</f>
        <v>0.0382335841164883</v>
      </c>
      <c r="M51" s="15" t="n">
        <f aca="false">(L51-K51)*100</f>
        <v>1.61499647903372</v>
      </c>
      <c r="N51" s="13" t="n">
        <f aca="false">IF(B51="Null","excl.",I51/($H$62-$E$62))</f>
        <v>0.148586188145731</v>
      </c>
      <c r="O51" s="25" t="n">
        <f aca="false">IF(B51="Null","",RANK(H51,$H$47:$H$56))</f>
        <v>8</v>
      </c>
    </row>
    <row r="52" customFormat="false" ht="15" hidden="false" customHeight="false" outlineLevel="0" collapsed="false">
      <c r="A52" s="9" t="n">
        <v>6</v>
      </c>
      <c r="B52" s="9" t="s">
        <v>65</v>
      </c>
      <c r="C52" s="10" t="s">
        <v>310</v>
      </c>
      <c r="E52" s="12" t="n">
        <f aca="false">SUMIFS(E$7:E$42,$B$7:$B$42,$B52,$C$7:$C$42,$C52)</f>
        <v>3671</v>
      </c>
      <c r="F52" s="12" t="n">
        <f aca="false">SUMIFS(F$7:F$42,$B$7:$B$42,$B52,$C$7:$C$42,$C52)</f>
        <v>3944</v>
      </c>
      <c r="G52" s="12" t="n">
        <f aca="false">SUMIFS(G$7:G$42,$B$7:$B$42,$B52,$C$7:$C$42,$C52)</f>
        <v>4569</v>
      </c>
      <c r="H52" s="12" t="n">
        <f aca="false">SUMIFS(H$7:H$42,$B$7:$B$42,$B52,$C$7:$C$42,$C52)</f>
        <v>4595</v>
      </c>
      <c r="I52" s="12" t="n">
        <f aca="false">H52-E52</f>
        <v>924</v>
      </c>
      <c r="J52" s="13" t="n">
        <f aca="false">IF(E52=0,"n/a",H52/E52-1)</f>
        <v>0.251702533369654</v>
      </c>
      <c r="K52" s="13" t="n">
        <f aca="false">E52/$E$62</f>
        <v>0.0365175524983338</v>
      </c>
      <c r="L52" s="13" t="n">
        <f aca="false">H52/$H$62</f>
        <v>0.0398736538845356</v>
      </c>
      <c r="M52" s="15" t="n">
        <f aca="false">(L52-K52)*100</f>
        <v>0.335610138620184</v>
      </c>
      <c r="N52" s="13" t="n">
        <f aca="false">IF(B52="Null","excl.",I52/($H$62-$E$62))</f>
        <v>0.0628058727569331</v>
      </c>
      <c r="O52" s="25" t="n">
        <f aca="false">IF(B52="Null","",RANK(H52,$H$47:$H$56))</f>
        <v>7</v>
      </c>
    </row>
    <row r="53" customFormat="false" ht="15" hidden="false" customHeight="false" outlineLevel="0" collapsed="false">
      <c r="A53" s="9" t="n">
        <v>7</v>
      </c>
      <c r="B53" s="9" t="s">
        <v>65</v>
      </c>
      <c r="C53" s="10" t="s">
        <v>314</v>
      </c>
      <c r="E53" s="12" t="n">
        <f aca="false">SUMIFS(E$7:E$42,$B$7:$B$42,$B53,$C$7:$C$42,$C53)</f>
        <v>20457</v>
      </c>
      <c r="F53" s="12" t="n">
        <f aca="false">SUMIFS(F$7:F$42,$B$7:$B$42,$B53,$C$7:$C$42,$C53)</f>
        <v>19901</v>
      </c>
      <c r="G53" s="12" t="n">
        <f aca="false">SUMIFS(G$7:G$42,$B$7:$B$42,$B53,$C$7:$C$42,$C53)</f>
        <v>19577</v>
      </c>
      <c r="H53" s="12" t="n">
        <f aca="false">SUMIFS(H$7:H$42,$B$7:$B$42,$B53,$C$7:$C$42,$C53)</f>
        <v>19321</v>
      </c>
      <c r="I53" s="12" t="n">
        <f aca="false">H53-E53</f>
        <v>-1136</v>
      </c>
      <c r="J53" s="13" t="n">
        <f aca="false">IF(E53=0,"n/a",H53/E53-1)</f>
        <v>-0.0555311140440925</v>
      </c>
      <c r="K53" s="13" t="n">
        <f aca="false">E53/$E$62</f>
        <v>0.203497567817601</v>
      </c>
      <c r="L53" s="13" t="n">
        <f aca="false">H53/$H$62</f>
        <v>0.167660253907097</v>
      </c>
      <c r="M53" s="15" t="n">
        <f aca="false">(L53-K53)*100</f>
        <v>-3.58373139105038</v>
      </c>
      <c r="N53" s="13" t="n">
        <f aca="false">IF(B53="Null","excl.",I53/($H$62-$E$62))</f>
        <v>-0.077215878194671</v>
      </c>
      <c r="O53" s="25" t="n">
        <f aca="false">IF(B53="Null","",RANK(H53,$H$47:$H$56))</f>
        <v>2</v>
      </c>
    </row>
    <row r="54" customFormat="false" ht="15" hidden="false" customHeight="false" outlineLevel="0" collapsed="false">
      <c r="A54" s="9" t="n">
        <v>8</v>
      </c>
      <c r="B54" s="9" t="s">
        <v>65</v>
      </c>
      <c r="C54" s="10" t="s">
        <v>317</v>
      </c>
      <c r="E54" s="12" t="n">
        <f aca="false">SUMIFS(E$7:E$42,$B$7:$B$42,$B54,$C$7:$C$42,$C54)</f>
        <v>5885</v>
      </c>
      <c r="F54" s="12" t="n">
        <f aca="false">SUMIFS(F$7:F$42,$B$7:$B$42,$B54,$C$7:$C$42,$C54)</f>
        <v>6692</v>
      </c>
      <c r="G54" s="12" t="n">
        <f aca="false">SUMIFS(G$7:G$42,$B$7:$B$42,$B54,$C$7:$C$42,$C54)</f>
        <v>7771</v>
      </c>
      <c r="H54" s="12" t="n">
        <f aca="false">SUMIFS(H$7:H$42,$B$7:$B$42,$B54,$C$7:$C$42,$C54)</f>
        <v>8216</v>
      </c>
      <c r="I54" s="12" t="n">
        <f aca="false">H54-E54</f>
        <v>2331</v>
      </c>
      <c r="J54" s="13" t="n">
        <f aca="false">IF(E54=0,"n/a",H54/E54-1)</f>
        <v>0.396091758708581</v>
      </c>
      <c r="K54" s="13" t="n">
        <f aca="false">E54/$E$62</f>
        <v>0.0585414863668467</v>
      </c>
      <c r="L54" s="13" t="n">
        <f aca="false">H54/$H$62</f>
        <v>0.0712953080120445</v>
      </c>
      <c r="M54" s="15" t="n">
        <f aca="false">(L54-K54)*100</f>
        <v>1.27538216451978</v>
      </c>
      <c r="N54" s="13" t="n">
        <f aca="false">IF(B54="Null","excl.",I54/($H$62-$E$62))</f>
        <v>0.158442088091354</v>
      </c>
      <c r="O54" s="25" t="n">
        <f aca="false">IF(B54="Null","",RANK(H54,$H$47:$H$56))</f>
        <v>6</v>
      </c>
    </row>
    <row r="55" customFormat="false" ht="15" hidden="false" customHeight="false" outlineLevel="0" collapsed="false">
      <c r="A55" s="9" t="n">
        <v>9</v>
      </c>
      <c r="B55" s="9" t="s">
        <v>65</v>
      </c>
      <c r="C55" s="10" t="s">
        <v>318</v>
      </c>
      <c r="E55" s="12" t="n">
        <f aca="false">SUMIFS(E$7:E$42,$B$7:$B$42,$B55,$C$7:$C$42,$C55)</f>
        <v>4994</v>
      </c>
      <c r="F55" s="12" t="n">
        <f aca="false">SUMIFS(F$7:F$42,$B$7:$B$42,$B55,$C$7:$C$42,$C55)</f>
        <v>980</v>
      </c>
      <c r="G55" s="12" t="n">
        <f aca="false">SUMIFS(G$7:G$42,$B$7:$B$42,$B55,$C$7:$C$42,$C55)</f>
        <v>1142</v>
      </c>
      <c r="H55" s="12" t="n">
        <f aca="false">SUMIFS(H$7:H$42,$B$7:$B$42,$B55,$C$7:$C$42,$C55)</f>
        <v>1093</v>
      </c>
      <c r="I55" s="12" t="n">
        <f aca="false">H55-E55</f>
        <v>-3901</v>
      </c>
      <c r="J55" s="13" t="n">
        <f aca="false">IF(E55=0,"n/a",H55/E55-1)</f>
        <v>-0.781137364837805</v>
      </c>
      <c r="K55" s="13" t="n">
        <f aca="false">E55/$E$62</f>
        <v>0.0496781959075671</v>
      </c>
      <c r="L55" s="13" t="n">
        <f aca="false">H55/$H$62</f>
        <v>0.00948463627764906</v>
      </c>
      <c r="M55" s="15" t="n">
        <f aca="false">(L55-K55)*100</f>
        <v>-4.01935596299181</v>
      </c>
      <c r="N55" s="13" t="n">
        <f aca="false">IF(B55="Null","excl.",I55/($H$62-$E$62))</f>
        <v>-0.26515769439913</v>
      </c>
      <c r="O55" s="25" t="n">
        <f aca="false">IF(B55="Null","",RANK(H55,$H$47:$H$56))</f>
        <v>10</v>
      </c>
    </row>
    <row r="56" customFormat="false" ht="15" hidden="false" customHeight="false" outlineLevel="0" collapsed="false">
      <c r="A56" s="9" t="n">
        <v>10</v>
      </c>
      <c r="B56" s="9" t="s">
        <v>65</v>
      </c>
      <c r="C56" s="10" t="s">
        <v>325</v>
      </c>
      <c r="E56" s="12" t="n">
        <f aca="false">SUMIFS(E$7:E$42,$B$7:$B$42,$B56,$C$7:$C$42,$C56)</f>
        <v>3463</v>
      </c>
      <c r="F56" s="12" t="n">
        <f aca="false">SUMIFS(F$7:F$42,$B$7:$B$42,$B56,$C$7:$C$42,$C56)</f>
        <v>3716</v>
      </c>
      <c r="G56" s="12" t="n">
        <f aca="false">SUMIFS(G$7:G$42,$B$7:$B$42,$B56,$C$7:$C$42,$C56)</f>
        <v>3848</v>
      </c>
      <c r="H56" s="12" t="n">
        <f aca="false">SUMIFS(H$7:H$42,$B$7:$B$42,$B56,$C$7:$C$42,$C56)</f>
        <v>3863</v>
      </c>
      <c r="I56" s="12" t="n">
        <f aca="false">H56-E56</f>
        <v>400</v>
      </c>
      <c r="J56" s="13" t="n">
        <f aca="false">IF(E56=0,"n/a",H56/E56-1)</f>
        <v>0.115506786023679</v>
      </c>
      <c r="K56" s="13" t="n">
        <f aca="false">E56/$E$62</f>
        <v>0.0344484566335412</v>
      </c>
      <c r="L56" s="13" t="n">
        <f aca="false">H56/$H$62</f>
        <v>0.0335216376400351</v>
      </c>
      <c r="M56" s="15" t="n">
        <f aca="false">(L56-K56)*100</f>
        <v>-0.0926818993506176</v>
      </c>
      <c r="N56" s="13" t="n">
        <f aca="false">IF(B56="Null","excl.",I56/($H$62-$E$62))</f>
        <v>0.0271886895051659</v>
      </c>
      <c r="O56" s="25" t="n">
        <f aca="false">IF(B56="Null","",RANK(H56,$H$47:$H$56))</f>
        <v>9</v>
      </c>
    </row>
    <row r="57" customFormat="false" ht="15" hidden="false" customHeight="false" outlineLevel="0" collapsed="false">
      <c r="A57" s="9" t="n">
        <v>11</v>
      </c>
      <c r="B57" s="9" t="s">
        <v>329</v>
      </c>
      <c r="C57" s="10" t="s">
        <v>318</v>
      </c>
      <c r="E57" s="12" t="n">
        <f aca="false">SUMIFS(E$7:E$42,$B$7:$B$42,$B57,$C$7:$C$42,$C57)</f>
        <v>0</v>
      </c>
      <c r="F57" s="12" t="n">
        <f aca="false">SUMIFS(F$7:F$42,$B$7:$B$42,$B57,$C$7:$C$42,$C57)</f>
        <v>1000</v>
      </c>
      <c r="G57" s="12" t="n">
        <f aca="false">SUMIFS(G$7:G$42,$B$7:$B$42,$B57,$C$7:$C$42,$C57)</f>
        <v>3700</v>
      </c>
      <c r="H57" s="12" t="n">
        <f aca="false">SUMIFS(H$7:H$42,$B$7:$B$42,$B57,$C$7:$C$42,$C57)</f>
        <v>986</v>
      </c>
      <c r="I57" s="12" t="n">
        <f aca="false">H57-E57</f>
        <v>986</v>
      </c>
      <c r="J57" s="13" t="str">
        <f aca="false">IF(E57=0,"n/a",H57/E57-1)</f>
        <v>n/a</v>
      </c>
      <c r="K57" s="13" t="n">
        <f aca="false">E57/$E$62</f>
        <v>0</v>
      </c>
      <c r="L57" s="13" t="n">
        <f aca="false">H57/$H$62</f>
        <v>0.00855613117087097</v>
      </c>
      <c r="M57" s="15" t="n">
        <f aca="false">(L57-K57)*100</f>
        <v>0.855613117087097</v>
      </c>
      <c r="N57" s="13" t="str">
        <f aca="false">IF(B57="Null","excl.",I57/($H$62-$E$62))</f>
        <v>excl.</v>
      </c>
      <c r="O57" s="25" t="str">
        <f aca="false">IF(B57="Null","",RANK(H57,$H$47:$H$56))</f>
        <v/>
      </c>
    </row>
    <row r="59" customFormat="false" ht="15" hidden="false" customHeight="false" outlineLevel="0" collapsed="false">
      <c r="C59" s="10" t="s">
        <v>334</v>
      </c>
      <c r="E59" s="12" t="n">
        <f aca="false">SUMIFS(E$7:E$42,$B$7:$B$42,"Wholesale")</f>
        <v>40395</v>
      </c>
      <c r="F59" s="12" t="n">
        <f aca="false">SUMIFS(F$7:F$42,$B$7:$B$42,"Wholesale")</f>
        <v>42474</v>
      </c>
      <c r="G59" s="12" t="n">
        <f aca="false">SUMIFS(G$7:G$42,$B$7:$B$42,"Wholesale")</f>
        <v>47115</v>
      </c>
      <c r="H59" s="12" t="n">
        <f aca="false">SUMIFS(H$7:H$42,$B$7:$B$42,"Wholesale")</f>
        <v>51044</v>
      </c>
      <c r="I59" s="12" t="n">
        <f aca="false">H59-E59</f>
        <v>10649</v>
      </c>
      <c r="J59" s="13" t="n">
        <f aca="false">IF(E59=0,"n/a",H59/E59-1)</f>
        <v>0.263621735363288</v>
      </c>
      <c r="K59" s="13" t="n">
        <f aca="false">E59/$E$62</f>
        <v>0.401832343549494</v>
      </c>
      <c r="L59" s="13" t="n">
        <f aca="false">H59/$H$62</f>
        <v>0.442940324022249</v>
      </c>
      <c r="M59" s="15" t="n">
        <f aca="false">(L59-K59)*100</f>
        <v>4.11079804727553</v>
      </c>
    </row>
    <row r="60" customFormat="false" ht="15" hidden="false" customHeight="false" outlineLevel="0" collapsed="false">
      <c r="C60" s="10" t="s">
        <v>335</v>
      </c>
      <c r="E60" s="12" t="n">
        <f aca="false">SUMIFS(E$7:E$42,$B$7:$B$42,"Retail")</f>
        <v>60132</v>
      </c>
      <c r="F60" s="12" t="n">
        <f aca="false">SUMIFS(F$7:F$42,$B$7:$B$42,"Retail")</f>
        <v>59612</v>
      </c>
      <c r="G60" s="12" t="n">
        <f aca="false">SUMIFS(G$7:G$42,$B$7:$B$42,"Retail")</f>
        <v>63420</v>
      </c>
      <c r="H60" s="12" t="n">
        <f aca="false">SUMIFS(H$7:H$42,$B$7:$B$42,"Retail")</f>
        <v>64195</v>
      </c>
      <c r="I60" s="12" t="n">
        <f aca="false">H60-E60</f>
        <v>4063</v>
      </c>
      <c r="J60" s="13" t="n">
        <f aca="false">IF(E60=0,"n/a",H60/E60-1)</f>
        <v>0.0675680170292023</v>
      </c>
      <c r="K60" s="13" t="n">
        <f aca="false">E60/$E$62</f>
        <v>0.598167656450506</v>
      </c>
      <c r="L60" s="13" t="n">
        <f aca="false">H60/$H$62</f>
        <v>0.557059675977751</v>
      </c>
      <c r="M60" s="15" t="n">
        <f aca="false">(L60-K60)*100</f>
        <v>-4.11079804727552</v>
      </c>
    </row>
    <row r="61" customFormat="false" ht="15" hidden="false" customHeight="false" outlineLevel="0" collapsed="false">
      <c r="C61" s="10" t="s">
        <v>336</v>
      </c>
      <c r="E61" s="12" t="n">
        <f aca="false">SUMIFS(E$7:E$42,$B$7:$B$42,"Null")</f>
        <v>0</v>
      </c>
      <c r="F61" s="12" t="n">
        <f aca="false">SUMIFS(F$7:F$42,$B$7:$B$42,"Null")</f>
        <v>1000</v>
      </c>
      <c r="G61" s="12" t="n">
        <f aca="false">SUMIFS(G$7:G$42,$B$7:$B$42,"Null")</f>
        <v>3700</v>
      </c>
      <c r="H61" s="12" t="n">
        <f aca="false">SUMIFS(H$7:H$42,$B$7:$B$42,"Null")</f>
        <v>986</v>
      </c>
      <c r="I61" s="12" t="n">
        <f aca="false">H61-E61</f>
        <v>986</v>
      </c>
      <c r="J61" s="13" t="str">
        <f aca="false">IF(E61=0,"n/a",H61/E61-1)</f>
        <v>n/a</v>
      </c>
      <c r="K61" s="13" t="n">
        <f aca="false">E61/$E$62</f>
        <v>0</v>
      </c>
      <c r="L61" s="13" t="n">
        <f aca="false">H61/$H$62</f>
        <v>0.00855613117087097</v>
      </c>
      <c r="M61" s="15" t="n">
        <f aca="false">(L61-K61)*100</f>
        <v>0.855613117087097</v>
      </c>
    </row>
    <row r="62" customFormat="false" ht="15" hidden="false" customHeight="false" outlineLevel="0" collapsed="false">
      <c r="C62" s="10" t="s">
        <v>337</v>
      </c>
      <c r="E62" s="12" t="n">
        <f aca="false">E59+E60</f>
        <v>100527</v>
      </c>
      <c r="F62" s="12" t="n">
        <f aca="false">F59+F60</f>
        <v>102086</v>
      </c>
      <c r="G62" s="12" t="n">
        <f aca="false">G59+G60</f>
        <v>110535</v>
      </c>
      <c r="H62" s="12" t="n">
        <f aca="false">H59+H60</f>
        <v>115239</v>
      </c>
      <c r="I62" s="12" t="n">
        <f aca="false">H62-E62</f>
        <v>14712</v>
      </c>
      <c r="J62" s="13" t="n">
        <f aca="false">H62/E62-1</f>
        <v>0.14634874212898</v>
      </c>
    </row>
    <row r="63" customFormat="false" ht="15" hidden="false" customHeight="false" outlineLevel="0" collapsed="false">
      <c r="C63" s="10" t="s">
        <v>338</v>
      </c>
      <c r="E63" s="12" t="n">
        <f aca="false">E62+E61</f>
        <v>100527</v>
      </c>
      <c r="F63" s="12" t="n">
        <f aca="false">F62+F61</f>
        <v>103086</v>
      </c>
      <c r="G63" s="12" t="n">
        <f aca="false">G62+G61</f>
        <v>114235</v>
      </c>
      <c r="H63" s="12" t="n">
        <f aca="false">H62+H61</f>
        <v>116225</v>
      </c>
    </row>
    <row r="64" customFormat="false" ht="15" hidden="false" customHeight="false" outlineLevel="0" collapsed="false">
      <c r="C64" s="10" t="s">
        <v>339</v>
      </c>
      <c r="E64" s="11" t="n">
        <v>100527</v>
      </c>
      <c r="F64" s="11" t="n">
        <v>103086</v>
      </c>
      <c r="G64" s="11" t="n">
        <v>114232</v>
      </c>
      <c r="H64" s="11" t="n">
        <v>116226</v>
      </c>
    </row>
    <row r="65" customFormat="false" ht="15" hidden="false" customHeight="false" outlineLevel="0" collapsed="false">
      <c r="C65" s="9" t="s">
        <v>340</v>
      </c>
      <c r="E65" s="12" t="n">
        <f aca="false">E64-E63</f>
        <v>0</v>
      </c>
      <c r="F65" s="12" t="n">
        <f aca="false">F64-F63</f>
        <v>0</v>
      </c>
      <c r="G65" s="12" t="n">
        <f aca="false">G64-G63</f>
        <v>-3</v>
      </c>
      <c r="H65" s="12" t="n">
        <f aca="false">H64-H63</f>
        <v>1</v>
      </c>
    </row>
    <row r="66" customFormat="false" ht="15" hidden="false" customHeight="false" outlineLevel="0" collapsed="false">
      <c r="C66" s="9" t="s">
        <v>341</v>
      </c>
      <c r="E66" s="12" t="n">
        <f aca="false">E64-E62</f>
        <v>0</v>
      </c>
      <c r="F66" s="12" t="n">
        <f aca="false">F64-F62</f>
        <v>1000</v>
      </c>
      <c r="G66" s="12" t="n">
        <f aca="false">G64-G62</f>
        <v>3697</v>
      </c>
      <c r="H66" s="12" t="n">
        <f aca="false">H64-H62</f>
        <v>987</v>
      </c>
    </row>
    <row r="67" customFormat="false" ht="15" hidden="false" customHeight="false" outlineLevel="0" collapsed="false">
      <c r="C67" s="9" t="s">
        <v>342</v>
      </c>
      <c r="E67" s="18" t="n">
        <f aca="false">P1_NetFunded_Qtr!C9</f>
        <v>100527</v>
      </c>
      <c r="F67" s="18" t="n">
        <f aca="false">P1_NetFunded_Qtr!D9</f>
        <v>102086</v>
      </c>
      <c r="G67" s="18" t="n">
        <f aca="false">P1_NetFunded_Qtr!E9</f>
        <v>110532</v>
      </c>
      <c r="H67" s="18" t="n">
        <f aca="false">P1_NetFunded_Qtr!F9</f>
        <v>115240</v>
      </c>
    </row>
    <row r="68" customFormat="false" ht="15" hidden="false" customHeight="false" outlineLevel="0" collapsed="false">
      <c r="C68" s="9" t="s">
        <v>343</v>
      </c>
      <c r="E68" s="12" t="n">
        <f aca="false">E64-E67</f>
        <v>0</v>
      </c>
      <c r="F68" s="12" t="n">
        <f aca="false">F64-F67</f>
        <v>1000</v>
      </c>
      <c r="G68" s="12" t="n">
        <f aca="false">G64-G67</f>
        <v>3700</v>
      </c>
      <c r="H68" s="12" t="n">
        <f aca="false">H64-H67</f>
        <v>986</v>
      </c>
    </row>
    <row r="69" customFormat="false" ht="15" hidden="false" customHeight="false" outlineLevel="0" collapsed="false">
      <c r="C69" s="10" t="s">
        <v>344</v>
      </c>
      <c r="E69" s="12" t="n">
        <f aca="false">E68-E61</f>
        <v>0</v>
      </c>
      <c r="F69" s="12" t="n">
        <f aca="false">F68-F61</f>
        <v>0</v>
      </c>
      <c r="G69" s="12" t="n">
        <f aca="false">G68-G61</f>
        <v>0</v>
      </c>
      <c r="H69" s="12" t="n">
        <f aca="false">H68-H61</f>
        <v>0</v>
      </c>
    </row>
    <row r="72" customFormat="false" ht="15" hidden="false" customHeight="false" outlineLevel="0" collapsed="false">
      <c r="A72" s="4" t="s">
        <v>93</v>
      </c>
      <c r="B72" s="5"/>
      <c r="C72" s="5"/>
      <c r="D72" s="5"/>
      <c r="E72" s="5"/>
      <c r="F72" s="5"/>
      <c r="G72" s="5"/>
      <c r="H72" s="5"/>
    </row>
    <row r="73" customFormat="false" ht="15" hidden="false" customHeight="false" outlineLevel="0" collapsed="false">
      <c r="A73" s="8" t="s">
        <v>56</v>
      </c>
      <c r="B73" s="8" t="s">
        <v>94</v>
      </c>
      <c r="C73" s="8" t="s">
        <v>95</v>
      </c>
      <c r="D73" s="8" t="s">
        <v>96</v>
      </c>
      <c r="E73" s="8" t="s">
        <v>97</v>
      </c>
    </row>
    <row r="74" customFormat="false" ht="102.2" hidden="false" customHeight="false" outlineLevel="0" collapsed="false">
      <c r="A74" s="9" t="n">
        <v>1</v>
      </c>
      <c r="B74" s="17" t="s">
        <v>345</v>
      </c>
      <c r="C74" s="12" t="n">
        <f aca="false">SUMPRODUCT(ABS(E69:H69))</f>
        <v>0</v>
      </c>
      <c r="D74" s="9" t="s">
        <v>99</v>
      </c>
      <c r="E74" s="19" t="s">
        <v>346</v>
      </c>
    </row>
    <row r="75" customFormat="false" ht="91" hidden="false" customHeight="false" outlineLevel="0" collapsed="false">
      <c r="A75" s="9" t="n">
        <v>2</v>
      </c>
      <c r="B75" s="17" t="s">
        <v>347</v>
      </c>
      <c r="C75" s="12" t="n">
        <f aca="false">E38-F38</f>
        <v>4004</v>
      </c>
      <c r="D75" s="9" t="s">
        <v>99</v>
      </c>
      <c r="E75" s="19" t="s">
        <v>348</v>
      </c>
    </row>
    <row r="76" customFormat="false" ht="79.85" hidden="false" customHeight="false" outlineLevel="0" collapsed="false">
      <c r="A76" s="9" t="n">
        <v>3</v>
      </c>
      <c r="B76" s="17" t="s">
        <v>349</v>
      </c>
      <c r="C76" s="25" t="n">
        <f aca="false">SUMPRODUCT(--(((E7:E41&lt;&gt;"")+(F7:F41&lt;&gt;"")+(G7:G41&lt;&gt;"")+(H7:H41&lt;&gt;""))&lt;4))</f>
        <v>4</v>
      </c>
      <c r="D76" s="9" t="s">
        <v>350</v>
      </c>
      <c r="E76" s="19" t="s">
        <v>351</v>
      </c>
    </row>
    <row r="77" customFormat="false" ht="46.25" hidden="false" customHeight="false" outlineLevel="0" collapsed="false">
      <c r="A77" s="9" t="n">
        <v>4</v>
      </c>
      <c r="B77" s="17" t="s">
        <v>352</v>
      </c>
      <c r="C77" s="12" t="n">
        <f aca="false">SUMPRODUCT(MAX(ABS(E65:H65)))</f>
        <v>3</v>
      </c>
      <c r="D77" s="9" t="s">
        <v>99</v>
      </c>
      <c r="E77" s="19" t="s">
        <v>353</v>
      </c>
    </row>
    <row r="78" customFormat="false" ht="68.65" hidden="false" customHeight="false" outlineLevel="0" collapsed="false">
      <c r="A78" s="9" t="n">
        <v>5</v>
      </c>
      <c r="B78" s="17" t="s">
        <v>354</v>
      </c>
      <c r="C78" s="20" t="str">
        <f aca="false">"Header label check"</f>
        <v>Header label check</v>
      </c>
      <c r="D78" s="9" t="s">
        <v>106</v>
      </c>
      <c r="E78" s="19" t="s">
        <v>355</v>
      </c>
    </row>
    <row r="80" customFormat="false" ht="15" hidden="false" customHeight="false" outlineLevel="0" collapsed="false">
      <c r="A80" s="4" t="s">
        <v>356</v>
      </c>
      <c r="B80" s="5"/>
      <c r="C80" s="5"/>
      <c r="D80" s="5"/>
      <c r="E80" s="5"/>
      <c r="F80" s="5"/>
      <c r="G80" s="5"/>
      <c r="H80" s="5"/>
    </row>
    <row r="82" customFormat="false" ht="15" hidden="false" customHeight="false" outlineLevel="0" collapsed="false">
      <c r="A82" s="4" t="s">
        <v>109</v>
      </c>
      <c r="B82" s="5"/>
      <c r="C82" s="5"/>
      <c r="D82" s="5"/>
      <c r="E82" s="5"/>
      <c r="F82" s="5"/>
      <c r="G82" s="5"/>
      <c r="H82" s="5"/>
    </row>
    <row r="83" customFormat="false" ht="15" hidden="false" customHeight="false" outlineLevel="0" collapsed="false">
      <c r="A83" s="8" t="s">
        <v>56</v>
      </c>
      <c r="B83" s="8" t="s">
        <v>110</v>
      </c>
      <c r="C83" s="8" t="s">
        <v>111</v>
      </c>
      <c r="D83" s="8" t="s">
        <v>112</v>
      </c>
      <c r="E83" s="8" t="s">
        <v>113</v>
      </c>
      <c r="F83" s="8" t="s">
        <v>96</v>
      </c>
      <c r="G83" s="8" t="s">
        <v>114</v>
      </c>
    </row>
    <row r="84" customFormat="false" ht="23.85" hidden="false" customHeight="false" outlineLevel="0" collapsed="false">
      <c r="A84" s="9" t="n">
        <v>1</v>
      </c>
      <c r="B84" s="10" t="s">
        <v>115</v>
      </c>
      <c r="C84" s="19" t="s">
        <v>357</v>
      </c>
      <c r="D84" s="19" t="s">
        <v>358</v>
      </c>
      <c r="E84" s="12" t="n">
        <f aca="false">H23</f>
        <v>10306</v>
      </c>
      <c r="F84" s="9" t="s">
        <v>99</v>
      </c>
      <c r="G84" s="19"/>
    </row>
    <row r="85" customFormat="false" ht="23.85" hidden="false" customHeight="false" outlineLevel="0" collapsed="false">
      <c r="A85" s="9" t="n">
        <v>2</v>
      </c>
      <c r="B85" s="10" t="s">
        <v>115</v>
      </c>
      <c r="C85" s="19" t="s">
        <v>359</v>
      </c>
      <c r="D85" s="19" t="s">
        <v>360</v>
      </c>
      <c r="E85" s="12" t="n">
        <f aca="false">G59</f>
        <v>47115</v>
      </c>
      <c r="F85" s="9" t="s">
        <v>99</v>
      </c>
      <c r="G85" s="19"/>
    </row>
    <row r="86" customFormat="false" ht="23.85" hidden="false" customHeight="false" outlineLevel="0" collapsed="false">
      <c r="A86" s="9" t="n">
        <v>3</v>
      </c>
      <c r="B86" s="10" t="s">
        <v>115</v>
      </c>
      <c r="C86" s="19" t="s">
        <v>361</v>
      </c>
      <c r="D86" s="19" t="s">
        <v>362</v>
      </c>
      <c r="E86" s="12" t="n">
        <f aca="false">SUM(E61:H61)</f>
        <v>5686</v>
      </c>
      <c r="F86" s="9" t="s">
        <v>99</v>
      </c>
      <c r="G86" s="19"/>
    </row>
    <row r="87" customFormat="false" ht="23.85" hidden="false" customHeight="false" outlineLevel="0" collapsed="false">
      <c r="A87" s="9" t="n">
        <v>4</v>
      </c>
      <c r="B87" s="10" t="s">
        <v>122</v>
      </c>
      <c r="C87" s="19" t="s">
        <v>363</v>
      </c>
      <c r="D87" s="19" t="s">
        <v>364</v>
      </c>
      <c r="E87" s="13" t="n">
        <f aca="false">J51</f>
        <v>0.984684684684685</v>
      </c>
      <c r="F87" s="9" t="s">
        <v>121</v>
      </c>
      <c r="G87" s="19" t="s">
        <v>365</v>
      </c>
    </row>
    <row r="88" customFormat="false" ht="23.85" hidden="false" customHeight="false" outlineLevel="0" collapsed="false">
      <c r="A88" s="9" t="n">
        <v>5</v>
      </c>
      <c r="B88" s="10" t="s">
        <v>122</v>
      </c>
      <c r="C88" s="19" t="s">
        <v>366</v>
      </c>
      <c r="D88" s="19" t="s">
        <v>367</v>
      </c>
      <c r="E88" s="13" t="n">
        <f aca="false">L48</f>
        <v>0.296514200921563</v>
      </c>
      <c r="F88" s="9" t="s">
        <v>121</v>
      </c>
      <c r="G88" s="19"/>
    </row>
    <row r="89" customFormat="false" ht="35.05" hidden="false" customHeight="false" outlineLevel="0" collapsed="false">
      <c r="A89" s="9" t="n">
        <v>6</v>
      </c>
      <c r="B89" s="10" t="s">
        <v>122</v>
      </c>
      <c r="C89" s="19" t="s">
        <v>368</v>
      </c>
      <c r="D89" s="19" t="s">
        <v>369</v>
      </c>
      <c r="E89" s="15" t="n">
        <f aca="false">((H30+H31+H32+H34)/H60-(E30+E31+E32+E34)/E60)*100</f>
        <v>-0.918524796762127</v>
      </c>
      <c r="F89" s="9" t="s">
        <v>32</v>
      </c>
      <c r="G89" s="19" t="s">
        <v>370</v>
      </c>
    </row>
    <row r="90" customFormat="false" ht="23.85" hidden="false" customHeight="false" outlineLevel="0" collapsed="false">
      <c r="A90" s="9" t="n">
        <v>7</v>
      </c>
      <c r="B90" s="10" t="s">
        <v>122</v>
      </c>
      <c r="C90" s="19" t="s">
        <v>371</v>
      </c>
      <c r="D90" s="19" t="s">
        <v>372</v>
      </c>
      <c r="E90" s="13" t="n">
        <f aca="false">SUMPRODUCT(LARGE(H7:H41,{1,2,3,4,5}))/H62</f>
        <v>0.619963727557511</v>
      </c>
      <c r="F90" s="9" t="s">
        <v>121</v>
      </c>
      <c r="G90" s="19"/>
    </row>
    <row r="91" customFormat="false" ht="35.05" hidden="false" customHeight="false" outlineLevel="0" collapsed="false">
      <c r="A91" s="9" t="n">
        <v>8</v>
      </c>
      <c r="B91" s="10" t="s">
        <v>131</v>
      </c>
      <c r="C91" s="19" t="s">
        <v>373</v>
      </c>
      <c r="D91" s="19" t="s">
        <v>374</v>
      </c>
      <c r="E91" s="12" t="n">
        <f aca="false">SUMPRODUCT(ABS(E69:H69))</f>
        <v>0</v>
      </c>
      <c r="F91" s="9" t="s">
        <v>99</v>
      </c>
      <c r="G91" s="19" t="s">
        <v>375</v>
      </c>
    </row>
    <row r="92" customFormat="false" ht="35.05" hidden="false" customHeight="false" outlineLevel="0" collapsed="false">
      <c r="A92" s="9" t="n">
        <v>9</v>
      </c>
      <c r="B92" s="10" t="s">
        <v>131</v>
      </c>
      <c r="C92" s="19" t="s">
        <v>376</v>
      </c>
      <c r="D92" s="19" t="s">
        <v>377</v>
      </c>
      <c r="E92" s="15" t="n">
        <f aca="false">((H60-H38)/(E60-E38)-1-(H60/E60-1))*100</f>
        <v>7.67422752152855</v>
      </c>
      <c r="F92" s="9" t="s">
        <v>32</v>
      </c>
      <c r="G92" s="19" t="s">
        <v>378</v>
      </c>
    </row>
    <row r="93" customFormat="false" ht="23.85" hidden="false" customHeight="false" outlineLevel="0" collapsed="false">
      <c r="A93" s="9" t="n">
        <v>10</v>
      </c>
      <c r="B93" s="10" t="s">
        <v>131</v>
      </c>
      <c r="C93" s="19" t="s">
        <v>379</v>
      </c>
      <c r="D93" s="19" t="s">
        <v>380</v>
      </c>
      <c r="E93" s="13" t="n">
        <f aca="false">(H59-E59)/(H62-E62)</f>
        <v>0.723830886351278</v>
      </c>
      <c r="F93" s="9" t="s">
        <v>121</v>
      </c>
      <c r="G93" s="19" t="s">
        <v>381</v>
      </c>
    </row>
    <row r="95" customFormat="false" ht="15" hidden="false" customHeight="false" outlineLevel="0" collapsed="false">
      <c r="A95" s="4" t="s">
        <v>141</v>
      </c>
      <c r="B95" s="5"/>
      <c r="C95" s="5"/>
      <c r="D95" s="5"/>
      <c r="E95" s="5"/>
      <c r="F95" s="5"/>
      <c r="G95" s="5"/>
      <c r="H95" s="5"/>
    </row>
    <row r="96" customFormat="false" ht="75" hidden="false" customHeight="true" outlineLevel="0" collapsed="false">
      <c r="A96" s="21" t="s">
        <v>382</v>
      </c>
      <c r="B96" s="21"/>
      <c r="C96" s="21"/>
      <c r="D96" s="21"/>
      <c r="E96" s="21"/>
      <c r="F96" s="21"/>
      <c r="G96" s="21"/>
      <c r="H96" s="21"/>
    </row>
    <row r="98" customFormat="false" ht="15" hidden="false" customHeight="false" outlineLevel="0" collapsed="false">
      <c r="A98" s="3" t="s">
        <v>2</v>
      </c>
    </row>
  </sheetData>
  <mergeCells count="1">
    <mergeCell ref="A96:H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8" topLeftCell="A2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383</v>
      </c>
    </row>
    <row r="2" customFormat="false" ht="1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25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2" t="s">
        <v>145</v>
      </c>
      <c r="C6" s="22" t="s">
        <v>146</v>
      </c>
      <c r="D6" s="22"/>
      <c r="E6" s="22"/>
      <c r="F6" s="22"/>
    </row>
    <row r="7" customFormat="false" ht="15" hidden="false" customHeight="true" outlineLevel="0" collapsed="false">
      <c r="B7" s="10" t="s">
        <v>384</v>
      </c>
      <c r="C7" s="19" t="s">
        <v>385</v>
      </c>
      <c r="D7" s="19"/>
      <c r="E7" s="19"/>
      <c r="F7" s="19"/>
    </row>
    <row r="8" customFormat="false" ht="15" hidden="false" customHeight="true" outlineLevel="0" collapsed="false">
      <c r="B8" s="10" t="s">
        <v>386</v>
      </c>
      <c r="C8" s="19" t="s">
        <v>387</v>
      </c>
      <c r="D8" s="19"/>
      <c r="E8" s="19"/>
      <c r="F8" s="19"/>
    </row>
    <row r="9" customFormat="false" ht="15" hidden="false" customHeight="true" outlineLevel="0" collapsed="false">
      <c r="B9" s="10" t="s">
        <v>388</v>
      </c>
      <c r="C9" s="19" t="s">
        <v>389</v>
      </c>
      <c r="D9" s="19"/>
      <c r="E9" s="19"/>
      <c r="F9" s="19"/>
    </row>
    <row r="10" customFormat="false" ht="15" hidden="false" customHeight="true" outlineLevel="0" collapsed="false">
      <c r="B10" s="10" t="s">
        <v>165</v>
      </c>
      <c r="C10" s="19" t="s">
        <v>390</v>
      </c>
      <c r="D10" s="19"/>
      <c r="E10" s="19"/>
      <c r="F10" s="19"/>
    </row>
    <row r="11" customFormat="false" ht="15" hidden="false" customHeight="true" outlineLevel="0" collapsed="false">
      <c r="B11" s="10" t="s">
        <v>151</v>
      </c>
      <c r="C11" s="19" t="s">
        <v>391</v>
      </c>
      <c r="D11" s="19"/>
      <c r="E11" s="19"/>
      <c r="F11" s="19"/>
    </row>
    <row r="12" customFormat="false" ht="15" hidden="false" customHeight="true" outlineLevel="0" collapsed="false">
      <c r="B12" s="10" t="s">
        <v>163</v>
      </c>
      <c r="C12" s="19" t="s">
        <v>392</v>
      </c>
      <c r="D12" s="19"/>
      <c r="E12" s="19"/>
      <c r="F12" s="19"/>
    </row>
    <row r="13" customFormat="false" ht="15" hidden="false" customHeight="true" outlineLevel="0" collapsed="false">
      <c r="B13" s="10" t="s">
        <v>393</v>
      </c>
      <c r="C13" s="19" t="s">
        <v>394</v>
      </c>
      <c r="D13" s="19"/>
      <c r="E13" s="19"/>
      <c r="F13" s="19"/>
    </row>
    <row r="14" customFormat="false" ht="15" hidden="false" customHeight="true" outlineLevel="0" collapsed="false">
      <c r="B14" s="10" t="s">
        <v>395</v>
      </c>
      <c r="C14" s="19" t="s">
        <v>396</v>
      </c>
      <c r="D14" s="19"/>
      <c r="E14" s="19"/>
      <c r="F14" s="19"/>
    </row>
    <row r="15" customFormat="false" ht="15" hidden="false" customHeight="true" outlineLevel="0" collapsed="false">
      <c r="B15" s="10" t="s">
        <v>397</v>
      </c>
      <c r="C15" s="19" t="s">
        <v>317</v>
      </c>
      <c r="D15" s="19"/>
      <c r="E15" s="19"/>
      <c r="F15" s="19"/>
    </row>
    <row r="16" customFormat="false" ht="15" hidden="false" customHeight="true" outlineLevel="0" collapsed="false">
      <c r="B16" s="10" t="s">
        <v>398</v>
      </c>
      <c r="C16" s="19" t="s">
        <v>399</v>
      </c>
      <c r="D16" s="19"/>
      <c r="E16" s="19"/>
      <c r="F16" s="19"/>
    </row>
    <row r="17" customFormat="false" ht="15" hidden="false" customHeight="true" outlineLevel="0" collapsed="false">
      <c r="B17" s="10" t="s">
        <v>400</v>
      </c>
      <c r="C17" s="19" t="s">
        <v>401</v>
      </c>
      <c r="D17" s="19"/>
      <c r="E17" s="19"/>
      <c r="F17" s="19"/>
    </row>
    <row r="18" customFormat="false" ht="15" hidden="false" customHeight="true" outlineLevel="0" collapsed="false">
      <c r="B18" s="10" t="s">
        <v>402</v>
      </c>
      <c r="C18" s="19" t="s">
        <v>403</v>
      </c>
      <c r="D18" s="19"/>
      <c r="E18" s="19"/>
      <c r="F18" s="19"/>
    </row>
    <row r="19" customFormat="false" ht="15" hidden="false" customHeight="true" outlineLevel="0" collapsed="false">
      <c r="B19" s="10" t="s">
        <v>36</v>
      </c>
      <c r="C19" s="19" t="s">
        <v>404</v>
      </c>
      <c r="D19" s="19"/>
      <c r="E19" s="19"/>
      <c r="F19" s="19"/>
    </row>
    <row r="20" customFormat="false" ht="15" hidden="false" customHeight="true" outlineLevel="0" collapsed="false">
      <c r="B20" s="10" t="s">
        <v>155</v>
      </c>
      <c r="C20" s="19" t="s">
        <v>156</v>
      </c>
      <c r="D20" s="19"/>
      <c r="E20" s="19"/>
      <c r="F20" s="19"/>
    </row>
    <row r="21" customFormat="false" ht="15" hidden="false" customHeight="true" outlineLevel="0" collapsed="false">
      <c r="B21" s="10" t="s">
        <v>30</v>
      </c>
      <c r="C21" s="19" t="s">
        <v>405</v>
      </c>
      <c r="D21" s="19"/>
      <c r="E21" s="19"/>
      <c r="F21" s="19"/>
    </row>
    <row r="22" customFormat="false" ht="15" hidden="false" customHeight="true" outlineLevel="0" collapsed="false">
      <c r="B22" s="10" t="s">
        <v>406</v>
      </c>
      <c r="C22" s="19" t="s">
        <v>407</v>
      </c>
      <c r="D22" s="19"/>
      <c r="E22" s="19"/>
      <c r="F22" s="19"/>
    </row>
    <row r="23" customFormat="false" ht="15" hidden="false" customHeight="true" outlineLevel="0" collapsed="false">
      <c r="B23" s="10" t="s">
        <v>408</v>
      </c>
      <c r="C23" s="19" t="s">
        <v>409</v>
      </c>
      <c r="D23" s="19"/>
      <c r="E23" s="19"/>
      <c r="F23" s="19"/>
    </row>
    <row r="24" customFormat="false" ht="15" hidden="false" customHeight="true" outlineLevel="0" collapsed="false">
      <c r="B24" s="10" t="s">
        <v>410</v>
      </c>
      <c r="C24" s="19" t="s">
        <v>411</v>
      </c>
      <c r="D24" s="19"/>
      <c r="E24" s="19"/>
      <c r="F24" s="19"/>
    </row>
    <row r="25" customFormat="false" ht="15" hidden="false" customHeight="false" outlineLevel="0" collapsed="false">
      <c r="B25" s="23" t="s">
        <v>412</v>
      </c>
    </row>
    <row r="27" customFormat="false" ht="15" hidden="false" customHeight="false" outlineLevel="0" collapsed="false">
      <c r="A27" s="4" t="s">
        <v>170</v>
      </c>
      <c r="B27" s="5"/>
      <c r="C27" s="5"/>
      <c r="D27" s="5"/>
      <c r="E27" s="5"/>
      <c r="F27" s="5"/>
    </row>
    <row r="28" customFormat="false" ht="15" hidden="false" customHeight="false" outlineLevel="0" collapsed="false">
      <c r="A28" s="8" t="s">
        <v>56</v>
      </c>
      <c r="B28" s="8" t="s">
        <v>171</v>
      </c>
      <c r="C28" s="8" t="s">
        <v>172</v>
      </c>
      <c r="D28" s="8" t="s">
        <v>173</v>
      </c>
      <c r="E28" s="8" t="s">
        <v>174</v>
      </c>
      <c r="F28" s="8" t="s">
        <v>175</v>
      </c>
    </row>
    <row r="29" customFormat="false" ht="23.85" hidden="false" customHeight="false" outlineLevel="0" collapsed="false">
      <c r="A29" s="9" t="n">
        <v>1</v>
      </c>
      <c r="B29" s="19" t="s">
        <v>176</v>
      </c>
      <c r="C29" s="19" t="s">
        <v>413</v>
      </c>
      <c r="D29" s="19" t="s">
        <v>384</v>
      </c>
      <c r="E29" s="19" t="s">
        <v>414</v>
      </c>
      <c r="F29" s="24" t="str">
        <f aca="false">"Prime LAP "&amp;TEXT(P2_Detailed_Table!E23,"#,##0;-#,##0;0")&amp;" / "&amp;TEXT(P2_Detailed_Table!F23,"#,##0;-#,##0;0")&amp;" / "&amp;TEXT(P2_Detailed_Table!G23,"#,##0;-#,##0;0")&amp;" / "&amp;TEXT(P2_Detailed_Table!H23,"#,##0;-#,##0;0")</f>
        <v>Prime LAP 8,230 / 8,942 / 9,936 / 10,306</v>
      </c>
    </row>
    <row r="30" customFormat="false" ht="23.85" hidden="false" customHeight="false" outlineLevel="0" collapsed="false">
      <c r="A30" s="9" t="n">
        <v>2</v>
      </c>
      <c r="B30" s="19" t="s">
        <v>176</v>
      </c>
      <c r="C30" s="19" t="s">
        <v>415</v>
      </c>
      <c r="D30" s="19" t="s">
        <v>416</v>
      </c>
      <c r="E30" s="19" t="s">
        <v>417</v>
      </c>
      <c r="F30" s="24" t="str">
        <f aca="false">"Corporate Banking "&amp;TEXT(P2_Detailed_Table!E48,"#,##0;-#,##0;0")&amp;" / "&amp;TEXT(P2_Detailed_Table!F48,"#,##0;-#,##0;0")&amp;" / "&amp;TEXT(P2_Detailed_Table!G48,"#,##0;-#,##0;0")&amp;" / "&amp;TEXT(P2_Detailed_Table!H48,"#,##0;-#,##0;0")&amp;"; Credit Cards "&amp;TEXT(P2_Detailed_Table!E53,"#,##0;-#,##0;0")&amp;" / "&amp;TEXT(P2_Detailed_Table!F53,"#,##0;-#,##0;0")&amp;" / "&amp;TEXT(P2_Detailed_Table!G53,"#,##0;-#,##0;0")&amp;" / "&amp;TEXT(P2_Detailed_Table!H53,"#,##0;-#,##0;0")</f>
        <v>Corporate Banking 27,280 / 28,459 / 31,847 / 34,170; Credit Cards 20,457 / 19,901 / 19,577 / 19,321</v>
      </c>
    </row>
    <row r="31" customFormat="false" ht="15" hidden="false" customHeight="false" outlineLevel="0" collapsed="false">
      <c r="A31" s="9" t="n">
        <v>3</v>
      </c>
      <c r="B31" s="19" t="s">
        <v>176</v>
      </c>
      <c r="C31" s="19" t="s">
        <v>418</v>
      </c>
      <c r="D31" s="19" t="s">
        <v>419</v>
      </c>
      <c r="E31" s="19" t="s">
        <v>420</v>
      </c>
      <c r="F31" s="24" t="str">
        <f aca="false">"W "&amp;TEXT(P2_Detailed_Table!E59,"#,##0;-#,##0;0")&amp;" / "&amp;TEXT(P2_Detailed_Table!F59,"#,##0;-#,##0;0")&amp;" / "&amp;TEXT(P2_Detailed_Table!G59,"#,##0;-#,##0;0")&amp;" / "&amp;TEXT(P2_Detailed_Table!H59,"#,##0;-#,##0;0")&amp;"; R "&amp;TEXT(P2_Detailed_Table!E60,"#,##0;-#,##0;0")&amp;" / "&amp;TEXT(P2_Detailed_Table!F60,"#,##0;-#,##0;0")&amp;" / "&amp;TEXT(P2_Detailed_Table!G60,"#,##0;-#,##0;0")&amp;" / "&amp;TEXT(P2_Detailed_Table!H60,"#,##0;-#,##0;0")</f>
        <v>W 40,395 / 42,474 / 47,115 / 51,044; R 60,132 / 59,612 / 63,420 / 64,195</v>
      </c>
    </row>
    <row r="32" customFormat="false" ht="15" hidden="false" customHeight="false" outlineLevel="0" collapsed="false">
      <c r="A32" s="9" t="n">
        <v>4</v>
      </c>
      <c r="B32" s="19" t="s">
        <v>176</v>
      </c>
      <c r="C32" s="19" t="s">
        <v>336</v>
      </c>
      <c r="D32" s="19" t="s">
        <v>421</v>
      </c>
      <c r="E32" s="19" t="s">
        <v>422</v>
      </c>
      <c r="F32" s="24" t="str">
        <f aca="false">TEXT(P2_Detailed_Table!F61,"#,##0;-#,##0;0")&amp;" / "&amp;TEXT(P2_Detailed_Table!G61,"#,##0;-#,##0;0")&amp;" / "&amp;TEXT(P2_Detailed_Table!H61,"#,##0;-#,##0;0")</f>
        <v>1,000 / 3,700 / 986</v>
      </c>
    </row>
    <row r="33" customFormat="false" ht="15" hidden="false" customHeight="false" outlineLevel="0" collapsed="false">
      <c r="A33" s="9" t="n">
        <v>5</v>
      </c>
      <c r="B33" s="19" t="s">
        <v>176</v>
      </c>
      <c r="C33" s="19" t="s">
        <v>423</v>
      </c>
      <c r="D33" s="19" t="s">
        <v>424</v>
      </c>
      <c r="E33" s="19" t="s">
        <v>183</v>
      </c>
      <c r="F33" s="24" t="str">
        <f aca="false">TEXT(P2_Detailed_Table!E64,"#,##0;-#,##0;0")&amp;" / "&amp;TEXT(P2_Detailed_Table!F64,"#,##0;-#,##0;0")&amp;" / "&amp;TEXT(P2_Detailed_Table!G64,"#,##0;-#,##0;0")&amp;" / "&amp;TEXT(P2_Detailed_Table!H64,"#,##0;-#,##0;0")</f>
        <v>100,527 / 103,086 / 114,232 / 116,226</v>
      </c>
    </row>
    <row r="34" customFormat="false" ht="15" hidden="false" customHeight="false" outlineLevel="0" collapsed="false">
      <c r="A34" s="9" t="n">
        <v>6</v>
      </c>
      <c r="B34" s="19" t="s">
        <v>180</v>
      </c>
      <c r="C34" s="19" t="s">
        <v>425</v>
      </c>
      <c r="D34" s="19" t="s">
        <v>426</v>
      </c>
      <c r="E34" s="19" t="s">
        <v>183</v>
      </c>
      <c r="F34" s="24" t="str">
        <f aca="false">TEXT(P2_Detailed_Table!E62,"#,##0;-#,##0;0")&amp;" / "&amp;TEXT(P2_Detailed_Table!F62,"#,##0;-#,##0;0")&amp;" / "&amp;TEXT(P2_Detailed_Table!G62,"#,##0;-#,##0;0")&amp;" / "&amp;TEXT(P2_Detailed_Table!H62,"#,##0;-#,##0;0")</f>
        <v>100,527 / 102,086 / 110,535 / 115,239</v>
      </c>
    </row>
    <row r="35" customFormat="false" ht="15" hidden="false" customHeight="false" outlineLevel="0" collapsed="false">
      <c r="A35" s="9" t="n">
        <v>7</v>
      </c>
      <c r="B35" s="19" t="s">
        <v>180</v>
      </c>
      <c r="C35" s="19" t="s">
        <v>427</v>
      </c>
      <c r="D35" s="19" t="s">
        <v>428</v>
      </c>
      <c r="E35" s="19" t="s">
        <v>183</v>
      </c>
      <c r="F35" s="24" t="str">
        <f aca="false">TEXT(P2_Detailed_Table!E65,"#,##0;-#,##0;0")&amp;" / "&amp;TEXT(P2_Detailed_Table!F65,"#,##0;-#,##0;0")&amp;" / "&amp;TEXT(P2_Detailed_Table!G65,"#,##0;-#,##0;0")&amp;" / "&amp;TEXT(P2_Detailed_Table!H65,"#,##0;-#,##0;0")&amp;" (rounding)"</f>
        <v>0 / 0 / -3 / 1 (rounding)</v>
      </c>
    </row>
    <row r="36" customFormat="false" ht="15" hidden="false" customHeight="false" outlineLevel="0" collapsed="false">
      <c r="A36" s="9" t="n">
        <v>8</v>
      </c>
      <c r="B36" s="19" t="s">
        <v>180</v>
      </c>
      <c r="C36" s="19" t="s">
        <v>429</v>
      </c>
      <c r="D36" s="19" t="s">
        <v>430</v>
      </c>
      <c r="E36" s="19" t="s">
        <v>183</v>
      </c>
      <c r="F36" s="24" t="str">
        <f aca="false">TEXT(P2_Detailed_Table!E68,"#,##0;-#,##0;0")&amp;" / "&amp;TEXT(P2_Detailed_Table!F68,"#,##0;-#,##0;0")&amp;" / "&amp;TEXT(P2_Detailed_Table!G68,"#,##0;-#,##0;0")&amp;" / "&amp;TEXT(P2_Detailed_Table!H68,"#,##0;-#,##0;0")</f>
        <v>0 / 1,000 / 3,700 / 986</v>
      </c>
    </row>
    <row r="37" customFormat="false" ht="15" hidden="false" customHeight="false" outlineLevel="0" collapsed="false">
      <c r="A37" s="9" t="n">
        <v>9</v>
      </c>
      <c r="B37" s="19" t="s">
        <v>180</v>
      </c>
      <c r="C37" s="19" t="s">
        <v>431</v>
      </c>
      <c r="D37" s="19" t="s">
        <v>432</v>
      </c>
      <c r="E37" s="19" t="s">
        <v>183</v>
      </c>
      <c r="F37" s="24" t="str">
        <f aca="false">TEXT(P2_Detailed_Table!E69,"#,##0;-#,##0;0")&amp;" / "&amp;TEXT(P2_Detailed_Table!F69,"#,##0;-#,##0;0")&amp;" / "&amp;TEXT(P2_Detailed_Table!G69,"#,##0;-#,##0;0")&amp;" / "&amp;TEXT(P2_Detailed_Table!H69,"#,##0;-#,##0;0")&amp;" (all tie)"</f>
        <v>0 / 0 / 0 / 0 (all tie)</v>
      </c>
    </row>
    <row r="38" customFormat="false" ht="15" hidden="false" customHeight="false" outlineLevel="0" collapsed="false">
      <c r="A38" s="9" t="n">
        <v>10</v>
      </c>
      <c r="B38" s="19" t="s">
        <v>192</v>
      </c>
      <c r="C38" s="19" t="s">
        <v>433</v>
      </c>
      <c r="D38" s="19" t="s">
        <v>434</v>
      </c>
      <c r="E38" s="19" t="s">
        <v>435</v>
      </c>
      <c r="F38" s="24" t="str">
        <f aca="false">"Micro Banking "&amp;TEXT(P2_Detailed_Table!I32,"+0.0%;-0.0%;0.0%")&amp;" / "&amp;TEXT(P2_Detailed_Table!J32,"+0.0%;-0.0%;0.0%")&amp;" / "&amp;TEXT(P2_Detailed_Table!K32,"+0.0%;-0.0%;0.0%")&amp;"; Prime LAP "&amp;TEXT(P2_Detailed_Table!I23,"+0.0%;-0.0%;0.0%")&amp;" / "&amp;TEXT(P2_Detailed_Table!J23,"+0.0%;-0.0%;0.0%")&amp;" / "&amp;TEXT(P2_Detailed_Table!K23,"+0.0%;-0.0%;0.0%")</f>
        <v>Micro Banking +13.7% / +16.1% / +5.7%; Prime LAP +8.7% / +11.1% / +3.7%</v>
      </c>
    </row>
    <row r="39" customFormat="false" ht="23.85" hidden="false" customHeight="false" outlineLevel="0" collapsed="false">
      <c r="A39" s="9" t="n">
        <v>11</v>
      </c>
      <c r="B39" s="19" t="s">
        <v>192</v>
      </c>
      <c r="C39" s="19" t="s">
        <v>436</v>
      </c>
      <c r="D39" s="19" t="s">
        <v>437</v>
      </c>
      <c r="E39" s="19" t="s">
        <v>438</v>
      </c>
      <c r="F39" s="24" t="str">
        <f aca="false">"Gold Loan - BBB "&amp;TEXT(P2_Detailed_Table!M25,"+0.0%;-0.0%;0.0%")&amp;"; Gold Loan DA/CL "&amp;TEXT(P2_Detailed_Table!M26,"+0.0%;-0.0%;0.0%")&amp;"; Small LAP "&amp;TEXT(P2_Detailed_Table!M24,"+0.0%;-0.0%;0.0%")&amp;"; Micro Banking "&amp;TEXT(P2_Detailed_Table!M32,"+0.0%;-0.0%;0.0%")&amp;"; CC excl STPL "&amp;TEXT(P2_Detailed_Table!M30,"+0.0%;-0.0%;0.0%")</f>
        <v>Gold Loan - BBB +113.2%; Gold Loan DA/CL +92.0%; Small LAP +71.9%; Micro Banking +39.6%; CC excl STPL -6.7%</v>
      </c>
    </row>
    <row r="40" customFormat="false" ht="23.85" hidden="false" customHeight="false" outlineLevel="0" collapsed="false">
      <c r="A40" s="9" t="n">
        <v>12</v>
      </c>
      <c r="B40" s="19" t="s">
        <v>192</v>
      </c>
      <c r="C40" s="19" t="s">
        <v>439</v>
      </c>
      <c r="D40" s="19" t="s">
        <v>440</v>
      </c>
      <c r="E40" s="19" t="s">
        <v>441</v>
      </c>
      <c r="F40" s="24" t="str">
        <f aca="false">"Commercial "&amp;TEXT(P2_Detailed_Table!J47,"+0.0%;-0.0%;0.0%")&amp;"; Corporate "&amp;TEXT(P2_Detailed_Table!J48,"+0.0%;-0.0%;0.0%")&amp;"; Housing "&amp;TEXT(P2_Detailed_Table!J49,"+0.0%;-0.0%;0.0%")&amp;"; LAP "&amp;TEXT(P2_Detailed_Table!J50,"+0.0%;-0.0%;0.0%")&amp;"; Gold "&amp;TEXT(P2_Detailed_Table!J51,"+0.0%;-0.0%;0.0%")&amp;"; Cards "&amp;TEXT(P2_Detailed_Table!J53,"+0.0%;-0.0%;0.0%")&amp;"; Micro "&amp;TEXT(P2_Detailed_Table!J54,"+0.0%;-0.0%;0.0%")&amp;"; Wheels "&amp;TEXT(P2_Detailed_Table!J56,"+0.0%;-0.0%;0.0%")</f>
        <v>Commercial +28.7%; Corporate +25.3%; Housing +5.1%; LAP +25.8%; Gold +98.5%; Cards -5.6%; Micro +39.6%; Wheels +11.6%</v>
      </c>
    </row>
    <row r="41" customFormat="false" ht="23.85" hidden="false" customHeight="false" outlineLevel="0" collapsed="false">
      <c r="A41" s="9" t="n">
        <v>13</v>
      </c>
      <c r="B41" s="19" t="s">
        <v>192</v>
      </c>
      <c r="C41" s="19" t="s">
        <v>442</v>
      </c>
      <c r="D41" s="19" t="s">
        <v>443</v>
      </c>
      <c r="E41" s="19" t="s">
        <v>444</v>
      </c>
      <c r="F41" s="24" t="str">
        <f aca="false">"Corporate "&amp;TEXT(P2_Detailed_Table!F48/P2_Detailed_Table!E48-1,"+0.0%;-0.0%;0.0%")&amp;" / "&amp;TEXT(P2_Detailed_Table!G48/P2_Detailed_Table!F48-1,"+0.0%;-0.0%;0.0%")&amp;" / "&amp;TEXT(P2_Detailed_Table!H48/P2_Detailed_Table!G48-1,"+0.0%;-0.0%;0.0%")&amp;"; Gold "&amp;TEXT(P2_Detailed_Table!F51/P2_Detailed_Table!E51-1,"+0.0%;-0.0%;0.0%")&amp;" / "&amp;TEXT(P2_Detailed_Table!G51/P2_Detailed_Table!F51-1,"+0.0%;-0.0%;0.0%")&amp;" / "&amp;TEXT(P2_Detailed_Table!H51/P2_Detailed_Table!G51-1,"+0.0%;-0.0%;0.0%")&amp;"; Cards "&amp;TEXT(P2_Detailed_Table!F53/P2_Detailed_Table!E53-1,"+0.0%;-0.0%;0.0%")&amp;" / "&amp;TEXT(P2_Detailed_Table!G53/P2_Detailed_Table!F53-1,"+0.0%;-0.0%;0.0%")&amp;" / "&amp;TEXT(P2_Detailed_Table!H53/P2_Detailed_Table!G53-1,"+0.0%;-0.0%;0.0%")</f>
        <v>Corporate +4.3% / +11.9% / +7.3%; Gold +51.2% / +26.8% / +3.5%; Cards -2.7% / -1.6% / -1.3%</v>
      </c>
    </row>
    <row r="42" customFormat="false" ht="15" hidden="false" customHeight="false" outlineLevel="0" collapsed="false">
      <c r="A42" s="9" t="n">
        <v>14</v>
      </c>
      <c r="B42" s="19" t="s">
        <v>192</v>
      </c>
      <c r="C42" s="19" t="s">
        <v>445</v>
      </c>
      <c r="D42" s="19" t="s">
        <v>446</v>
      </c>
      <c r="E42" s="19" t="s">
        <v>447</v>
      </c>
      <c r="F42" s="24" t="str">
        <f aca="false">"W "&amp;TEXT(P2_Detailed_Table!H59/P2_Detailed_Table!E59-1,"+0.0%;-0.0%;0.0%")&amp;"; R "&amp;TEXT(P2_Detailed_Table!H60/P2_Detailed_Table!E60-1,"+0.0%;-0.0%;0.0%")&amp;"; T "&amp;TEXT(P2_Detailed_Table!H62/P2_Detailed_Table!E62-1,"+0.0%;-0.0%;0.0%")</f>
        <v>W +26.4%; R +6.8%; T +14.6%</v>
      </c>
    </row>
    <row r="43" customFormat="false" ht="15" hidden="false" customHeight="false" outlineLevel="0" collapsed="false">
      <c r="A43" s="9" t="n">
        <v>15</v>
      </c>
      <c r="B43" s="19" t="s">
        <v>192</v>
      </c>
      <c r="C43" s="19" t="s">
        <v>448</v>
      </c>
      <c r="D43" s="19" t="s">
        <v>160</v>
      </c>
      <c r="E43" s="19" t="s">
        <v>449</v>
      </c>
      <c r="F43" s="24" t="str">
        <f aca="false">"W "&amp;TEXT(P2_Detailed_Table!F59/P2_Detailed_Table!E59-1,"+0.0%;-0.0%;0.0%")&amp;" / "&amp;TEXT(P2_Detailed_Table!G59/P2_Detailed_Table!F59-1,"+0.0%;-0.0%;0.0%")&amp;" / "&amp;TEXT(P2_Detailed_Table!H59/P2_Detailed_Table!G59-1,"+0.0%;-0.0%;0.0%")&amp;"; R "&amp;TEXT(P2_Detailed_Table!F60/P2_Detailed_Table!E60-1,"+0.0%;-0.0%;0.0%")&amp;" / "&amp;TEXT(P2_Detailed_Table!G60/P2_Detailed_Table!F60-1,"+0.0%;-0.0%;0.0%")&amp;" / "&amp;TEXT(P2_Detailed_Table!H60/P2_Detailed_Table!G60-1,"+0.0%;-0.0%;0.0%")</f>
        <v>W +5.1% / +10.9% / +8.3%; R -0.9% / +6.4% / +1.2%</v>
      </c>
    </row>
    <row r="44" customFormat="false" ht="15" hidden="false" customHeight="false" outlineLevel="0" collapsed="false">
      <c r="A44" s="9" t="n">
        <v>16</v>
      </c>
      <c r="B44" s="19" t="s">
        <v>192</v>
      </c>
      <c r="C44" s="19" t="s">
        <v>450</v>
      </c>
      <c r="D44" s="19" t="s">
        <v>451</v>
      </c>
      <c r="E44" s="19" t="s">
        <v>215</v>
      </c>
      <c r="F44" s="24" t="str">
        <f aca="false">"Reported "&amp;TEXT(P2_Detailed_Table!H60/P2_Detailed_Table!E60-1,"+0.0%;-0.0%;0.0%")&amp;" vs LFL "&amp;TEXT((P2_Detailed_Table!H60-P2_Detailed_Table!H38)/(P2_Detailed_Table!E60-P2_Detailed_Table!E38)-1,"+0.0%;-0.0%;0.0%")</f>
        <v>Reported +6.8% vs LFL +14.4%</v>
      </c>
    </row>
    <row r="45" customFormat="false" ht="15" hidden="false" customHeight="false" outlineLevel="0" collapsed="false">
      <c r="A45" s="9" t="n">
        <v>17</v>
      </c>
      <c r="B45" s="19" t="s">
        <v>192</v>
      </c>
      <c r="C45" s="19" t="s">
        <v>452</v>
      </c>
      <c r="D45" s="19" t="s">
        <v>453</v>
      </c>
      <c r="E45" s="19" t="s">
        <v>215</v>
      </c>
      <c r="F45" s="24" t="str">
        <f aca="false">TEXT((P2_Detailed_Table!H60-P2_Detailed_Table!H53)/(P2_Detailed_Table!E60-P2_Detailed_Table!E53)-1,"+0.0%;-0.0%;0.0%")</f>
        <v>+13.1%</v>
      </c>
    </row>
    <row r="46" customFormat="false" ht="15" hidden="false" customHeight="false" outlineLevel="0" collapsed="false">
      <c r="A46" s="9" t="n">
        <v>18</v>
      </c>
      <c r="B46" s="19" t="s">
        <v>192</v>
      </c>
      <c r="C46" s="19" t="s">
        <v>454</v>
      </c>
      <c r="D46" s="19" t="s">
        <v>455</v>
      </c>
      <c r="E46" s="19" t="s">
        <v>438</v>
      </c>
      <c r="F46" s="24" t="str">
        <f aca="false">INDEX(P2_Detailed_Table!D7:D41,MATCH(MAX(P2_Detailed_Table!L7:L41),P2_Detailed_Table!L7:L41,0))&amp;" "&amp;TEXT(MAX(P2_Detailed_Table!L7:L41),"#,##0;-#,##0;0")&amp;"; "&amp;INDEX(P2_Detailed_Table!D7:D41,MATCH(MIN(P2_Detailed_Table!L7:L41),P2_Detailed_Table!L7:L41,0))&amp;" "&amp;TEXT(MIN(P2_Detailed_Table!L7:L41),"#,##0;-#,##0;0")</f>
        <v>Corporate Banking (incl G&amp;J) 4,116; Retail - Others -3,981</v>
      </c>
    </row>
    <row r="47" customFormat="false" ht="23.85" hidden="false" customHeight="false" outlineLevel="0" collapsed="false">
      <c r="A47" s="9" t="n">
        <v>19</v>
      </c>
      <c r="B47" s="19" t="s">
        <v>192</v>
      </c>
      <c r="C47" s="19" t="s">
        <v>456</v>
      </c>
      <c r="D47" s="19" t="s">
        <v>457</v>
      </c>
      <c r="E47" s="19" t="s">
        <v>438</v>
      </c>
      <c r="F47" s="24" t="str">
        <f aca="false">INDEX(P2_Detailed_Table!D7:D41,MATCH(_xlfn.MAXIFS(P2_Detailed_Table!M7:M41,P2_Detailed_Table!E7:E41,"&gt;=100"),P2_Detailed_Table!M7:M41,0))&amp;" "&amp;TEXT(_xlfn.MAXIFS(P2_Detailed_Table!M7:M41,P2_Detailed_Table!E7:E41,"&gt;=100"),"+0.0%;-0.0%;0.0%")</f>
        <v>Gold Loan - BBB +113.2%</v>
      </c>
    </row>
    <row r="48" customFormat="false" ht="15" hidden="false" customHeight="false" outlineLevel="0" collapsed="false">
      <c r="A48" s="9" t="n">
        <v>20</v>
      </c>
      <c r="B48" s="19" t="s">
        <v>192</v>
      </c>
      <c r="C48" s="19" t="s">
        <v>458</v>
      </c>
      <c r="D48" s="19" t="s">
        <v>459</v>
      </c>
      <c r="E48" s="19" t="s">
        <v>438</v>
      </c>
      <c r="F48" s="24" t="str">
        <f aca="false">TEXT(COUNTIF(P2_Detailed_Table!L7:L41,"&gt;0"),"0")&amp;" growing / "&amp;TEXT(COUNTIF(P2_Detailed_Table!L7:L41,"&lt;0"),"0")&amp;" declining = "&amp;TEXT(COUNTIF(P2_Detailed_Table!L7:L41,"&gt;0")/(COUNTIF(P2_Detailed_Table!L7:L41,"&gt;0")+COUNTIF(P2_Detailed_Table!L7:L41,"&lt;0")),"0.0%")</f>
        <v>23 growing / 9 declining = 71.9%</v>
      </c>
    </row>
    <row r="49" customFormat="false" ht="23.85" hidden="false" customHeight="false" outlineLevel="0" collapsed="false">
      <c r="A49" s="9" t="n">
        <v>21</v>
      </c>
      <c r="B49" s="19" t="s">
        <v>219</v>
      </c>
      <c r="C49" s="19" t="s">
        <v>460</v>
      </c>
      <c r="D49" s="19" t="s">
        <v>461</v>
      </c>
      <c r="E49" s="19" t="s">
        <v>441</v>
      </c>
      <c r="F49" s="24" t="str">
        <f aca="false">"Corporate "&amp;TEXT(P2_Detailed_Table!N48,"0.0%")&amp;"; Commercial "&amp;TEXT(P2_Detailed_Table!N47,"0.0%")&amp;"; Micro "&amp;TEXT(P2_Detailed_Table!N54,"0.0%")&amp;"; Gold "&amp;TEXT(P2_Detailed_Table!N51,"0.0%")&amp;"; LAP "&amp;TEXT(P2_Detailed_Table!N50,"0.0%")&amp;"; Cards "&amp;TEXT(P2_Detailed_Table!N53,"0.0%")&amp;"; Retail Others "&amp;TEXT(P2_Detailed_Table!N55,"0.0%")</f>
        <v>Corporate 46.8%; Commercial 25.6%; Micro 15.8%; Gold 14.9%; LAP 19.2%; Cards -7.7%; Retail Others -26.5%</v>
      </c>
    </row>
    <row r="50" customFormat="false" ht="15" hidden="false" customHeight="false" outlineLevel="0" collapsed="false">
      <c r="A50" s="9" t="n">
        <v>22</v>
      </c>
      <c r="B50" s="19" t="s">
        <v>219</v>
      </c>
      <c r="C50" s="19" t="s">
        <v>462</v>
      </c>
      <c r="D50" s="19" t="s">
        <v>221</v>
      </c>
      <c r="E50" s="19" t="s">
        <v>215</v>
      </c>
      <c r="F50" s="24" t="str">
        <f aca="false">"W "&amp;TEXT((P2_Detailed_Table!H59-P2_Detailed_Table!E59)/(P2_Detailed_Table!H62-P2_Detailed_Table!E62),"0.0%")&amp;"; R "&amp;TEXT((P2_Detailed_Table!H60-P2_Detailed_Table!E60)/(P2_Detailed_Table!H62-P2_Detailed_Table!E62),"0.0%")</f>
        <v>W 72.4%; R 27.6%</v>
      </c>
    </row>
    <row r="51" customFormat="false" ht="23.85" hidden="false" customHeight="false" outlineLevel="0" collapsed="false">
      <c r="A51" s="9" t="n">
        <v>23</v>
      </c>
      <c r="B51" s="19" t="s">
        <v>219</v>
      </c>
      <c r="C51" s="19" t="s">
        <v>463</v>
      </c>
      <c r="D51" s="19" t="s">
        <v>464</v>
      </c>
      <c r="E51" s="19" t="s">
        <v>438</v>
      </c>
      <c r="F51" s="24" t="str">
        <f aca="false">"Corp Banking (incl G&amp;J) "&amp;TEXT(P2_Detailed_Table!P11,"0.0%")&amp;"; CB (incl Agri &amp; NE) "&amp;TEXT(P2_Detailed_Table!P7,"0.0%")&amp;"; Micro Banking "&amp;TEXT(P2_Detailed_Table!P32,"0.0%")&amp;"; Retail - Others "&amp;TEXT(P2_Detailed_Table!P38,"0.0%")</f>
        <v>Corp Banking (incl G&amp;J) 28.0%; CB (incl Agri &amp; NE) 23.9%; Micro Banking 15.8%; Retail - Others -27.1%</v>
      </c>
    </row>
    <row r="52" customFormat="false" ht="15" hidden="false" customHeight="false" outlineLevel="0" collapsed="false">
      <c r="A52" s="9" t="n">
        <v>24</v>
      </c>
      <c r="B52" s="19" t="s">
        <v>184</v>
      </c>
      <c r="C52" s="19" t="s">
        <v>465</v>
      </c>
      <c r="D52" s="19" t="s">
        <v>466</v>
      </c>
      <c r="E52" s="19" t="s">
        <v>417</v>
      </c>
      <c r="F52" s="24" t="str">
        <f aca="false">"Corporate "&amp;TEXT(P2_Detailed_Table!K48,"0.0%")&amp;" → "&amp;TEXT(P2_Detailed_Table!L48,"0.0%")&amp;"; Cards "&amp;TEXT(P2_Detailed_Table!K53,"0.0%")&amp;" → "&amp;TEXT(P2_Detailed_Table!L53,"0.0%")&amp;"; Micro "&amp;TEXT(P2_Detailed_Table!K54,"0.0%")&amp;" → "&amp;TEXT(P2_Detailed_Table!L54,"0.0%")</f>
        <v>Corporate 27.1% → 29.7%; Cards 20.3% → 16.8%; Micro 5.9% → 7.1%</v>
      </c>
    </row>
    <row r="53" customFormat="false" ht="15" hidden="false" customHeight="false" outlineLevel="0" collapsed="false">
      <c r="A53" s="9" t="n">
        <v>25</v>
      </c>
      <c r="B53" s="19" t="s">
        <v>184</v>
      </c>
      <c r="C53" s="19" t="s">
        <v>467</v>
      </c>
      <c r="D53" s="19" t="s">
        <v>468</v>
      </c>
      <c r="E53" s="19" t="s">
        <v>441</v>
      </c>
      <c r="F53" s="24" t="str">
        <f aca="false">"Corporate "&amp;TEXT(P2_Detailed_Table!M48,"+0.0"" pp"";-0.0"" pp"";0.0"" pp""")&amp;"; Commercial "&amp;TEXT(P2_Detailed_Table!M47,"+0.0"" pp"";-0.0"" pp"";0.0"" pp""")&amp;"; Gold "&amp;TEXT(P2_Detailed_Table!M51,"+0.0"" pp"";-0.0"" pp"";0.0"" pp""")&amp;"; Cards "&amp;TEXT(P2_Detailed_Table!M53,"+0.0"" pp"";-0.0"" pp"";0.0"" pp""")&amp;"; Retail Others "&amp;TEXT(P2_Detailed_Table!M55,"+0.0"" pp"";-0.0"" pp"";0.0"" pp""")</f>
        <v>Corporate +2.5 pp; Commercial +1.6 pp; Gold +1.6 pp; Cards -3.6 pp; Retail Others -4.0 pp</v>
      </c>
    </row>
    <row r="54" customFormat="false" ht="15" hidden="false" customHeight="false" outlineLevel="0" collapsed="false">
      <c r="A54" s="9" t="n">
        <v>26</v>
      </c>
      <c r="B54" s="19" t="s">
        <v>184</v>
      </c>
      <c r="C54" s="19" t="s">
        <v>469</v>
      </c>
      <c r="D54" s="19" t="s">
        <v>470</v>
      </c>
      <c r="E54" s="19" t="s">
        <v>183</v>
      </c>
      <c r="F54" s="24" t="str">
        <f aca="false">TEXT(P2_Detailed_Table!E60/P2_Detailed_Table!E62,"0.0%")&amp;" / "&amp;TEXT(P2_Detailed_Table!F60/P2_Detailed_Table!F62,"0.0%")&amp;" / "&amp;TEXT(P2_Detailed_Table!G60/P2_Detailed_Table!G62,"0.0%")&amp;" / "&amp;TEXT(P2_Detailed_Table!H60/P2_Detailed_Table!H62,"0.0%")</f>
        <v>59.8% / 58.4% / 57.4% / 55.7%</v>
      </c>
    </row>
    <row r="55" customFormat="false" ht="15" hidden="false" customHeight="false" outlineLevel="0" collapsed="false">
      <c r="A55" s="9" t="n">
        <v>27</v>
      </c>
      <c r="B55" s="19" t="s">
        <v>184</v>
      </c>
      <c r="C55" s="19" t="s">
        <v>471</v>
      </c>
      <c r="D55" s="19" t="s">
        <v>472</v>
      </c>
      <c r="E55" s="19" t="s">
        <v>473</v>
      </c>
      <c r="F55" s="24" t="str">
        <f aca="false">"Prime LAP in R "&amp;TEXT(P2_Detailed_Table!O23,"0.0%")&amp;"; Corp Banking (incl G&amp;J) in W "&amp;TEXT(P2_Detailed_Table!O11,"0.0%")</f>
        <v>Prime LAP in R 16.1%; Corp Banking (incl G&amp;J) in W 42.7%</v>
      </c>
    </row>
    <row r="56" customFormat="false" ht="15" hidden="false" customHeight="false" outlineLevel="0" collapsed="false">
      <c r="A56" s="9" t="n">
        <v>28</v>
      </c>
      <c r="B56" s="19" t="s">
        <v>184</v>
      </c>
      <c r="C56" s="19" t="s">
        <v>474</v>
      </c>
      <c r="D56" s="19" t="s">
        <v>475</v>
      </c>
      <c r="E56" s="19" t="s">
        <v>183</v>
      </c>
      <c r="F56" s="24" t="str">
        <f aca="false">TEXT((P2_Detailed_Table!E30+P2_Detailed_Table!E31+P2_Detailed_Table!E32+P2_Detailed_Table!E34)/P2_Detailed_Table!E60,"0.0%")&amp;" / "&amp;TEXT((P2_Detailed_Table!F30+P2_Detailed_Table!F31+P2_Detailed_Table!F32+P2_Detailed_Table!F34)/P2_Detailed_Table!F60,"0.0%")&amp;" / "&amp;TEXT((P2_Detailed_Table!G30+P2_Detailed_Table!G31+P2_Detailed_Table!G32+P2_Detailed_Table!G34)/P2_Detailed_Table!G60,"0.0%")&amp;" / "&amp;TEXT((P2_Detailed_Table!H30+P2_Detailed_Table!H31+P2_Detailed_Table!H32+P2_Detailed_Table!H34)/P2_Detailed_Table!H60,"0.0%")</f>
        <v>43.9% / 44.7% / 43.2% / 43.0%</v>
      </c>
    </row>
    <row r="57" customFormat="false" ht="15" hidden="false" customHeight="false" outlineLevel="0" collapsed="false">
      <c r="A57" s="9" t="n">
        <v>29</v>
      </c>
      <c r="B57" s="19" t="s">
        <v>184</v>
      </c>
      <c r="C57" s="19" t="s">
        <v>476</v>
      </c>
      <c r="D57" s="19" t="s">
        <v>477</v>
      </c>
      <c r="E57" s="19" t="s">
        <v>183</v>
      </c>
      <c r="F57" s="24" t="str">
        <f aca="false">TEXT((P2_Detailed_Table!E18+P2_Detailed_Table!E19+P2_Detailed_Table!E21+P2_Detailed_Table!E22+P2_Detailed_Table!E26)/P2_Detailed_Table!E60,"0.0%")&amp;" / "&amp;TEXT((P2_Detailed_Table!F18+P2_Detailed_Table!F19+P2_Detailed_Table!F21+P2_Detailed_Table!F22+P2_Detailed_Table!F26)/P2_Detailed_Table!F60,"0.0%")&amp;" / "&amp;TEXT((P2_Detailed_Table!G18+P2_Detailed_Table!G19+P2_Detailed_Table!G21+P2_Detailed_Table!G22+P2_Detailed_Table!G26)/P2_Detailed_Table!G60,"0.0%")&amp;" / "&amp;TEXT((P2_Detailed_Table!H18+P2_Detailed_Table!H19+P2_Detailed_Table!H21+P2_Detailed_Table!H22+P2_Detailed_Table!H26)/P2_Detailed_Table!H60,"0.0%")</f>
        <v>9.7% / 12.1% / 12.0% / 11.7%</v>
      </c>
    </row>
    <row r="58" customFormat="false" ht="15" hidden="false" customHeight="false" outlineLevel="0" collapsed="false">
      <c r="A58" s="9" t="n">
        <v>30</v>
      </c>
      <c r="B58" s="19" t="s">
        <v>184</v>
      </c>
      <c r="C58" s="19" t="s">
        <v>478</v>
      </c>
      <c r="D58" s="19" t="s">
        <v>479</v>
      </c>
      <c r="E58" s="19" t="s">
        <v>183</v>
      </c>
      <c r="F58" s="24" t="str">
        <f aca="false">TEXT(P2_Detailed_Table!E53/P2_Detailed_Table!E60,"0.0%")&amp;" / "&amp;TEXT(P2_Detailed_Table!F53/P2_Detailed_Table!F60,"0.0%")&amp;" / "&amp;TEXT(P2_Detailed_Table!G53/P2_Detailed_Table!G60,"0.0%")&amp;" / "&amp;TEXT(P2_Detailed_Table!H53/P2_Detailed_Table!H60,"0.0%")</f>
        <v>34.0% / 33.4% / 30.9% / 30.1%</v>
      </c>
    </row>
    <row r="59" customFormat="false" ht="15" hidden="false" customHeight="false" outlineLevel="0" collapsed="false">
      <c r="A59" s="9" t="n">
        <v>31</v>
      </c>
      <c r="B59" s="19" t="s">
        <v>184</v>
      </c>
      <c r="C59" s="19" t="s">
        <v>480</v>
      </c>
      <c r="D59" s="19" t="s">
        <v>481</v>
      </c>
      <c r="E59" s="19" t="s">
        <v>183</v>
      </c>
      <c r="F59" s="24" t="str">
        <f aca="false">TEXT(P2_Detailed_Table!E51/P2_Detailed_Table!E60,"0.0%")&amp;" / "&amp;TEXT(P2_Detailed_Table!F51/P2_Detailed_Table!F60,"0.0%")&amp;" / "&amp;TEXT(P2_Detailed_Table!G51/P2_Detailed_Table!G60,"0.0%")&amp;" / "&amp;TEXT(P2_Detailed_Table!H51/P2_Detailed_Table!H60,"0.0%")</f>
        <v>3.7% / 5.6% / 6.7% / 6.9%</v>
      </c>
    </row>
    <row r="60" customFormat="false" ht="23.85" hidden="false" customHeight="false" outlineLevel="0" collapsed="false">
      <c r="A60" s="9" t="n">
        <v>32</v>
      </c>
      <c r="B60" s="19" t="s">
        <v>184</v>
      </c>
      <c r="C60" s="19" t="s">
        <v>482</v>
      </c>
      <c r="D60" s="19" t="s">
        <v>483</v>
      </c>
      <c r="E60" s="19" t="s">
        <v>183</v>
      </c>
      <c r="F60" s="24" t="str">
        <f aca="false">TEXT(P2_Detailed_Table!E11/P2_Detailed_Table!E59,"0.0%")&amp;" / "&amp;TEXT(P2_Detailed_Table!F11/P2_Detailed_Table!F59,"0.0%")&amp;" / "&amp;TEXT(P2_Detailed_Table!G11/P2_Detailed_Table!G59,"0.0%")&amp;" / "&amp;TEXT(P2_Detailed_Table!H11/P2_Detailed_Table!H59,"0.0%")</f>
        <v>43.8% / 43.4% / 42.0% / 42.7%</v>
      </c>
    </row>
    <row r="61" customFormat="false" ht="15" hidden="false" customHeight="false" outlineLevel="0" collapsed="false">
      <c r="A61" s="9" t="n">
        <v>33</v>
      </c>
      <c r="B61" s="19" t="s">
        <v>484</v>
      </c>
      <c r="C61" s="19" t="s">
        <v>485</v>
      </c>
      <c r="D61" s="19" t="s">
        <v>486</v>
      </c>
      <c r="E61" s="19" t="s">
        <v>183</v>
      </c>
      <c r="F61" s="24" t="str">
        <f aca="false">INDEX(P2_Detailed_Table!D7:D41,MATCH(MAX(P2_Detailed_Table!H7:H41),P2_Detailed_Table!H7:H41,0))&amp;" "&amp;TEXT(MAX(P2_Detailed_Table!E7:E41)/P2_Detailed_Table!E62,"0.0%")&amp;" / "&amp;TEXT(MAX(P2_Detailed_Table!F7:F41)/P2_Detailed_Table!F62,"0.0%")&amp;" / "&amp;TEXT(MAX(P2_Detailed_Table!G7:G41)/P2_Detailed_Table!G62,"0.0%")&amp;" / "&amp;TEXT(MAX(P2_Detailed_Table!H7:H41)/P2_Detailed_Table!H62,"0.0%")</f>
        <v>Corporate Banking (incl G&amp;J) 17.6% / 18.1% / 17.9% / 18.9%</v>
      </c>
    </row>
    <row r="62" customFormat="false" ht="15" hidden="false" customHeight="false" outlineLevel="0" collapsed="false">
      <c r="A62" s="9" t="n">
        <v>34</v>
      </c>
      <c r="B62" s="19" t="s">
        <v>484</v>
      </c>
      <c r="C62" s="19" t="s">
        <v>487</v>
      </c>
      <c r="D62" s="19" t="s">
        <v>488</v>
      </c>
      <c r="E62" s="19" t="s">
        <v>183</v>
      </c>
      <c r="F62" s="24" t="str">
        <f aca="false">TEXT(SUMPRODUCT(LARGE(P2_Detailed_Table!E7:E41,{1,2,3,4,5}))/P2_Detailed_Table!E62,"0.0%")&amp;" / "&amp;TEXT(SUMPRODUCT(LARGE(P2_Detailed_Table!F7:F41,{1,2,3,4,5}))/P2_Detailed_Table!F62,"0.0%")&amp;" / "&amp;TEXT(SUMPRODUCT(LARGE(P2_Detailed_Table!G7:G41,{1,2,3,4,5}))/P2_Detailed_Table!G62,"0.0%")&amp;" / "&amp;TEXT(SUMPRODUCT(LARGE(P2_Detailed_Table!H7:H41,{1,2,3,4,5}))/P2_Detailed_Table!H62,"0.0%")</f>
        <v>61.1% / 62.0% / 61.2% / 62.0%</v>
      </c>
    </row>
    <row r="63" customFormat="false" ht="15" hidden="false" customHeight="false" outlineLevel="0" collapsed="false">
      <c r="A63" s="9" t="n">
        <v>35</v>
      </c>
      <c r="B63" s="19" t="s">
        <v>484</v>
      </c>
      <c r="C63" s="19" t="s">
        <v>489</v>
      </c>
      <c r="D63" s="19" t="s">
        <v>490</v>
      </c>
      <c r="E63" s="19" t="s">
        <v>183</v>
      </c>
      <c r="F63" s="24" t="str">
        <f aca="false">TEXT(SUMPRODUCT((P2_Detailed_Table!E7:E41/P2_Detailed_Table!E62)^2)*10000,"0")&amp;" / "&amp;TEXT(SUMPRODUCT((P2_Detailed_Table!F7:F41/P2_Detailed_Table!F62)^2)*10000,"0")&amp;" / "&amp;TEXT(SUMPRODUCT((P2_Detailed_Table!G7:G41/P2_Detailed_Table!G62)^2)*10000,"0")&amp;" / "&amp;TEXT(SUMPRODUCT((P2_Detailed_Table!H7:H41/P2_Detailed_Table!H62)^2)*10000,"0")</f>
        <v>969 / 982 / 946 / 977</v>
      </c>
    </row>
    <row r="64" customFormat="false" ht="15" hidden="false" customHeight="false" outlineLevel="0" collapsed="false">
      <c r="A64" s="9" t="n">
        <v>36</v>
      </c>
      <c r="B64" s="19" t="s">
        <v>484</v>
      </c>
      <c r="C64" s="19" t="s">
        <v>491</v>
      </c>
      <c r="D64" s="19" t="s">
        <v>492</v>
      </c>
      <c r="E64" s="19" t="s">
        <v>183</v>
      </c>
      <c r="F64" s="24" t="str">
        <f aca="false">TEXT(1/SUMPRODUCT((P2_Detailed_Table!E7:E41/P2_Detailed_Table!E62)^2),"0.0")&amp;" / "&amp;TEXT(1/SUMPRODUCT((P2_Detailed_Table!F7:F41/P2_Detailed_Table!F62)^2),"0.0")&amp;" / "&amp;TEXT(1/SUMPRODUCT((P2_Detailed_Table!G7:G41/P2_Detailed_Table!G62)^2),"0.0")&amp;" / "&amp;TEXT(1/SUMPRODUCT((P2_Detailed_Table!H7:H41/P2_Detailed_Table!H62)^2),"0.0")</f>
        <v>10.3 / 10.2 / 10.6 / 10.2</v>
      </c>
    </row>
    <row r="65" customFormat="false" ht="15" hidden="false" customHeight="false" outlineLevel="0" collapsed="false">
      <c r="A65" s="9" t="n">
        <v>37</v>
      </c>
      <c r="B65" s="19" t="s">
        <v>484</v>
      </c>
      <c r="C65" s="19" t="s">
        <v>493</v>
      </c>
      <c r="D65" s="19" t="s">
        <v>494</v>
      </c>
      <c r="E65" s="19" t="s">
        <v>183</v>
      </c>
      <c r="F65" s="24" t="str">
        <f aca="false">TEXT(SUMPRODUCT((P2_Detailed_Table!E47:E56/P2_Detailed_Table!E62)^2)*10000,"0")&amp;" / "&amp;TEXT(SUMPRODUCT((P2_Detailed_Table!F47:F56/P2_Detailed_Table!F62)^2)*10000,"0")&amp;" / "&amp;TEXT(SUMPRODUCT((P2_Detailed_Table!G47:G56/P2_Detailed_Table!G62)^2)*10000,"0")&amp;" / "&amp;TEXT(SUMPRODUCT((P2_Detailed_Table!H47:H56/P2_Detailed_Table!H62)^2)*10000,"0")</f>
        <v>1600 / 1647 / 1641 / 1671</v>
      </c>
    </row>
    <row r="66" customFormat="false" ht="15" hidden="false" customHeight="false" outlineLevel="0" collapsed="false">
      <c r="A66" s="9" t="n">
        <v>38</v>
      </c>
      <c r="B66" s="19" t="s">
        <v>484</v>
      </c>
      <c r="C66" s="19" t="s">
        <v>495</v>
      </c>
      <c r="D66" s="19" t="s">
        <v>496</v>
      </c>
      <c r="E66" s="19" t="s">
        <v>61</v>
      </c>
      <c r="F66" s="24" t="str">
        <f aca="false">TEXT(COUNTIFS(P2_Detailed_Table!N7:N41,"&lt;0.01",P2_Detailed_Table!N7:N41,"&gt;0"),"0")&amp;" products; "&amp;TEXT(SUMIFS(P2_Detailed_Table!H7:H41,P2_Detailed_Table!N7:N41,"&lt;0.01")/P2_Detailed_Table!H62,"0.0%")&amp;" of book"</f>
        <v>13 products; 3.7% of book</v>
      </c>
    </row>
    <row r="67" customFormat="false" ht="15" hidden="false" customHeight="false" outlineLevel="0" collapsed="false">
      <c r="A67" s="9" t="n">
        <v>39</v>
      </c>
      <c r="B67" s="19" t="s">
        <v>497</v>
      </c>
      <c r="C67" s="19" t="s">
        <v>498</v>
      </c>
      <c r="D67" s="19" t="s">
        <v>499</v>
      </c>
      <c r="E67" s="19" t="s">
        <v>441</v>
      </c>
      <c r="F67" s="24" t="str">
        <f aca="false">"#1 "&amp;INDEX(P2_Detailed_Table!C47:C56,MATCH(1,P2_Detailed_Table!O47:O56,0))&amp;"; #2 "&amp;INDEX(P2_Detailed_Table!C47:C56,MATCH(2,P2_Detailed_Table!O47:O56,0))&amp;"; #3 "&amp;INDEX(P2_Detailed_Table!C47:C56,MATCH(3,P2_Detailed_Table!O47:O56,0))</f>
        <v>#1 Corporate Banking; #2 Credit Cards; #3 Commercial Banking</v>
      </c>
    </row>
    <row r="68" customFormat="false" ht="15" hidden="false" customHeight="false" outlineLevel="0" collapsed="false">
      <c r="A68" s="9" t="n">
        <v>40</v>
      </c>
      <c r="B68" s="19" t="s">
        <v>497</v>
      </c>
      <c r="C68" s="19" t="s">
        <v>500</v>
      </c>
      <c r="D68" s="19" t="s">
        <v>501</v>
      </c>
      <c r="E68" s="19" t="s">
        <v>438</v>
      </c>
      <c r="F68" s="24" t="str">
        <f aca="false">"Micro Banking #"&amp;TEXT(P2_Detailed_Table!Q32,"0")&amp;"; Prime LAP #"&amp;TEXT(P2_Detailed_Table!Q23,"0")</f>
        <v>Micro Banking #5; Prime LAP #4</v>
      </c>
    </row>
    <row r="69" customFormat="false" ht="15" hidden="false" customHeight="false" outlineLevel="0" collapsed="false">
      <c r="A69" s="9" t="n">
        <v>41</v>
      </c>
      <c r="B69" s="19" t="s">
        <v>497</v>
      </c>
      <c r="C69" s="19" t="s">
        <v>502</v>
      </c>
      <c r="D69" s="19" t="s">
        <v>503</v>
      </c>
      <c r="E69" s="19" t="s">
        <v>61</v>
      </c>
      <c r="F69" s="24" t="str">
        <f aca="false">TEXT(COUNTIF(P2_Detailed_Table!N7:N41,"&gt;0.1"),"0")&amp;" core / "&amp;TEXT(COUNTIFS(P2_Detailed_Table!N7:N41,"&gt;=0.02",P2_Detailed_Table!N7:N41,"&lt;=0.1"),"0")&amp;" mid / "&amp;TEXT(COUNTIFS(P2_Detailed_Table!N7:N41,"&gt;0",P2_Detailed_Table!N7:N41,"&lt;0.02"),"0")&amp;" tail"</f>
        <v>3 core / 10 mid / 18 tail</v>
      </c>
    </row>
    <row r="70" customFormat="false" ht="15" hidden="false" customHeight="false" outlineLevel="0" collapsed="false">
      <c r="A70" s="9" t="n">
        <v>42</v>
      </c>
      <c r="B70" s="19" t="s">
        <v>226</v>
      </c>
      <c r="C70" s="19" t="s">
        <v>504</v>
      </c>
      <c r="D70" s="19" t="s">
        <v>505</v>
      </c>
      <c r="E70" s="19" t="s">
        <v>183</v>
      </c>
      <c r="F70" s="24" t="str">
        <f aca="false">TEXT(COUNTIF(P2_Detailed_Table!E7:E41,"&gt;0"),"0")&amp;" / "&amp;TEXT(COUNTIF(P2_Detailed_Table!F7:F41,"&gt;0"),"0")&amp;" / "&amp;TEXT(COUNTIF(P2_Detailed_Table!G7:G41,"&gt;0"),"0")&amp;" / "&amp;TEXT(COUNTIF(P2_Detailed_Table!H7:H41,"&gt;0"),"0")</f>
        <v>32 / 33 / 33 / 31</v>
      </c>
    </row>
    <row r="71" customFormat="false" ht="15" hidden="false" customHeight="false" outlineLevel="0" collapsed="false">
      <c r="A71" s="9" t="n">
        <v>43</v>
      </c>
      <c r="B71" s="19" t="s">
        <v>226</v>
      </c>
      <c r="C71" s="19" t="s">
        <v>506</v>
      </c>
      <c r="D71" s="19" t="s">
        <v>507</v>
      </c>
      <c r="E71" s="19" t="s">
        <v>61</v>
      </c>
      <c r="F71" s="24" t="str">
        <f aca="false">TEXT(AVERAGEIF(P2_Detailed_Table!H7:H41,"&gt;0"),"#,##0;-#,##0;0")&amp;" / "&amp;TEXT(MEDIAN(P2_Detailed_Table!H7:H41),"#,##0;-#,##0;0")</f>
        <v>3,717 / 1,441</v>
      </c>
    </row>
    <row r="72" customFormat="false" ht="15" hidden="false" customHeight="false" outlineLevel="0" collapsed="false">
      <c r="A72" s="9" t="n">
        <v>44</v>
      </c>
      <c r="B72" s="19" t="s">
        <v>226</v>
      </c>
      <c r="C72" s="19" t="s">
        <v>508</v>
      </c>
      <c r="D72" s="19" t="s">
        <v>509</v>
      </c>
      <c r="E72" s="19" t="s">
        <v>218</v>
      </c>
      <c r="F72" s="24" t="str">
        <f aca="false">TEXT(SUM(P2_Detailed_Table!E61:H61),"#,##0;-#,##0;0")</f>
        <v>5,686</v>
      </c>
    </row>
    <row r="73" customFormat="false" ht="23.85" hidden="false" customHeight="false" outlineLevel="0" collapsed="false">
      <c r="A73" s="9" t="n">
        <v>45</v>
      </c>
      <c r="B73" s="19" t="s">
        <v>259</v>
      </c>
      <c r="C73" s="19" t="s">
        <v>510</v>
      </c>
      <c r="D73" s="19" t="s">
        <v>511</v>
      </c>
      <c r="E73" s="19" t="s">
        <v>512</v>
      </c>
      <c r="F73" s="24" t="str">
        <f aca="false">TEXT(P2_Detailed_Table!E38-P2_Detailed_Table!F38,"#,##0;-#,##0;0")&amp;" ("&amp;TEXT(P2_Detailed_Table!E38/P2_Detailed_Table!F38,"0.00""x""")&amp;")"</f>
        <v>4,004 (11.35x)</v>
      </c>
    </row>
    <row r="74" customFormat="false" ht="15" hidden="false" customHeight="false" outlineLevel="0" collapsed="false">
      <c r="A74" s="9" t="n">
        <v>46</v>
      </c>
      <c r="B74" s="19" t="s">
        <v>259</v>
      </c>
      <c r="C74" s="19" t="s">
        <v>513</v>
      </c>
      <c r="D74" s="19" t="s">
        <v>514</v>
      </c>
      <c r="E74" s="19" t="s">
        <v>264</v>
      </c>
      <c r="F74" s="19" t="s">
        <v>515</v>
      </c>
    </row>
    <row r="75" customFormat="false" ht="15" hidden="false" customHeight="false" outlineLevel="0" collapsed="false">
      <c r="A75" s="9" t="n">
        <v>47</v>
      </c>
      <c r="B75" s="19" t="s">
        <v>259</v>
      </c>
      <c r="C75" s="19" t="s">
        <v>516</v>
      </c>
      <c r="D75" s="19" t="s">
        <v>517</v>
      </c>
      <c r="E75" s="19" t="s">
        <v>61</v>
      </c>
      <c r="F75" s="24" t="str">
        <f aca="false">TEXT(COUNTIF(P2_Detailed_Table!H7:H41,0),"0")&amp;" products (FIGU-BBB, LAS)"</f>
        <v>2 products (FIGU-BBB, LAS)</v>
      </c>
    </row>
    <row r="76" customFormat="false" ht="15" hidden="false" customHeight="false" outlineLevel="0" collapsed="false">
      <c r="A76" s="9" t="n">
        <v>48</v>
      </c>
      <c r="B76" s="19" t="s">
        <v>259</v>
      </c>
      <c r="C76" s="19" t="s">
        <v>518</v>
      </c>
      <c r="D76" s="19" t="s">
        <v>519</v>
      </c>
      <c r="E76" s="19" t="s">
        <v>264</v>
      </c>
      <c r="F76" s="19" t="s">
        <v>520</v>
      </c>
    </row>
    <row r="77" customFormat="false" ht="15" hidden="false" customHeight="false" outlineLevel="0" collapsed="false">
      <c r="A77" s="9" t="n">
        <v>49</v>
      </c>
      <c r="B77" s="19" t="s">
        <v>250</v>
      </c>
      <c r="C77" s="19" t="s">
        <v>521</v>
      </c>
      <c r="D77" s="19" t="s">
        <v>522</v>
      </c>
      <c r="E77" s="19" t="s">
        <v>183</v>
      </c>
      <c r="F77" s="24" t="str">
        <f aca="false">TEXT(P2_Detailed_Table!E59-P1_NetFunded_Qtr!C7,"#,##0;-#,##0;0")&amp;" / "&amp;TEXT(P2_Detailed_Table!F59-P1_NetFunded_Qtr!D7,"#,##0;-#,##0;0")&amp;" / "&amp;TEXT(P2_Detailed_Table!G59-P1_NetFunded_Qtr!E7,"#,##0;-#,##0;0")&amp;" / "&amp;TEXT(P2_Detailed_Table!H59-P1_NetFunded_Qtr!F7,"#,##0;-#,##0;0")</f>
        <v>-1 / -1 / 3 / 0</v>
      </c>
    </row>
    <row r="78" customFormat="false" ht="15" hidden="false" customHeight="false" outlineLevel="0" collapsed="false">
      <c r="A78" s="9" t="n">
        <v>50</v>
      </c>
      <c r="B78" s="19" t="s">
        <v>250</v>
      </c>
      <c r="C78" s="19" t="s">
        <v>523</v>
      </c>
      <c r="D78" s="19" t="s">
        <v>524</v>
      </c>
      <c r="E78" s="19" t="s">
        <v>183</v>
      </c>
      <c r="F78" s="24" t="str">
        <f aca="false">TEXT(P2_Detailed_Table!E60-P1_NetFunded_Qtr!C8,"#,##0;-#,##0;0")&amp;" / "&amp;TEXT(P2_Detailed_Table!F60-P1_NetFunded_Qtr!D8,"#,##0;-#,##0;0")&amp;" / "&amp;TEXT(P2_Detailed_Table!G60-P1_NetFunded_Qtr!E8,"#,##0;-#,##0;0")&amp;" / "&amp;TEXT(P2_Detailed_Table!H60-P1_NetFunded_Qtr!F8,"#,##0;-#,##0;0")</f>
        <v>1 / 1 / 1 / 0</v>
      </c>
    </row>
    <row r="79" customFormat="false" ht="15" hidden="false" customHeight="false" outlineLevel="0" collapsed="false">
      <c r="A79" s="9" t="n">
        <v>51</v>
      </c>
      <c r="B79" s="19" t="s">
        <v>250</v>
      </c>
      <c r="C79" s="19" t="s">
        <v>525</v>
      </c>
      <c r="D79" s="19" t="s">
        <v>526</v>
      </c>
      <c r="E79" s="19" t="s">
        <v>183</v>
      </c>
      <c r="F79" s="24" t="str">
        <f aca="false">"CB "&amp;TEXT(P2_Detailed_Table!E47-P4_Wholesale_Monthly!D8,"#,##0;-#,##0;0")&amp;" / "&amp;TEXT(P2_Detailed_Table!F47-P4_Wholesale_Monthly!G8,"#,##0;-#,##0;0")&amp;" / "&amp;TEXT(P2_Detailed_Table!G47-P4_Wholesale_Monthly!J8,"#,##0;-#,##0;0")&amp;" / "&amp;TEXT(P2_Detailed_Table!H47-P4_Wholesale_Monthly!M8,"#,##0;-#,##0;0")&amp;"; Corp "&amp;TEXT(P2_Detailed_Table!E48-P4_Wholesale_Monthly!D7,"#,##0;-#,##0;0")&amp;" / "&amp;TEXT(P2_Detailed_Table!F48-P4_Wholesale_Monthly!G7,"#,##0;-#,##0;0")&amp;" / "&amp;TEXT(P2_Detailed_Table!G48-P4_Wholesale_Monthly!J7,"#,##0;-#,##0;0")&amp;" / "&amp;TEXT(P2_Detailed_Table!H48-P4_Wholesale_Monthly!M7,"#,##0;-#,##0;0")</f>
        <v>CB 0 / -1 / 1 / 0; Corp 0 / -1 / 2 / 0</v>
      </c>
    </row>
    <row r="80" customFormat="false" ht="15" hidden="false" customHeight="false" outlineLevel="0" collapsed="false">
      <c r="A80" s="9" t="n">
        <v>52</v>
      </c>
      <c r="B80" s="19" t="s">
        <v>250</v>
      </c>
      <c r="C80" s="19" t="s">
        <v>527</v>
      </c>
      <c r="D80" s="19" t="s">
        <v>528</v>
      </c>
      <c r="E80" s="19" t="s">
        <v>529</v>
      </c>
      <c r="F80" s="24" t="str">
        <f aca="false">"CC "&amp;TEXT(P2_Detailed_Table!E53-P3_Retail_Monthly!D8,"#,##0;-#,##0;0")&amp;" / "&amp;TEXT(P2_Detailed_Table!F53-P3_Retail_Monthly!G8,"#,##0;-#,##0;0")&amp;" / "&amp;TEXT(P2_Detailed_Table!G53-P3_Retail_Monthly!J8,"#,##0;-#,##0;0")&amp;" / "&amp;TEXT(P2_Detailed_Table!H53-P3_Retail_Monthly!M8,"#,##0;-#,##0;0")&amp;"; LAP "&amp;TEXT(P2_Detailed_Table!G50-P3_Retail_Monthly!J9,"#,##0;-#,##0;0")&amp;" / "&amp;TEXT(P2_Detailed_Table!H50-P3_Retail_Monthly!M9,"#,##0;-#,##0;0")</f>
        <v>CC 0 / 0 / 0 / 0; LAP -1 / 0</v>
      </c>
    </row>
    <row r="82" customFormat="false" ht="15" hidden="false" customHeight="false" outlineLevel="0" collapsed="false">
      <c r="A82" s="3" t="s">
        <v>2</v>
      </c>
    </row>
  </sheetData>
  <mergeCells count="19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15" min="8" style="0" width="12"/>
  </cols>
  <sheetData>
    <row r="1" customFormat="false" ht="17.35" hidden="false" customHeight="false" outlineLevel="0" collapsed="false">
      <c r="A1" s="1" t="s">
        <v>530</v>
      </c>
    </row>
    <row r="2" customFormat="false" ht="15" hidden="false" customHeight="false" outlineLevel="0" collapsed="false">
      <c r="A2" s="2" t="s">
        <v>531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532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5" hidden="false" customHeight="false" outlineLevel="0" collapsed="false">
      <c r="A6" s="8" t="s">
        <v>56</v>
      </c>
      <c r="B6" s="8" t="s">
        <v>57</v>
      </c>
      <c r="C6" s="8" t="s">
        <v>533</v>
      </c>
      <c r="D6" s="8" t="s">
        <v>58</v>
      </c>
      <c r="E6" s="8" t="s">
        <v>534</v>
      </c>
      <c r="F6" s="8" t="s">
        <v>535</v>
      </c>
      <c r="G6" s="8" t="s">
        <v>59</v>
      </c>
      <c r="H6" s="8" t="s">
        <v>536</v>
      </c>
      <c r="I6" s="8" t="s">
        <v>537</v>
      </c>
      <c r="J6" s="8" t="s">
        <v>60</v>
      </c>
      <c r="K6" s="8" t="s">
        <v>538</v>
      </c>
      <c r="L6" s="8" t="s">
        <v>539</v>
      </c>
      <c r="M6" s="8" t="s">
        <v>61</v>
      </c>
      <c r="N6" s="8" t="s">
        <v>540</v>
      </c>
      <c r="O6" s="8" t="s">
        <v>541</v>
      </c>
    </row>
    <row r="7" customFormat="false" ht="15" hidden="false" customHeight="false" outlineLevel="0" collapsed="false">
      <c r="A7" s="9" t="n">
        <v>1</v>
      </c>
      <c r="B7" s="10" t="s">
        <v>542</v>
      </c>
      <c r="C7" s="11" t="n">
        <v>57865</v>
      </c>
      <c r="D7" s="11" t="n">
        <v>60131</v>
      </c>
      <c r="E7" s="11" t="n">
        <v>60659</v>
      </c>
      <c r="F7" s="11" t="n">
        <v>61723</v>
      </c>
      <c r="G7" s="11" t="n">
        <v>59611</v>
      </c>
      <c r="H7" s="11" t="n">
        <v>60959</v>
      </c>
      <c r="I7" s="11" t="n">
        <v>61256</v>
      </c>
      <c r="J7" s="11" t="n">
        <v>63419</v>
      </c>
      <c r="K7" s="11" t="n">
        <v>63272</v>
      </c>
      <c r="L7" s="11" t="n">
        <v>63452</v>
      </c>
      <c r="M7" s="11" t="n">
        <v>64195</v>
      </c>
      <c r="N7" s="11" t="n">
        <v>65077</v>
      </c>
      <c r="O7" s="11" t="n">
        <v>73958</v>
      </c>
    </row>
    <row r="8" customFormat="false" ht="15" hidden="false" customHeight="false" outlineLevel="0" collapsed="false">
      <c r="A8" s="9" t="n">
        <v>2</v>
      </c>
      <c r="B8" s="10" t="s">
        <v>543</v>
      </c>
      <c r="C8" s="11" t="n">
        <v>20351</v>
      </c>
      <c r="D8" s="11" t="n">
        <v>20457</v>
      </c>
      <c r="E8" s="11" t="n">
        <v>20342</v>
      </c>
      <c r="F8" s="11" t="n">
        <v>20178</v>
      </c>
      <c r="G8" s="11" t="n">
        <v>19901</v>
      </c>
      <c r="H8" s="11" t="n">
        <v>19726</v>
      </c>
      <c r="I8" s="11" t="n">
        <v>19832</v>
      </c>
      <c r="J8" s="11" t="n">
        <v>19577</v>
      </c>
      <c r="K8" s="11" t="n">
        <v>19803</v>
      </c>
      <c r="L8" s="11" t="n">
        <v>19263</v>
      </c>
      <c r="M8" s="11" t="n">
        <v>19321</v>
      </c>
      <c r="N8" s="11" t="n">
        <v>18926</v>
      </c>
      <c r="O8" s="11" t="n">
        <v>19635</v>
      </c>
    </row>
    <row r="9" customFormat="false" ht="15" hidden="false" customHeight="false" outlineLevel="0" collapsed="false">
      <c r="A9" s="9" t="n">
        <v>3</v>
      </c>
      <c r="B9" s="10" t="s">
        <v>544</v>
      </c>
      <c r="C9" s="11"/>
      <c r="D9" s="11"/>
      <c r="E9" s="11"/>
      <c r="F9" s="11"/>
      <c r="G9" s="11"/>
      <c r="H9" s="11"/>
      <c r="I9" s="11"/>
      <c r="J9" s="11" t="n">
        <v>13429</v>
      </c>
      <c r="K9" s="11" t="n">
        <v>13313</v>
      </c>
      <c r="L9" s="11" t="n">
        <v>13411</v>
      </c>
      <c r="M9" s="11" t="n">
        <v>13771</v>
      </c>
      <c r="N9" s="11" t="n">
        <v>13889</v>
      </c>
      <c r="O9" s="11" t="n">
        <v>14026</v>
      </c>
    </row>
    <row r="10" customFormat="false" ht="15" hidden="false" customHeight="false" outlineLevel="0" collapsed="false">
      <c r="A10" s="9" t="n">
        <v>4</v>
      </c>
      <c r="B10" s="10" t="s">
        <v>545</v>
      </c>
      <c r="C10" s="12" t="n">
        <f aca="false">C7-C8-N(C9)</f>
        <v>37514</v>
      </c>
      <c r="D10" s="12" t="n">
        <f aca="false">D7-D8-N(D9)</f>
        <v>39674</v>
      </c>
      <c r="E10" s="12" t="n">
        <f aca="false">E7-E8-N(E9)</f>
        <v>40317</v>
      </c>
      <c r="F10" s="12" t="n">
        <f aca="false">F7-F8-N(F9)</f>
        <v>41545</v>
      </c>
      <c r="G10" s="12" t="n">
        <f aca="false">G7-G8-N(G9)</f>
        <v>39710</v>
      </c>
      <c r="H10" s="12" t="n">
        <f aca="false">H7-H8-N(H9)</f>
        <v>41233</v>
      </c>
      <c r="I10" s="12" t="n">
        <f aca="false">I7-I8-N(I9)</f>
        <v>41424</v>
      </c>
      <c r="J10" s="12" t="n">
        <f aca="false">J7-J8-N(J9)</f>
        <v>30413</v>
      </c>
      <c r="K10" s="12" t="n">
        <f aca="false">K7-K8-N(K9)</f>
        <v>30156</v>
      </c>
      <c r="L10" s="12" t="n">
        <f aca="false">L7-L8-N(L9)</f>
        <v>30778</v>
      </c>
      <c r="M10" s="12" t="n">
        <f aca="false">M7-M8-N(M9)</f>
        <v>31103</v>
      </c>
      <c r="N10" s="12" t="n">
        <f aca="false">N7-N8-N(N9)</f>
        <v>32262</v>
      </c>
      <c r="O10" s="12" t="n">
        <f aca="false">O7-O8-N(O9)</f>
        <v>40297</v>
      </c>
    </row>
    <row r="12" customFormat="false" ht="15" hidden="false" customHeight="false" outlineLevel="0" collapsed="false">
      <c r="A12" s="4" t="s">
        <v>69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customFormat="false" ht="15" hidden="false" customHeight="false" outlineLevel="0" collapsed="false">
      <c r="A13" s="8" t="s">
        <v>56</v>
      </c>
      <c r="B13" s="8" t="s">
        <v>70</v>
      </c>
      <c r="C13" s="8" t="s">
        <v>533</v>
      </c>
      <c r="D13" s="8" t="s">
        <v>58</v>
      </c>
      <c r="E13" s="8" t="s">
        <v>534</v>
      </c>
      <c r="F13" s="8" t="s">
        <v>535</v>
      </c>
      <c r="G13" s="8" t="s">
        <v>59</v>
      </c>
      <c r="H13" s="8" t="s">
        <v>536</v>
      </c>
      <c r="I13" s="8" t="s">
        <v>537</v>
      </c>
      <c r="J13" s="8" t="s">
        <v>60</v>
      </c>
      <c r="K13" s="8" t="s">
        <v>538</v>
      </c>
      <c r="L13" s="8" t="s">
        <v>539</v>
      </c>
      <c r="M13" s="8" t="s">
        <v>61</v>
      </c>
      <c r="N13" s="8" t="s">
        <v>540</v>
      </c>
      <c r="O13" s="8" t="s">
        <v>541</v>
      </c>
    </row>
    <row r="14" customFormat="false" ht="15" hidden="false" customHeight="false" outlineLevel="0" collapsed="false">
      <c r="A14" s="9" t="n">
        <v>1</v>
      </c>
      <c r="B14" s="9" t="s">
        <v>546</v>
      </c>
      <c r="C14" s="9" t="s">
        <v>77</v>
      </c>
      <c r="D14" s="12" t="n">
        <f aca="false">D7-C7</f>
        <v>2266</v>
      </c>
      <c r="E14" s="12" t="n">
        <f aca="false">E7-D7</f>
        <v>528</v>
      </c>
      <c r="F14" s="12" t="n">
        <f aca="false">F7-E7</f>
        <v>1064</v>
      </c>
      <c r="G14" s="12" t="n">
        <f aca="false">G7-F7</f>
        <v>-2112</v>
      </c>
      <c r="H14" s="12" t="n">
        <f aca="false">H7-G7</f>
        <v>1348</v>
      </c>
      <c r="I14" s="12" t="n">
        <f aca="false">I7-H7</f>
        <v>297</v>
      </c>
      <c r="J14" s="12" t="n">
        <f aca="false">J7-I7</f>
        <v>2163</v>
      </c>
      <c r="K14" s="12" t="n">
        <f aca="false">K7-J7</f>
        <v>-147</v>
      </c>
      <c r="L14" s="12" t="n">
        <f aca="false">L7-K7</f>
        <v>180</v>
      </c>
      <c r="M14" s="12" t="n">
        <f aca="false">M7-L7</f>
        <v>743</v>
      </c>
      <c r="N14" s="12" t="n">
        <f aca="false">N7-M7</f>
        <v>882</v>
      </c>
      <c r="O14" s="12" t="n">
        <f aca="false">O7-N7</f>
        <v>8881</v>
      </c>
    </row>
    <row r="15" customFormat="false" ht="15" hidden="false" customHeight="false" outlineLevel="0" collapsed="false">
      <c r="A15" s="9" t="n">
        <v>2</v>
      </c>
      <c r="B15" s="9" t="s">
        <v>547</v>
      </c>
      <c r="C15" s="9" t="s">
        <v>77</v>
      </c>
      <c r="D15" s="13" t="n">
        <f aca="false">D7/C7-1</f>
        <v>0.0391601140585847</v>
      </c>
      <c r="E15" s="13" t="n">
        <f aca="false">E7/D7-1</f>
        <v>0.00878082852438844</v>
      </c>
      <c r="F15" s="13" t="n">
        <f aca="false">F7/E7-1</f>
        <v>0.0175406782175769</v>
      </c>
      <c r="G15" s="13" t="n">
        <f aca="false">G7/F7-1</f>
        <v>-0.0342173905999384</v>
      </c>
      <c r="H15" s="13" t="n">
        <f aca="false">H7/G7-1</f>
        <v>0.0226132760732081</v>
      </c>
      <c r="I15" s="13" t="n">
        <f aca="false">I7/H7-1</f>
        <v>0.00487212716744034</v>
      </c>
      <c r="J15" s="13" t="n">
        <f aca="false">J7/I7-1</f>
        <v>0.0353108266945279</v>
      </c>
      <c r="K15" s="13" t="n">
        <f aca="false">K7/J7-1</f>
        <v>-0.00231791734338294</v>
      </c>
      <c r="L15" s="13" t="n">
        <f aca="false">L7/K7-1</f>
        <v>0.00284486028575048</v>
      </c>
      <c r="M15" s="13" t="n">
        <f aca="false">M7/L7-1</f>
        <v>0.0117096387820714</v>
      </c>
      <c r="N15" s="13" t="n">
        <f aca="false">N7/M7-1</f>
        <v>0.0137393878027883</v>
      </c>
      <c r="O15" s="13" t="n">
        <f aca="false">O7/N7-1</f>
        <v>0.13646910582848</v>
      </c>
    </row>
    <row r="16" customFormat="false" ht="15" hidden="false" customHeight="false" outlineLevel="0" collapsed="false">
      <c r="A16" s="9" t="n">
        <v>3</v>
      </c>
      <c r="B16" s="9" t="s">
        <v>548</v>
      </c>
      <c r="C16" s="13" t="n">
        <f aca="false">C8/C7</f>
        <v>0.35169791756675</v>
      </c>
      <c r="D16" s="13" t="n">
        <f aca="false">D8/D7</f>
        <v>0.34020721424889</v>
      </c>
      <c r="E16" s="13" t="n">
        <f aca="false">E8/E7</f>
        <v>0.335350071712359</v>
      </c>
      <c r="F16" s="13" t="n">
        <f aca="false">F8/F7</f>
        <v>0.326912172123844</v>
      </c>
      <c r="G16" s="13" t="n">
        <f aca="false">G8/G7</f>
        <v>0.33384777977219</v>
      </c>
      <c r="H16" s="13" t="n">
        <f aca="false">H8/H7</f>
        <v>0.323594547154645</v>
      </c>
      <c r="I16" s="13" t="n">
        <f aca="false">I8/I7</f>
        <v>0.323756040224631</v>
      </c>
      <c r="J16" s="13" t="n">
        <f aca="false">J8/J7</f>
        <v>0.308692978444946</v>
      </c>
      <c r="K16" s="13" t="n">
        <f aca="false">K8/K7</f>
        <v>0.312982045770641</v>
      </c>
      <c r="L16" s="13" t="n">
        <f aca="false">L8/L7</f>
        <v>0.303583811384984</v>
      </c>
      <c r="M16" s="13" t="n">
        <f aca="false">M8/M7</f>
        <v>0.300973596074461</v>
      </c>
      <c r="N16" s="13" t="n">
        <f aca="false">N8/N7</f>
        <v>0.290824715337216</v>
      </c>
      <c r="O16" s="13" t="n">
        <f aca="false">O8/O7</f>
        <v>0.265488520511642</v>
      </c>
    </row>
    <row r="17" customFormat="false" ht="15" hidden="false" customHeight="false" outlineLevel="0" collapsed="false">
      <c r="A17" s="9" t="n">
        <v>4</v>
      </c>
      <c r="B17" s="9" t="s">
        <v>549</v>
      </c>
      <c r="C17" s="13" t="str">
        <f aca="false">IF(C9="","",C9/C7)</f>
        <v/>
      </c>
      <c r="D17" s="13" t="str">
        <f aca="false">IF(D9="","",D9/D7)</f>
        <v/>
      </c>
      <c r="E17" s="13" t="str">
        <f aca="false">IF(E9="","",E9/E7)</f>
        <v/>
      </c>
      <c r="F17" s="13" t="str">
        <f aca="false">IF(F9="","",F9/F7)</f>
        <v/>
      </c>
      <c r="G17" s="13" t="str">
        <f aca="false">IF(G9="","",G9/G7)</f>
        <v/>
      </c>
      <c r="H17" s="13" t="str">
        <f aca="false">IF(H9="","",H9/H7)</f>
        <v/>
      </c>
      <c r="I17" s="13" t="str">
        <f aca="false">IF(I9="","",I9/I7)</f>
        <v/>
      </c>
      <c r="J17" s="13" t="n">
        <f aca="false">IF(J9="","",J9/J7)</f>
        <v>0.211750421797884</v>
      </c>
      <c r="K17" s="13" t="n">
        <f aca="false">IF(K9="","",K9/K7)</f>
        <v>0.210409027689973</v>
      </c>
      <c r="L17" s="13" t="n">
        <f aca="false">IF(L9="","",L9/L7)</f>
        <v>0.211356616024712</v>
      </c>
      <c r="M17" s="13" t="n">
        <f aca="false">IF(M9="","",M9/M7)</f>
        <v>0.214518264662357</v>
      </c>
      <c r="N17" s="13" t="n">
        <f aca="false">IF(N9="","",N9/N7)</f>
        <v>0.21342409760745</v>
      </c>
      <c r="O17" s="13" t="n">
        <f aca="false">IF(O9="","",O9/O7)</f>
        <v>0.189648178696017</v>
      </c>
    </row>
    <row r="18" customFormat="false" ht="15" hidden="false" customHeight="false" outlineLevel="0" collapsed="false">
      <c r="A18" s="9" t="n">
        <v>5</v>
      </c>
      <c r="B18" s="9" t="s">
        <v>550</v>
      </c>
      <c r="C18" s="13" t="n">
        <f aca="false">C10/C7</f>
        <v>0.64830208243325</v>
      </c>
      <c r="D18" s="13" t="n">
        <f aca="false">D10/D7</f>
        <v>0.65979278575111</v>
      </c>
      <c r="E18" s="13" t="n">
        <f aca="false">E10/E7</f>
        <v>0.664649928287641</v>
      </c>
      <c r="F18" s="13" t="n">
        <f aca="false">F10/F7</f>
        <v>0.673087827876156</v>
      </c>
      <c r="G18" s="13" t="n">
        <f aca="false">G10/G7</f>
        <v>0.66615222022781</v>
      </c>
      <c r="H18" s="13" t="n">
        <f aca="false">H10/H7</f>
        <v>0.676405452845355</v>
      </c>
      <c r="I18" s="13" t="n">
        <f aca="false">I10/I7</f>
        <v>0.676243959775369</v>
      </c>
      <c r="J18" s="13" t="n">
        <f aca="false">J10/J7</f>
        <v>0.479556599757171</v>
      </c>
      <c r="K18" s="13" t="n">
        <f aca="false">K10/K7</f>
        <v>0.476608926539386</v>
      </c>
      <c r="L18" s="13" t="n">
        <f aca="false">L10/L7</f>
        <v>0.485059572590304</v>
      </c>
      <c r="M18" s="13" t="n">
        <f aca="false">M10/M7</f>
        <v>0.484508139263183</v>
      </c>
      <c r="N18" s="13" t="n">
        <f aca="false">N10/N7</f>
        <v>0.495751187055334</v>
      </c>
      <c r="O18" s="13" t="n">
        <f aca="false">O10/O7</f>
        <v>0.544863300792342</v>
      </c>
    </row>
    <row r="19" customFormat="false" ht="15" hidden="false" customHeight="false" outlineLevel="0" collapsed="false">
      <c r="A19" s="9" t="n">
        <v>6</v>
      </c>
      <c r="B19" s="9" t="s">
        <v>551</v>
      </c>
      <c r="C19" s="9" t="s">
        <v>77</v>
      </c>
      <c r="D19" s="13" t="n">
        <f aca="false">D8/C8-1</f>
        <v>0.0052085892585132</v>
      </c>
      <c r="E19" s="13" t="n">
        <f aca="false">E8/D8-1</f>
        <v>-0.0056215476365058</v>
      </c>
      <c r="F19" s="13" t="n">
        <f aca="false">F8/E8-1</f>
        <v>-0.0080621374496116</v>
      </c>
      <c r="G19" s="13" t="n">
        <f aca="false">G8/F8-1</f>
        <v>-0.0137278223808108</v>
      </c>
      <c r="H19" s="13" t="n">
        <f aca="false">H8/G8-1</f>
        <v>-0.00879352796341892</v>
      </c>
      <c r="I19" s="13" t="n">
        <f aca="false">I8/H8-1</f>
        <v>0.00537361857447016</v>
      </c>
      <c r="J19" s="13" t="n">
        <f aca="false">J8/I8-1</f>
        <v>-0.0128580072609923</v>
      </c>
      <c r="K19" s="13" t="n">
        <f aca="false">K8/J8-1</f>
        <v>0.0115441589620473</v>
      </c>
      <c r="L19" s="13" t="n">
        <f aca="false">L8/K8-1</f>
        <v>-0.0272685956673231</v>
      </c>
      <c r="M19" s="13" t="n">
        <f aca="false">M8/L8-1</f>
        <v>0.00301095364169646</v>
      </c>
      <c r="N19" s="13" t="n">
        <f aca="false">N8/M8-1</f>
        <v>-0.0204440763935614</v>
      </c>
      <c r="O19" s="13" t="n">
        <f aca="false">O8/N8-1</f>
        <v>0.0374616929092253</v>
      </c>
    </row>
    <row r="20" customFormat="false" ht="15" hidden="false" customHeight="false" outlineLevel="0" collapsed="false">
      <c r="A20" s="9" t="n">
        <v>7</v>
      </c>
      <c r="B20" s="9" t="s">
        <v>552</v>
      </c>
      <c r="C20" s="9" t="s">
        <v>77</v>
      </c>
      <c r="D20" s="13" t="str">
        <f aca="false">IF(OR(C9="",D9=""),"",D9/C9-1)</f>
        <v/>
      </c>
      <c r="E20" s="13" t="str">
        <f aca="false">IF(OR(D9="",E9=""),"",E9/D9-1)</f>
        <v/>
      </c>
      <c r="F20" s="13" t="str">
        <f aca="false">IF(OR(E9="",F9=""),"",F9/E9-1)</f>
        <v/>
      </c>
      <c r="G20" s="13" t="str">
        <f aca="false">IF(OR(F9="",G9=""),"",G9/F9-1)</f>
        <v/>
      </c>
      <c r="H20" s="13" t="str">
        <f aca="false">IF(OR(G9="",H9=""),"",H9/G9-1)</f>
        <v/>
      </c>
      <c r="I20" s="13" t="str">
        <f aca="false">IF(OR(H9="",I9=""),"",I9/H9-1)</f>
        <v/>
      </c>
      <c r="J20" s="13" t="str">
        <f aca="false">IF(OR(I9="",J9=""),"",J9/I9-1)</f>
        <v/>
      </c>
      <c r="K20" s="13" t="n">
        <f aca="false">IF(OR(J9="",K9=""),"",K9/J9-1)</f>
        <v>-0.00863802219078114</v>
      </c>
      <c r="L20" s="13" t="n">
        <f aca="false">IF(OR(K9="",L9=""),"",L9/K9-1)</f>
        <v>0.00736122586945087</v>
      </c>
      <c r="M20" s="13" t="n">
        <f aca="false">IF(OR(L9="",M9=""),"",M9/L9-1)</f>
        <v>0.0268436358213406</v>
      </c>
      <c r="N20" s="13" t="n">
        <f aca="false">IF(OR(M9="",N9=""),"",N9/M9-1)</f>
        <v>0.00856873139205572</v>
      </c>
      <c r="O20" s="13" t="n">
        <f aca="false">IF(OR(N9="",O9=""),"",O9/N9-1)</f>
        <v>0.00986392108863132</v>
      </c>
    </row>
    <row r="21" customFormat="false" ht="15" hidden="false" customHeight="false" outlineLevel="0" collapsed="false">
      <c r="A21" s="9" t="n">
        <v>8</v>
      </c>
      <c r="B21" s="9" t="s">
        <v>553</v>
      </c>
      <c r="C21" s="12" t="n">
        <f aca="false">C7-C8</f>
        <v>37514</v>
      </c>
      <c r="D21" s="12" t="n">
        <f aca="false">D7-D8</f>
        <v>39674</v>
      </c>
      <c r="E21" s="12" t="n">
        <f aca="false">E7-E8</f>
        <v>40317</v>
      </c>
      <c r="F21" s="12" t="n">
        <f aca="false">F7-F8</f>
        <v>41545</v>
      </c>
      <c r="G21" s="12" t="n">
        <f aca="false">G7-G8</f>
        <v>39710</v>
      </c>
      <c r="H21" s="12" t="n">
        <f aca="false">H7-H8</f>
        <v>41233</v>
      </c>
      <c r="I21" s="12" t="n">
        <f aca="false">I7-I8</f>
        <v>41424</v>
      </c>
      <c r="J21" s="12" t="n">
        <f aca="false">J7-J8</f>
        <v>43842</v>
      </c>
      <c r="K21" s="12" t="n">
        <f aca="false">K7-K8</f>
        <v>43469</v>
      </c>
      <c r="L21" s="12" t="n">
        <f aca="false">L7-L8</f>
        <v>44189</v>
      </c>
      <c r="M21" s="12" t="n">
        <f aca="false">M7-M8</f>
        <v>44874</v>
      </c>
      <c r="N21" s="12" t="n">
        <f aca="false">N7-N8</f>
        <v>46151</v>
      </c>
      <c r="O21" s="12" t="n">
        <f aca="false">O7-O8</f>
        <v>54323</v>
      </c>
    </row>
    <row r="22" customFormat="false" ht="15" hidden="false" customHeight="false" outlineLevel="0" collapsed="false">
      <c r="A22" s="9" t="n">
        <v>9</v>
      </c>
      <c r="B22" s="9" t="s">
        <v>554</v>
      </c>
      <c r="C22" s="9" t="s">
        <v>77</v>
      </c>
      <c r="D22" s="13" t="n">
        <f aca="false">D21/C21-1</f>
        <v>0.057578504025164</v>
      </c>
      <c r="E22" s="13" t="n">
        <f aca="false">E21/D21-1</f>
        <v>0.0162070877652871</v>
      </c>
      <c r="F22" s="13" t="n">
        <f aca="false">F21/E21-1</f>
        <v>0.0304586154723814</v>
      </c>
      <c r="G22" s="13" t="n">
        <f aca="false">G21/F21-1</f>
        <v>-0.0441689734023348</v>
      </c>
      <c r="H22" s="13" t="n">
        <f aca="false">H21/G21-1</f>
        <v>0.0383530596826995</v>
      </c>
      <c r="I22" s="13" t="n">
        <f aca="false">I21/H21-1</f>
        <v>0.00463221206315323</v>
      </c>
      <c r="J22" s="13" t="n">
        <f aca="false">J21/I21-1</f>
        <v>0.0583719582850522</v>
      </c>
      <c r="K22" s="13" t="n">
        <f aca="false">K21/J21-1</f>
        <v>-0.00850782354819579</v>
      </c>
      <c r="L22" s="13" t="n">
        <f aca="false">L21/K21-1</f>
        <v>0.0165635280314707</v>
      </c>
      <c r="M22" s="13" t="n">
        <f aca="false">M21/L21-1</f>
        <v>0.0155015954196747</v>
      </c>
      <c r="N22" s="13" t="n">
        <f aca="false">N21/M21-1</f>
        <v>0.0284574586620314</v>
      </c>
      <c r="O22" s="13" t="n">
        <f aca="false">O21/N21-1</f>
        <v>0.177070919373361</v>
      </c>
    </row>
    <row r="23" customFormat="false" ht="15" hidden="false" customHeight="false" outlineLevel="0" collapsed="false">
      <c r="A23" s="9" t="n">
        <v>10</v>
      </c>
      <c r="B23" s="9" t="s">
        <v>555</v>
      </c>
      <c r="C23" s="16" t="n">
        <f aca="false">100*C7/$C$7</f>
        <v>100</v>
      </c>
      <c r="D23" s="16" t="n">
        <f aca="false">100*D7/$C$7</f>
        <v>103.916011405858</v>
      </c>
      <c r="E23" s="16" t="n">
        <f aca="false">100*E7/$C$7</f>
        <v>104.828480082952</v>
      </c>
      <c r="F23" s="16" t="n">
        <f aca="false">100*F7/$C$7</f>
        <v>106.667242720124</v>
      </c>
      <c r="G23" s="16" t="n">
        <f aca="false">100*G7/$C$7</f>
        <v>103.017368011751</v>
      </c>
      <c r="H23" s="16" t="n">
        <f aca="false">100*H7/$C$7</f>
        <v>105.346928194937</v>
      </c>
      <c r="I23" s="16" t="n">
        <f aca="false">100*I7/$C$7</f>
        <v>105.860191825801</v>
      </c>
      <c r="J23" s="16" t="n">
        <f aca="false">100*J7/$C$7</f>
        <v>109.598202713212</v>
      </c>
      <c r="K23" s="16" t="n">
        <f aca="false">100*K7/$C$7</f>
        <v>109.344163138339</v>
      </c>
      <c r="L23" s="16" t="n">
        <f aca="false">100*L7/$C$7</f>
        <v>109.65523200553</v>
      </c>
      <c r="M23" s="16" t="n">
        <f aca="false">100*M7/$C$7</f>
        <v>110.939255162879</v>
      </c>
      <c r="N23" s="16" t="n">
        <f aca="false">100*N7/$C$7</f>
        <v>112.463492612114</v>
      </c>
      <c r="O23" s="16" t="n">
        <f aca="false">100*O7/$C$7</f>
        <v>127.811284887238</v>
      </c>
    </row>
    <row r="24" customFormat="false" ht="15" hidden="false" customHeight="false" outlineLevel="0" collapsed="false">
      <c r="A24" s="9" t="n">
        <v>11</v>
      </c>
      <c r="B24" s="9" t="s">
        <v>556</v>
      </c>
      <c r="C24" s="16" t="n">
        <f aca="false">100*C8/$C$8</f>
        <v>100</v>
      </c>
      <c r="D24" s="16" t="n">
        <f aca="false">100*D8/$C$8</f>
        <v>100.520858925851</v>
      </c>
      <c r="E24" s="16" t="n">
        <f aca="false">100*E8/$C$8</f>
        <v>99.9557761289372</v>
      </c>
      <c r="F24" s="16" t="n">
        <f aca="false">100*F8/$C$8</f>
        <v>99.1499189229031</v>
      </c>
      <c r="G24" s="16" t="n">
        <f aca="false">100*G8/$C$8</f>
        <v>97.7888064468577</v>
      </c>
      <c r="H24" s="16" t="n">
        <f aca="false">100*H8/$C$8</f>
        <v>96.9288978428579</v>
      </c>
      <c r="I24" s="16" t="n">
        <f aca="false">100*I8/$C$8</f>
        <v>97.4497567687092</v>
      </c>
      <c r="J24" s="16" t="n">
        <f aca="false">100*J8/$C$8</f>
        <v>96.1967470885952</v>
      </c>
      <c r="K24" s="16" t="n">
        <f aca="false">100*K8/$C$8</f>
        <v>97.3072576286178</v>
      </c>
      <c r="L24" s="16" t="n">
        <f aca="false">100*L8/$C$8</f>
        <v>94.6538253648469</v>
      </c>
      <c r="M24" s="16" t="n">
        <f aca="false">100*M8/$C$8</f>
        <v>94.9388236450297</v>
      </c>
      <c r="N24" s="16" t="n">
        <f aca="false">100*N8/$C$8</f>
        <v>92.9978870817159</v>
      </c>
      <c r="O24" s="16" t="n">
        <f aca="false">100*O8/$C$8</f>
        <v>96.481745368778</v>
      </c>
    </row>
    <row r="25" customFormat="false" ht="15" hidden="false" customHeight="false" outlineLevel="0" collapsed="false">
      <c r="A25" s="9" t="n">
        <v>12</v>
      </c>
      <c r="B25" s="9" t="s">
        <v>557</v>
      </c>
      <c r="C25" s="13" t="n">
        <f aca="false">C7/$C$7-1</f>
        <v>0</v>
      </c>
      <c r="D25" s="13" t="n">
        <f aca="false">D7/$C$7-1</f>
        <v>0.0391601140585847</v>
      </c>
      <c r="E25" s="13" t="n">
        <f aca="false">E7/$C$7-1</f>
        <v>0.0482848008295169</v>
      </c>
      <c r="F25" s="13" t="n">
        <f aca="false">F7/$C$7-1</f>
        <v>0.0666724272012442</v>
      </c>
      <c r="G25" s="13" t="n">
        <f aca="false">G7/$C$7-1</f>
        <v>0.030173680117515</v>
      </c>
      <c r="H25" s="13" t="n">
        <f aca="false">H7/$C$7-1</f>
        <v>0.053469281949365</v>
      </c>
      <c r="I25" s="13" t="n">
        <f aca="false">I7/$C$7-1</f>
        <v>0.0586019182580144</v>
      </c>
      <c r="J25" s="13" t="n">
        <f aca="false">J7/$C$7-1</f>
        <v>0.0959820271321179</v>
      </c>
      <c r="K25" s="13" t="n">
        <f aca="false">K7/$C$7-1</f>
        <v>0.0934416313833923</v>
      </c>
      <c r="L25" s="13" t="n">
        <f aca="false">L7/$C$7-1</f>
        <v>0.0965523200553011</v>
      </c>
      <c r="M25" s="13" t="n">
        <f aca="false">M7/$C$7-1</f>
        <v>0.109392551628791</v>
      </c>
      <c r="N25" s="13" t="n">
        <f aca="false">N7/$C$7-1</f>
        <v>0.124634926121144</v>
      </c>
      <c r="O25" s="13" t="n">
        <f aca="false">O7/$C$7-1</f>
        <v>0.278112848872375</v>
      </c>
    </row>
    <row r="26" customFormat="false" ht="15" hidden="false" customHeight="false" outlineLevel="0" collapsed="false">
      <c r="A26" s="9" t="n">
        <v>13</v>
      </c>
      <c r="B26" s="9" t="s">
        <v>558</v>
      </c>
      <c r="C26" s="9" t="s">
        <v>77</v>
      </c>
      <c r="D26" s="13" t="n">
        <f aca="false">IFERROR((D8-C8)/(D7-C7),"n/a")</f>
        <v>0.0467784642541924</v>
      </c>
      <c r="E26" s="13" t="n">
        <f aca="false">IFERROR((E8-D8)/(E7-D7),"n/a")</f>
        <v>-0.21780303030303</v>
      </c>
      <c r="F26" s="13" t="n">
        <f aca="false">IFERROR((F8-E8)/(F7-E7),"n/a")</f>
        <v>-0.154135338345865</v>
      </c>
      <c r="G26" s="13" t="n">
        <f aca="false">IFERROR((G8-F8)/(G7-F7),"n/a")</f>
        <v>0.131155303030303</v>
      </c>
      <c r="H26" s="13" t="n">
        <f aca="false">IFERROR((H8-G8)/(H7-G7),"n/a")</f>
        <v>-0.129821958456973</v>
      </c>
      <c r="I26" s="13" t="n">
        <f aca="false">IFERROR((I8-H8)/(I7-H7),"n/a")</f>
        <v>0.356902356902357</v>
      </c>
      <c r="J26" s="13" t="n">
        <f aca="false">IFERROR((J8-I8)/(J7-I7),"n/a")</f>
        <v>-0.117891816920943</v>
      </c>
      <c r="K26" s="13" t="n">
        <f aca="false">IFERROR((K8-J8)/(K7-J7),"n/a")</f>
        <v>-1.53741496598639</v>
      </c>
      <c r="L26" s="13" t="n">
        <f aca="false">IFERROR((L8-K8)/(L7-K7),"n/a")</f>
        <v>-3</v>
      </c>
      <c r="M26" s="13" t="n">
        <f aca="false">IFERROR((M8-L8)/(M7-L7),"n/a")</f>
        <v>0.0780619111709287</v>
      </c>
      <c r="N26" s="13" t="n">
        <f aca="false">IFERROR((N8-M8)/(N7-M7),"n/a")</f>
        <v>-0.447845804988662</v>
      </c>
      <c r="O26" s="13" t="n">
        <f aca="false">IFERROR((O8-N8)/(O7-N7),"n/a")</f>
        <v>0.0798333520999887</v>
      </c>
    </row>
    <row r="27" customFormat="false" ht="15" hidden="false" customHeight="false" outlineLevel="0" collapsed="false">
      <c r="A27" s="9" t="n">
        <v>14</v>
      </c>
      <c r="B27" s="9" t="s">
        <v>559</v>
      </c>
      <c r="C27" s="26" t="s">
        <v>77</v>
      </c>
      <c r="D27" s="26" t="s">
        <v>77</v>
      </c>
      <c r="E27" s="12" t="n">
        <f aca="false">AVERAGE(C7:E7)</f>
        <v>59551.6666666667</v>
      </c>
      <c r="F27" s="12" t="n">
        <f aca="false">AVERAGE(D7:F7)</f>
        <v>60837.6666666667</v>
      </c>
      <c r="G27" s="12" t="n">
        <f aca="false">AVERAGE(E7:G7)</f>
        <v>60664.3333333333</v>
      </c>
      <c r="H27" s="12" t="n">
        <f aca="false">AVERAGE(F7:H7)</f>
        <v>60764.3333333333</v>
      </c>
      <c r="I27" s="12" t="n">
        <f aca="false">AVERAGE(G7:I7)</f>
        <v>60608.6666666667</v>
      </c>
      <c r="J27" s="12" t="n">
        <f aca="false">AVERAGE(H7:J7)</f>
        <v>61878</v>
      </c>
      <c r="K27" s="12" t="n">
        <f aca="false">AVERAGE(I7:K7)</f>
        <v>62649</v>
      </c>
      <c r="L27" s="12" t="n">
        <f aca="false">AVERAGE(J7:L7)</f>
        <v>63381</v>
      </c>
      <c r="M27" s="12" t="n">
        <f aca="false">AVERAGE(K7:M7)</f>
        <v>63639.6666666667</v>
      </c>
      <c r="N27" s="12" t="n">
        <f aca="false">AVERAGE(L7:N7)</f>
        <v>64241.3333333333</v>
      </c>
      <c r="O27" s="12" t="n">
        <f aca="false">AVERAGE(M7:O7)</f>
        <v>67743.3333333333</v>
      </c>
    </row>
    <row r="29" customFormat="false" ht="15" hidden="false" customHeight="false" outlineLevel="0" collapsed="false">
      <c r="A29" s="4" t="s">
        <v>560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customFormat="false" ht="15" hidden="false" customHeight="false" outlineLevel="0" collapsed="false">
      <c r="A30" s="8" t="s">
        <v>56</v>
      </c>
      <c r="B30" s="8" t="s">
        <v>561</v>
      </c>
      <c r="C30" s="8" t="s">
        <v>533</v>
      </c>
      <c r="D30" s="8" t="s">
        <v>58</v>
      </c>
      <c r="E30" s="8" t="s">
        <v>534</v>
      </c>
      <c r="F30" s="8" t="s">
        <v>535</v>
      </c>
      <c r="G30" s="8" t="s">
        <v>59</v>
      </c>
      <c r="H30" s="8" t="s">
        <v>536</v>
      </c>
      <c r="I30" s="8" t="s">
        <v>537</v>
      </c>
      <c r="J30" s="8" t="s">
        <v>60</v>
      </c>
      <c r="K30" s="8" t="s">
        <v>538</v>
      </c>
      <c r="L30" s="8" t="s">
        <v>539</v>
      </c>
      <c r="M30" s="8" t="s">
        <v>61</v>
      </c>
      <c r="N30" s="8" t="s">
        <v>540</v>
      </c>
      <c r="O30" s="8" t="s">
        <v>541</v>
      </c>
    </row>
    <row r="31" customFormat="false" ht="15" hidden="false" customHeight="false" outlineLevel="0" collapsed="false">
      <c r="A31" s="9" t="n">
        <v>1</v>
      </c>
      <c r="B31" s="9" t="s">
        <v>562</v>
      </c>
      <c r="C31" s="27"/>
      <c r="D31" s="18" t="n">
        <f aca="false">P2_Detailed_Table!E53</f>
        <v>20457</v>
      </c>
      <c r="E31" s="27"/>
      <c r="F31" s="27"/>
      <c r="G31" s="18" t="n">
        <f aca="false">P2_Detailed_Table!F53</f>
        <v>19901</v>
      </c>
      <c r="H31" s="27"/>
      <c r="I31" s="27"/>
      <c r="J31" s="18" t="n">
        <f aca="false">P2_Detailed_Table!G53</f>
        <v>19577</v>
      </c>
      <c r="K31" s="27"/>
      <c r="L31" s="27"/>
      <c r="M31" s="18" t="n">
        <f aca="false">P2_Detailed_Table!H53</f>
        <v>19321</v>
      </c>
      <c r="N31" s="27"/>
      <c r="O31" s="27"/>
    </row>
    <row r="32" customFormat="false" ht="15" hidden="false" customHeight="false" outlineLevel="0" collapsed="false">
      <c r="A32" s="9" t="n">
        <v>2</v>
      </c>
      <c r="B32" s="9" t="s">
        <v>563</v>
      </c>
      <c r="C32" s="27"/>
      <c r="D32" s="12" t="n">
        <f aca="false">D8-D31</f>
        <v>0</v>
      </c>
      <c r="E32" s="27"/>
      <c r="F32" s="27"/>
      <c r="G32" s="12" t="n">
        <f aca="false">G8-G31</f>
        <v>0</v>
      </c>
      <c r="H32" s="27"/>
      <c r="I32" s="27"/>
      <c r="J32" s="12" t="n">
        <f aca="false">J8-J31</f>
        <v>0</v>
      </c>
      <c r="K32" s="27"/>
      <c r="L32" s="27"/>
      <c r="M32" s="12" t="n">
        <f aca="false">M8-M31</f>
        <v>0</v>
      </c>
      <c r="N32" s="27"/>
      <c r="O32" s="27"/>
    </row>
    <row r="33" customFormat="false" ht="15" hidden="false" customHeight="false" outlineLevel="0" collapsed="false">
      <c r="A33" s="9" t="n">
        <v>3</v>
      </c>
      <c r="B33" s="9" t="s">
        <v>564</v>
      </c>
      <c r="C33" s="27"/>
      <c r="D33" s="27"/>
      <c r="E33" s="27"/>
      <c r="F33" s="27"/>
      <c r="G33" s="27"/>
      <c r="H33" s="27"/>
      <c r="I33" s="27"/>
      <c r="J33" s="18" t="n">
        <f aca="false">P2_Detailed_Table!G50</f>
        <v>13428</v>
      </c>
      <c r="K33" s="27"/>
      <c r="L33" s="27"/>
      <c r="M33" s="18" t="n">
        <f aca="false">P2_Detailed_Table!H50</f>
        <v>13771</v>
      </c>
      <c r="N33" s="27"/>
      <c r="O33" s="27"/>
    </row>
    <row r="34" customFormat="false" ht="15" hidden="false" customHeight="false" outlineLevel="0" collapsed="false">
      <c r="A34" s="9" t="n">
        <v>4</v>
      </c>
      <c r="B34" s="9" t="s">
        <v>565</v>
      </c>
      <c r="C34" s="27"/>
      <c r="D34" s="27"/>
      <c r="E34" s="27"/>
      <c r="F34" s="27"/>
      <c r="G34" s="27"/>
      <c r="H34" s="27"/>
      <c r="I34" s="27"/>
      <c r="J34" s="12" t="n">
        <f aca="false">J9-J33</f>
        <v>1</v>
      </c>
      <c r="K34" s="27"/>
      <c r="L34" s="27"/>
      <c r="M34" s="12" t="n">
        <f aca="false">M9-M33</f>
        <v>0</v>
      </c>
      <c r="N34" s="27"/>
      <c r="O34" s="27"/>
    </row>
    <row r="35" customFormat="false" ht="15" hidden="false" customHeight="false" outlineLevel="0" collapsed="false">
      <c r="A35" s="9" t="n">
        <v>5</v>
      </c>
      <c r="B35" s="9" t="s">
        <v>566</v>
      </c>
      <c r="C35" s="27"/>
      <c r="D35" s="18" t="n">
        <f aca="false">P1_NetFunded_Qtr!C8</f>
        <v>60131</v>
      </c>
      <c r="E35" s="27"/>
      <c r="F35" s="27"/>
      <c r="G35" s="18" t="n">
        <f aca="false">P1_NetFunded_Qtr!D8</f>
        <v>59611</v>
      </c>
      <c r="H35" s="27"/>
      <c r="I35" s="27"/>
      <c r="J35" s="18" t="n">
        <f aca="false">P1_NetFunded_Qtr!E8</f>
        <v>63419</v>
      </c>
      <c r="K35" s="27"/>
      <c r="L35" s="27"/>
      <c r="M35" s="18" t="n">
        <f aca="false">P1_NetFunded_Qtr!F8</f>
        <v>64195</v>
      </c>
      <c r="N35" s="27"/>
      <c r="O35" s="27"/>
    </row>
    <row r="36" customFormat="false" ht="15" hidden="false" customHeight="false" outlineLevel="0" collapsed="false">
      <c r="A36" s="9" t="n">
        <v>6</v>
      </c>
      <c r="B36" s="9" t="s">
        <v>567</v>
      </c>
      <c r="C36" s="27"/>
      <c r="D36" s="12" t="n">
        <f aca="false">D7-D35</f>
        <v>0</v>
      </c>
      <c r="E36" s="27"/>
      <c r="F36" s="27"/>
      <c r="G36" s="12" t="n">
        <f aca="false">G7-G35</f>
        <v>0</v>
      </c>
      <c r="H36" s="27"/>
      <c r="I36" s="27"/>
      <c r="J36" s="12" t="n">
        <f aca="false">J7-J35</f>
        <v>0</v>
      </c>
      <c r="K36" s="27"/>
      <c r="L36" s="27"/>
      <c r="M36" s="12" t="n">
        <f aca="false">M7-M35</f>
        <v>0</v>
      </c>
      <c r="N36" s="27"/>
      <c r="O36" s="27"/>
    </row>
    <row r="39" customFormat="false" ht="15" hidden="false" customHeight="false" outlineLevel="0" collapsed="false">
      <c r="A39" s="4" t="s">
        <v>93</v>
      </c>
      <c r="B39" s="5"/>
      <c r="C39" s="5"/>
      <c r="D39" s="5"/>
      <c r="E39" s="5"/>
      <c r="F39" s="5"/>
      <c r="G39" s="5"/>
      <c r="H39" s="5"/>
    </row>
    <row r="40" customFormat="false" ht="23.85" hidden="false" customHeight="false" outlineLevel="0" collapsed="false">
      <c r="A40" s="8" t="s">
        <v>56</v>
      </c>
      <c r="B40" s="8" t="s">
        <v>94</v>
      </c>
      <c r="C40" s="8" t="s">
        <v>95</v>
      </c>
      <c r="D40" s="8" t="s">
        <v>96</v>
      </c>
      <c r="E40" s="8" t="s">
        <v>97</v>
      </c>
    </row>
    <row r="41" customFormat="false" ht="46.25" hidden="false" customHeight="false" outlineLevel="0" collapsed="false">
      <c r="A41" s="9" t="n">
        <v>1</v>
      </c>
      <c r="B41" s="17" t="s">
        <v>568</v>
      </c>
      <c r="C41" s="14" t="n">
        <f aca="false">O14/AVERAGE(D14:N14)</f>
        <v>13.5456184137549</v>
      </c>
      <c r="D41" s="9" t="s">
        <v>569</v>
      </c>
      <c r="E41" s="19" t="s">
        <v>570</v>
      </c>
    </row>
    <row r="42" customFormat="false" ht="35.05" hidden="false" customHeight="false" outlineLevel="0" collapsed="false">
      <c r="A42" s="9" t="n">
        <v>2</v>
      </c>
      <c r="B42" s="17" t="s">
        <v>571</v>
      </c>
      <c r="C42" s="12" t="n">
        <f aca="false">SUMPRODUCT(MAX(ABS(D32:O32)))+SUMPRODUCT(MAX(ABS(D34:O34)))</f>
        <v>1</v>
      </c>
      <c r="D42" s="9" t="s">
        <v>99</v>
      </c>
      <c r="E42" s="19" t="s">
        <v>572</v>
      </c>
    </row>
    <row r="43" customFormat="false" ht="35.05" hidden="false" customHeight="false" outlineLevel="0" collapsed="false">
      <c r="A43" s="9" t="n">
        <v>3</v>
      </c>
      <c r="B43" s="17" t="s">
        <v>573</v>
      </c>
      <c r="C43" s="12" t="n">
        <f aca="false">I10-J10</f>
        <v>11011</v>
      </c>
      <c r="D43" s="9" t="s">
        <v>99</v>
      </c>
      <c r="E43" s="19" t="s">
        <v>574</v>
      </c>
    </row>
    <row r="44" customFormat="false" ht="35.05" hidden="false" customHeight="false" outlineLevel="0" collapsed="false">
      <c r="A44" s="9" t="n">
        <v>4</v>
      </c>
      <c r="B44" s="17" t="s">
        <v>575</v>
      </c>
      <c r="C44" s="13" t="n">
        <f aca="false">O18</f>
        <v>0.544863300792342</v>
      </c>
      <c r="D44" s="9" t="s">
        <v>121</v>
      </c>
      <c r="E44" s="19" t="s">
        <v>576</v>
      </c>
    </row>
    <row r="45" customFormat="false" ht="23.85" hidden="false" customHeight="false" outlineLevel="0" collapsed="false">
      <c r="A45" s="9" t="n">
        <v>5</v>
      </c>
      <c r="B45" s="17" t="s">
        <v>577</v>
      </c>
      <c r="C45" s="12" t="n">
        <f aca="false">SUMPRODUCT(ABS(D36:O36))</f>
        <v>0</v>
      </c>
      <c r="D45" s="9" t="s">
        <v>99</v>
      </c>
      <c r="E45" s="19" t="s">
        <v>578</v>
      </c>
    </row>
    <row r="47" customFormat="false" ht="15" hidden="false" customHeight="false" outlineLevel="0" collapsed="false">
      <c r="A47" s="4" t="s">
        <v>579</v>
      </c>
      <c r="B47" s="5"/>
      <c r="C47" s="5"/>
      <c r="D47" s="5"/>
      <c r="E47" s="5"/>
      <c r="F47" s="5"/>
      <c r="G47" s="5"/>
      <c r="H47" s="5"/>
    </row>
    <row r="49" customFormat="false" ht="15" hidden="false" customHeight="false" outlineLevel="0" collapsed="false">
      <c r="A49" s="4" t="s">
        <v>109</v>
      </c>
      <c r="B49" s="5"/>
      <c r="C49" s="5"/>
      <c r="D49" s="5"/>
      <c r="E49" s="5"/>
      <c r="F49" s="5"/>
      <c r="G49" s="5"/>
      <c r="H49" s="5"/>
    </row>
    <row r="50" customFormat="false" ht="15" hidden="false" customHeight="false" outlineLevel="0" collapsed="false">
      <c r="A50" s="8" t="s">
        <v>56</v>
      </c>
      <c r="B50" s="8" t="s">
        <v>110</v>
      </c>
      <c r="C50" s="8" t="s">
        <v>111</v>
      </c>
      <c r="D50" s="8" t="s">
        <v>112</v>
      </c>
      <c r="E50" s="8" t="s">
        <v>113</v>
      </c>
      <c r="F50" s="8" t="s">
        <v>96</v>
      </c>
      <c r="G50" s="8" t="s">
        <v>114</v>
      </c>
    </row>
    <row r="51" customFormat="false" ht="35.05" hidden="false" customHeight="false" outlineLevel="0" collapsed="false">
      <c r="A51" s="9" t="n">
        <v>1</v>
      </c>
      <c r="B51" s="10" t="s">
        <v>115</v>
      </c>
      <c r="C51" s="19" t="s">
        <v>580</v>
      </c>
      <c r="D51" s="19" t="s">
        <v>117</v>
      </c>
      <c r="E51" s="12" t="n">
        <f aca="false">O7</f>
        <v>73958</v>
      </c>
      <c r="F51" s="9" t="s">
        <v>99</v>
      </c>
      <c r="G51" s="19"/>
    </row>
    <row r="52" customFormat="false" ht="46.25" hidden="false" customHeight="false" outlineLevel="0" collapsed="false">
      <c r="A52" s="9" t="n">
        <v>2</v>
      </c>
      <c r="B52" s="10" t="s">
        <v>115</v>
      </c>
      <c r="C52" s="19" t="s">
        <v>581</v>
      </c>
      <c r="D52" s="19" t="s">
        <v>117</v>
      </c>
      <c r="E52" s="12" t="n">
        <f aca="false">G8</f>
        <v>19901</v>
      </c>
      <c r="F52" s="9" t="s">
        <v>99</v>
      </c>
      <c r="G52" s="19"/>
    </row>
    <row r="53" customFormat="false" ht="35.05" hidden="false" customHeight="false" outlineLevel="0" collapsed="false">
      <c r="A53" s="9" t="n">
        <v>3</v>
      </c>
      <c r="B53" s="10" t="s">
        <v>115</v>
      </c>
      <c r="C53" s="19" t="s">
        <v>582</v>
      </c>
      <c r="D53" s="19" t="s">
        <v>583</v>
      </c>
      <c r="E53" s="20" t="str">
        <f aca="false">INDEX(D6:O6,MATCH(MIN(D14:O14),D14:O14,0))</f>
        <v>Dec-25</v>
      </c>
      <c r="F53" s="9" t="s">
        <v>106</v>
      </c>
      <c r="G53" s="19"/>
    </row>
    <row r="54" customFormat="false" ht="35.05" hidden="false" customHeight="false" outlineLevel="0" collapsed="false">
      <c r="A54" s="9" t="n">
        <v>4</v>
      </c>
      <c r="B54" s="10" t="s">
        <v>122</v>
      </c>
      <c r="C54" s="19" t="s">
        <v>584</v>
      </c>
      <c r="D54" s="19" t="s">
        <v>585</v>
      </c>
      <c r="E54" s="13" t="n">
        <f aca="false">O7/C7-1</f>
        <v>0.278112848872375</v>
      </c>
      <c r="F54" s="9" t="s">
        <v>121</v>
      </c>
      <c r="G54" s="19"/>
    </row>
    <row r="55" customFormat="false" ht="57.45" hidden="false" customHeight="false" outlineLevel="0" collapsed="false">
      <c r="A55" s="9" t="n">
        <v>5</v>
      </c>
      <c r="B55" s="10" t="s">
        <v>122</v>
      </c>
      <c r="C55" s="19" t="s">
        <v>586</v>
      </c>
      <c r="D55" s="19" t="s">
        <v>587</v>
      </c>
      <c r="E55" s="15" t="n">
        <f aca="false">(O16-C16)*100</f>
        <v>-8.62093970551084</v>
      </c>
      <c r="F55" s="9" t="s">
        <v>32</v>
      </c>
      <c r="G55" s="19"/>
    </row>
    <row r="56" customFormat="false" ht="46.25" hidden="false" customHeight="false" outlineLevel="0" collapsed="false">
      <c r="A56" s="9" t="n">
        <v>6</v>
      </c>
      <c r="B56" s="10" t="s">
        <v>122</v>
      </c>
      <c r="C56" s="19" t="s">
        <v>588</v>
      </c>
      <c r="D56" s="19" t="s">
        <v>589</v>
      </c>
      <c r="E56" s="12" t="n">
        <f aca="false">AVERAGE(M7:O7)</f>
        <v>67743.3333333333</v>
      </c>
      <c r="F56" s="9" t="s">
        <v>99</v>
      </c>
      <c r="G56" s="19"/>
    </row>
    <row r="57" customFormat="false" ht="46.25" hidden="false" customHeight="false" outlineLevel="0" collapsed="false">
      <c r="A57" s="9" t="n">
        <v>7</v>
      </c>
      <c r="B57" s="10" t="s">
        <v>122</v>
      </c>
      <c r="C57" s="19" t="s">
        <v>590</v>
      </c>
      <c r="D57" s="19" t="s">
        <v>591</v>
      </c>
      <c r="E57" s="13" t="n">
        <f aca="false">O9/J9-1</f>
        <v>0.0444560279991064</v>
      </c>
      <c r="F57" s="9" t="s">
        <v>121</v>
      </c>
      <c r="G57" s="19"/>
    </row>
    <row r="58" customFormat="false" ht="91" hidden="false" customHeight="false" outlineLevel="0" collapsed="false">
      <c r="A58" s="9" t="n">
        <v>8</v>
      </c>
      <c r="B58" s="10" t="s">
        <v>131</v>
      </c>
      <c r="C58" s="19" t="s">
        <v>592</v>
      </c>
      <c r="D58" s="19" t="s">
        <v>593</v>
      </c>
      <c r="E58" s="15" t="n">
        <f aca="false">((N7/C7)^(12/11)-1-(O7/C7-1))*100</f>
        <v>-14.1404678066836</v>
      </c>
      <c r="F58" s="9" t="s">
        <v>32</v>
      </c>
      <c r="G58" s="19" t="s">
        <v>594</v>
      </c>
    </row>
    <row r="59" customFormat="false" ht="79.85" hidden="false" customHeight="false" outlineLevel="0" collapsed="false">
      <c r="A59" s="9" t="n">
        <v>9</v>
      </c>
      <c r="B59" s="10" t="s">
        <v>131</v>
      </c>
      <c r="C59" s="19" t="s">
        <v>595</v>
      </c>
      <c r="D59" s="19" t="s">
        <v>596</v>
      </c>
      <c r="E59" s="13" t="n">
        <f aca="false">O21/C21-1</f>
        <v>0.448072719518047</v>
      </c>
      <c r="F59" s="9" t="s">
        <v>121</v>
      </c>
      <c r="G59" s="19" t="s">
        <v>597</v>
      </c>
    </row>
    <row r="60" customFormat="false" ht="91" hidden="false" customHeight="false" outlineLevel="0" collapsed="false">
      <c r="A60" s="9" t="n">
        <v>10</v>
      </c>
      <c r="B60" s="10" t="s">
        <v>131</v>
      </c>
      <c r="C60" s="19" t="s">
        <v>598</v>
      </c>
      <c r="D60" s="19" t="s">
        <v>599</v>
      </c>
      <c r="E60" s="12" t="n">
        <f aca="false">SUMPRODUCT(MAX(ABS(D32:O32)))+SUMPRODUCT(MAX(ABS(D34:O34)))</f>
        <v>1</v>
      </c>
      <c r="F60" s="9" t="s">
        <v>99</v>
      </c>
      <c r="G60" s="19" t="s">
        <v>600</v>
      </c>
    </row>
    <row r="62" customFormat="false" ht="15" hidden="false" customHeight="false" outlineLevel="0" collapsed="false">
      <c r="A62" s="4" t="s">
        <v>141</v>
      </c>
      <c r="B62" s="5"/>
      <c r="C62" s="5"/>
      <c r="D62" s="5"/>
      <c r="E62" s="5"/>
      <c r="F62" s="5"/>
      <c r="G62" s="5"/>
      <c r="H62" s="5"/>
    </row>
    <row r="63" customFormat="false" ht="75" hidden="false" customHeight="true" outlineLevel="0" collapsed="false">
      <c r="A63" s="21" t="s">
        <v>601</v>
      </c>
      <c r="B63" s="21"/>
      <c r="C63" s="21"/>
      <c r="D63" s="21"/>
      <c r="E63" s="21"/>
      <c r="F63" s="21"/>
      <c r="G63" s="21"/>
      <c r="H63" s="21"/>
    </row>
    <row r="65" customFormat="false" ht="15" hidden="false" customHeight="false" outlineLevel="0" collapsed="false">
      <c r="A65" s="3" t="s">
        <v>2</v>
      </c>
    </row>
  </sheetData>
  <mergeCells count="1">
    <mergeCell ref="A63:H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3" topLeftCell="A2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602</v>
      </c>
    </row>
    <row r="2" customFormat="false" ht="1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25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2" t="s">
        <v>145</v>
      </c>
      <c r="C6" s="22" t="s">
        <v>146</v>
      </c>
      <c r="D6" s="22"/>
      <c r="E6" s="22"/>
      <c r="F6" s="22"/>
    </row>
    <row r="7" customFormat="false" ht="15" hidden="false" customHeight="true" outlineLevel="0" collapsed="false">
      <c r="B7" s="10" t="s">
        <v>603</v>
      </c>
      <c r="C7" s="19" t="s">
        <v>604</v>
      </c>
      <c r="D7" s="19"/>
      <c r="E7" s="19"/>
      <c r="F7" s="19"/>
    </row>
    <row r="8" customFormat="false" ht="15" hidden="false" customHeight="true" outlineLevel="0" collapsed="false">
      <c r="B8" s="10" t="s">
        <v>395</v>
      </c>
      <c r="C8" s="19" t="s">
        <v>543</v>
      </c>
      <c r="D8" s="19"/>
      <c r="E8" s="19"/>
      <c r="F8" s="19"/>
    </row>
    <row r="9" customFormat="false" ht="15" hidden="false" customHeight="true" outlineLevel="0" collapsed="false">
      <c r="B9" s="10" t="s">
        <v>605</v>
      </c>
      <c r="C9" s="19" t="s">
        <v>606</v>
      </c>
      <c r="D9" s="19"/>
      <c r="E9" s="19"/>
      <c r="F9" s="19"/>
    </row>
    <row r="10" customFormat="false" ht="15" hidden="false" customHeight="true" outlineLevel="0" collapsed="false">
      <c r="B10" s="10" t="s">
        <v>607</v>
      </c>
      <c r="C10" s="19" t="s">
        <v>608</v>
      </c>
      <c r="D10" s="19"/>
      <c r="E10" s="19"/>
      <c r="F10" s="19"/>
    </row>
    <row r="11" customFormat="false" ht="15" hidden="false" customHeight="true" outlineLevel="0" collapsed="false">
      <c r="B11" s="10" t="s">
        <v>153</v>
      </c>
      <c r="C11" s="19" t="s">
        <v>609</v>
      </c>
      <c r="D11" s="19"/>
      <c r="E11" s="19"/>
      <c r="F11" s="19"/>
    </row>
    <row r="12" customFormat="false" ht="15" hidden="false" customHeight="true" outlineLevel="0" collapsed="false">
      <c r="B12" s="10" t="s">
        <v>610</v>
      </c>
      <c r="C12" s="19" t="s">
        <v>611</v>
      </c>
      <c r="D12" s="19"/>
      <c r="E12" s="19"/>
      <c r="F12" s="19"/>
    </row>
    <row r="13" customFormat="false" ht="15" hidden="false" customHeight="true" outlineLevel="0" collapsed="false">
      <c r="B13" s="10" t="s">
        <v>612</v>
      </c>
      <c r="C13" s="19" t="s">
        <v>613</v>
      </c>
      <c r="D13" s="19"/>
      <c r="E13" s="19"/>
      <c r="F13" s="19"/>
    </row>
    <row r="14" customFormat="false" ht="15" hidden="false" customHeight="true" outlineLevel="0" collapsed="false">
      <c r="B14" s="10" t="s">
        <v>157</v>
      </c>
      <c r="C14" s="19" t="s">
        <v>614</v>
      </c>
      <c r="D14" s="19"/>
      <c r="E14" s="19"/>
      <c r="F14" s="19"/>
    </row>
    <row r="15" customFormat="false" ht="15" hidden="false" customHeight="true" outlineLevel="0" collapsed="false">
      <c r="B15" s="10" t="s">
        <v>159</v>
      </c>
      <c r="C15" s="19" t="s">
        <v>615</v>
      </c>
      <c r="D15" s="19"/>
      <c r="E15" s="19"/>
      <c r="F15" s="19"/>
    </row>
    <row r="16" customFormat="false" ht="15" hidden="false" customHeight="true" outlineLevel="0" collapsed="false">
      <c r="B16" s="10" t="s">
        <v>616</v>
      </c>
      <c r="C16" s="19" t="s">
        <v>617</v>
      </c>
      <c r="D16" s="19"/>
      <c r="E16" s="19"/>
      <c r="F16" s="19"/>
    </row>
    <row r="17" customFormat="false" ht="15" hidden="false" customHeight="true" outlineLevel="0" collapsed="false">
      <c r="B17" s="10" t="s">
        <v>618</v>
      </c>
      <c r="C17" s="19" t="s">
        <v>619</v>
      </c>
      <c r="D17" s="19"/>
      <c r="E17" s="19"/>
      <c r="F17" s="19"/>
    </row>
    <row r="18" customFormat="false" ht="15" hidden="false" customHeight="true" outlineLevel="0" collapsed="false">
      <c r="B18" s="10" t="s">
        <v>620</v>
      </c>
      <c r="C18" s="19" t="s">
        <v>621</v>
      </c>
      <c r="D18" s="19"/>
      <c r="E18" s="19"/>
      <c r="F18" s="19"/>
    </row>
    <row r="19" customFormat="false" ht="15" hidden="false" customHeight="true" outlineLevel="0" collapsed="false">
      <c r="B19" s="10" t="s">
        <v>622</v>
      </c>
      <c r="C19" s="19" t="s">
        <v>623</v>
      </c>
      <c r="D19" s="19"/>
      <c r="E19" s="19"/>
      <c r="F19" s="19"/>
    </row>
    <row r="20" customFormat="false" ht="15" hidden="false" customHeight="false" outlineLevel="0" collapsed="false">
      <c r="B20" s="23" t="s">
        <v>624</v>
      </c>
    </row>
    <row r="22" customFormat="false" ht="15" hidden="false" customHeight="false" outlineLevel="0" collapsed="false">
      <c r="A22" s="4" t="s">
        <v>170</v>
      </c>
      <c r="B22" s="5"/>
      <c r="C22" s="5"/>
      <c r="D22" s="5"/>
      <c r="E22" s="5"/>
      <c r="F22" s="5"/>
    </row>
    <row r="23" customFormat="false" ht="15" hidden="false" customHeight="false" outlineLevel="0" collapsed="false">
      <c r="A23" s="8" t="s">
        <v>56</v>
      </c>
      <c r="B23" s="8" t="s">
        <v>171</v>
      </c>
      <c r="C23" s="8" t="s">
        <v>172</v>
      </c>
      <c r="D23" s="8" t="s">
        <v>173</v>
      </c>
      <c r="E23" s="8" t="s">
        <v>174</v>
      </c>
      <c r="F23" s="8" t="s">
        <v>175</v>
      </c>
    </row>
    <row r="24" customFormat="false" ht="23.85" hidden="false" customHeight="false" outlineLevel="0" collapsed="false">
      <c r="A24" s="9" t="n">
        <v>1</v>
      </c>
      <c r="B24" s="19" t="s">
        <v>176</v>
      </c>
      <c r="C24" s="19" t="s">
        <v>625</v>
      </c>
      <c r="D24" s="19" t="s">
        <v>626</v>
      </c>
      <c r="E24" s="19" t="s">
        <v>627</v>
      </c>
      <c r="F24" s="24" t="str">
        <f aca="false">"RT Aug-25 "&amp;TEXT(P3_Retail_Monthly!C7,"#,##0;-#,##0;0")&amp;" → Aug-26 "&amp;TEXT(P3_Retail_Monthly!O7,"#,##0;-#,##0;0")&amp;"; CC "&amp;TEXT(P3_Retail_Monthly!C8,"#,##0;-#,##0;0")&amp;" → "&amp;TEXT(P3_Retail_Monthly!O8,"#,##0;-#,##0;0")&amp;"; LAP Mar-26 "&amp;TEXT(P3_Retail_Monthly!J9,"#,##0;-#,##0;0")&amp;" → "&amp;TEXT(P3_Retail_Monthly!O9,"#,##0;-#,##0;0")</f>
        <v>RT Aug-25 57,865 → Aug-26 73,958; CC 20,351 → 19,635; LAP Mar-26 13,429 → 14,026</v>
      </c>
    </row>
    <row r="25" customFormat="false" ht="15" hidden="false" customHeight="false" outlineLevel="0" collapsed="false">
      <c r="A25" s="9" t="n">
        <v>2</v>
      </c>
      <c r="B25" s="19" t="s">
        <v>176</v>
      </c>
      <c r="C25" s="19" t="s">
        <v>628</v>
      </c>
      <c r="D25" s="19" t="s">
        <v>629</v>
      </c>
      <c r="E25" s="19" t="s">
        <v>183</v>
      </c>
      <c r="F25" s="24" t="str">
        <f aca="false">TEXT(P3_Retail_Monthly!D7,"#,##0;-#,##0;0")&amp;" / "&amp;TEXT(P3_Retail_Monthly!G7,"#,##0;-#,##0;0")&amp;" / "&amp;TEXT(P3_Retail_Monthly!J7,"#,##0;-#,##0;0")&amp;" / "&amp;TEXT(P3_Retail_Monthly!M7,"#,##0;-#,##0;0")</f>
        <v>60,131 / 59,611 / 63,419 / 64,195</v>
      </c>
    </row>
    <row r="26" customFormat="false" ht="15" hidden="false" customHeight="false" outlineLevel="0" collapsed="false">
      <c r="A26" s="9" t="n">
        <v>3</v>
      </c>
      <c r="B26" s="19" t="s">
        <v>630</v>
      </c>
      <c r="C26" s="19" t="s">
        <v>631</v>
      </c>
      <c r="D26" s="19" t="s">
        <v>632</v>
      </c>
      <c r="E26" s="19" t="s">
        <v>633</v>
      </c>
      <c r="F26" s="24" t="str">
        <f aca="false">"Sep-25 "&amp;TEXT(P3_Retail_Monthly!D10,"#,##0;-#,##0;0")&amp;"; Mar-26 "&amp;TEXT(P3_Retail_Monthly!J10,"#,##0;-#,##0;0")&amp;"; Aug-26 "&amp;TEXT(P3_Retail_Monthly!O10,"#,##0;-#,##0;0")</f>
        <v>Sep-25 39,674; Mar-26 30,413; Aug-26 40,297</v>
      </c>
    </row>
    <row r="27" customFormat="false" ht="15" hidden="false" customHeight="false" outlineLevel="0" collapsed="false">
      <c r="A27" s="9" t="n">
        <v>4</v>
      </c>
      <c r="B27" s="19" t="s">
        <v>630</v>
      </c>
      <c r="C27" s="19" t="s">
        <v>634</v>
      </c>
      <c r="D27" s="19" t="s">
        <v>635</v>
      </c>
      <c r="E27" s="19" t="s">
        <v>633</v>
      </c>
      <c r="F27" s="24" t="str">
        <f aca="false">TEXT(P3_Retail_Monthly!C21,"#,##0;-#,##0;0")&amp;" / "&amp;TEXT(P3_Retail_Monthly!J21,"#,##0;-#,##0;0")&amp;" / "&amp;TEXT(P3_Retail_Monthly!O21,"#,##0;-#,##0;0")&amp;" (Aug-25 / Mar-26 / Aug-26)"</f>
        <v>37,514 / 43,842 / 54,323 (Aug-25 / Mar-26 / Aug-26)</v>
      </c>
    </row>
    <row r="28" customFormat="false" ht="23.85" hidden="false" customHeight="false" outlineLevel="0" collapsed="false">
      <c r="A28" s="9" t="n">
        <v>5</v>
      </c>
      <c r="B28" s="19" t="s">
        <v>192</v>
      </c>
      <c r="C28" s="19" t="s">
        <v>636</v>
      </c>
      <c r="D28" s="19" t="s">
        <v>637</v>
      </c>
      <c r="E28" s="19" t="s">
        <v>638</v>
      </c>
      <c r="F28" s="24" t="str">
        <f aca="false">TEXT(P3_Retail_Monthly!D14,"#,##0;-#,##0;0")&amp;" / "&amp;TEXT(P3_Retail_Monthly!E14,"#,##0;-#,##0;0")&amp;" / "&amp;TEXT(P3_Retail_Monthly!F14,"#,##0;-#,##0;0")&amp;" / "&amp;TEXT(P3_Retail_Monthly!G14,"#,##0;-#,##0;0")&amp;" / "&amp;TEXT(P3_Retail_Monthly!H14,"#,##0;-#,##0;0")&amp;" / "&amp;TEXT(P3_Retail_Monthly!I14,"#,##0;-#,##0;0")&amp;" / "&amp;TEXT(P3_Retail_Monthly!J14,"#,##0;-#,##0;0")&amp;" / "&amp;TEXT(P3_Retail_Monthly!K14,"#,##0;-#,##0;0")&amp;" / "&amp;TEXT(P3_Retail_Monthly!L14,"#,##0;-#,##0;0")&amp;" / "&amp;TEXT(P3_Retail_Monthly!M14,"#,##0;-#,##0;0")&amp;" / "&amp;TEXT(P3_Retail_Monthly!N14,"#,##0;-#,##0;0")&amp;" / "&amp;TEXT(P3_Retail_Monthly!O14,"#,##0;-#,##0;0")</f>
        <v>2,266 / 528 / 1,064 / -2,112 / 1,348 / 297 / 2,163 / -147 / 180 / 743 / 882 / 8,881</v>
      </c>
    </row>
    <row r="29" customFormat="false" ht="23.85" hidden="false" customHeight="false" outlineLevel="0" collapsed="false">
      <c r="A29" s="9" t="n">
        <v>6</v>
      </c>
      <c r="B29" s="19" t="s">
        <v>192</v>
      </c>
      <c r="C29" s="19" t="s">
        <v>639</v>
      </c>
      <c r="D29" s="19" t="s">
        <v>640</v>
      </c>
      <c r="E29" s="19" t="s">
        <v>641</v>
      </c>
      <c r="F29" s="24" t="str">
        <f aca="false">TEXT(P3_Retail_Monthly!D15,"+0.0%;-0.0%;0.0%")&amp;" / "&amp;TEXT(P3_Retail_Monthly!E15,"+0.0%;-0.0%;0.0%")&amp;" / "&amp;TEXT(P3_Retail_Monthly!F15,"+0.0%;-0.0%;0.0%")&amp;" / "&amp;TEXT(P3_Retail_Monthly!G15,"+0.0%;-0.0%;0.0%")&amp;" / "&amp;TEXT(P3_Retail_Monthly!H15,"+0.0%;-0.0%;0.0%")&amp;" / "&amp;TEXT(P3_Retail_Monthly!I15,"+0.0%;-0.0%;0.0%")&amp;" / "&amp;TEXT(P3_Retail_Monthly!J15,"+0.0%;-0.0%;0.0%")&amp;" / "&amp;TEXT(P3_Retail_Monthly!K15,"+0.0%;-0.0%;0.0%")&amp;" / "&amp;TEXT(P3_Retail_Monthly!L15,"+0.0%;-0.0%;0.0%")&amp;" / "&amp;TEXT(P3_Retail_Monthly!M15,"+0.0%;-0.0%;0.0%")&amp;" / "&amp;TEXT(P3_Retail_Monthly!N15,"+0.0%;-0.0%;0.0%")&amp;" / "&amp;TEXT(P3_Retail_Monthly!O15,"+0.0%;-0.0%;0.0%")</f>
        <v>+3.9% / +0.9% / +1.8% / -3.4% / +2.3% / +0.5% / +3.5% / -0.2% / +0.3% / +1.2% / +1.4% / +13.6%</v>
      </c>
    </row>
    <row r="30" customFormat="false" ht="15" hidden="false" customHeight="false" outlineLevel="0" collapsed="false">
      <c r="A30" s="9" t="n">
        <v>7</v>
      </c>
      <c r="B30" s="19" t="s">
        <v>192</v>
      </c>
      <c r="C30" s="19" t="s">
        <v>642</v>
      </c>
      <c r="D30" s="19" t="s">
        <v>643</v>
      </c>
      <c r="E30" s="19" t="s">
        <v>644</v>
      </c>
      <c r="F30" s="24" t="str">
        <f aca="false">"RT "&amp;TEXT(P3_Retail_Monthly!O7/P3_Retail_Monthly!C7-1,"+0.0%;-0.0%;0.0%")&amp;" ("&amp;TEXT(P3_Retail_Monthly!O7-P3_Retail_Monthly!C7,"#,##0;-#,##0;0")&amp;"); CC "&amp;TEXT(P3_Retail_Monthly!O8/P3_Retail_Monthly!C8-1,"+0.0%;-0.0%;0.0%")&amp;"; ex-CC "&amp;TEXT(P3_Retail_Monthly!O21/P3_Retail_Monthly!C21-1,"+0.0%;-0.0%;0.0%")</f>
        <v>RT +27.8% (16,093); CC -3.5%; ex-CC +44.8%</v>
      </c>
    </row>
    <row r="31" customFormat="false" ht="15" hidden="false" customHeight="false" outlineLevel="0" collapsed="false">
      <c r="A31" s="9" t="n">
        <v>8</v>
      </c>
      <c r="B31" s="19" t="s">
        <v>192</v>
      </c>
      <c r="C31" s="19" t="s">
        <v>645</v>
      </c>
      <c r="D31" s="19" t="s">
        <v>646</v>
      </c>
      <c r="E31" s="19" t="s">
        <v>647</v>
      </c>
      <c r="F31" s="24" t="str">
        <f aca="false">TEXT(P3_Retail_Monthly!N7/P3_Retail_Monthly!C7-1,"+0.0%;-0.0%;0.0%")&amp;"; annualised "&amp;TEXT((P3_Retail_Monthly!N7/P3_Retail_Monthly!C7)^(12/11)-1,"+0.0%;-0.0%;0.0%")</f>
        <v>+12.5%; annualised +13.7%</v>
      </c>
    </row>
    <row r="32" customFormat="false" ht="15" hidden="false" customHeight="false" outlineLevel="0" collapsed="false">
      <c r="A32" s="9" t="n">
        <v>9</v>
      </c>
      <c r="B32" s="19" t="s">
        <v>192</v>
      </c>
      <c r="C32" s="19" t="s">
        <v>616</v>
      </c>
      <c r="D32" s="19" t="s">
        <v>648</v>
      </c>
      <c r="E32" s="19" t="s">
        <v>649</v>
      </c>
      <c r="F32" s="24" t="str">
        <f aca="false">"12M "&amp;TEXT((P3_Retail_Monthly!O7/P3_Retail_Monthly!C7)^(1/12)-1,"+0.0%;-0.0%;0.0%")&amp;"; 11M ex-spike "&amp;TEXT((P3_Retail_Monthly!N7/P3_Retail_Monthly!C7)^(1/11)-1,"+0.0%;-0.0%;0.0%")</f>
        <v>12M +2.1%; 11M ex-spike +1.1%</v>
      </c>
    </row>
    <row r="33" customFormat="false" ht="15" hidden="false" customHeight="false" outlineLevel="0" collapsed="false">
      <c r="A33" s="9" t="n">
        <v>10</v>
      </c>
      <c r="B33" s="19" t="s">
        <v>192</v>
      </c>
      <c r="C33" s="19" t="s">
        <v>650</v>
      </c>
      <c r="D33" s="19" t="s">
        <v>651</v>
      </c>
      <c r="E33" s="19" t="s">
        <v>422</v>
      </c>
      <c r="F33" s="24" t="str">
        <f aca="false">TEXT(P3_Retail_Monthly!G7/P3_Retail_Monthly!D7-1,"+0.0%;-0.0%;0.0%")&amp;" / "&amp;TEXT(P3_Retail_Monthly!J7/P3_Retail_Monthly!G7-1,"+0.0%;-0.0%;0.0%")&amp;" / "&amp;TEXT(P3_Retail_Monthly!M7/P3_Retail_Monthly!J7-1,"+0.0%;-0.0%;0.0%")</f>
        <v>-0.9% / +6.4% / +1.2%</v>
      </c>
    </row>
    <row r="34" customFormat="false" ht="23.85" hidden="false" customHeight="false" outlineLevel="0" collapsed="false">
      <c r="A34" s="9" t="n">
        <v>11</v>
      </c>
      <c r="B34" s="19" t="s">
        <v>192</v>
      </c>
      <c r="C34" s="19" t="s">
        <v>652</v>
      </c>
      <c r="D34" s="19" t="s">
        <v>653</v>
      </c>
      <c r="E34" s="19" t="s">
        <v>654</v>
      </c>
      <c r="F34" s="24" t="str">
        <f aca="false">TEXT(AVERAGE(P3_Retail_Monthly!K7:M7)/AVERAGE(P3_Retail_Monthly!H7:J7)-1,"+0.0%;-0.0%;0.0%")</f>
        <v>+2.8%</v>
      </c>
    </row>
    <row r="35" customFormat="false" ht="15" hidden="false" customHeight="false" outlineLevel="0" collapsed="false">
      <c r="A35" s="9" t="n">
        <v>12</v>
      </c>
      <c r="B35" s="19" t="s">
        <v>192</v>
      </c>
      <c r="C35" s="19" t="s">
        <v>205</v>
      </c>
      <c r="D35" s="19" t="s">
        <v>655</v>
      </c>
      <c r="E35" s="19" t="s">
        <v>633</v>
      </c>
      <c r="F35" s="24" t="str">
        <f aca="false">TEXT(P3_Retail_Monthly!D23,"0.0")&amp;" / "&amp;TEXT(P3_Retail_Monthly!G23,"0.0")&amp;" / "&amp;TEXT(P3_Retail_Monthly!J23,"0.0")&amp;" / "&amp;TEXT(P3_Retail_Monthly!M23,"0.0")&amp;" / "&amp;TEXT(P3_Retail_Monthly!O23,"0.0")&amp;" (QE months, Aug-26)"</f>
        <v>103.9 / 103.0 / 109.6 / 110.9 / 127.8 (QE months, Aug-26)</v>
      </c>
    </row>
    <row r="36" customFormat="false" ht="15" hidden="false" customHeight="false" outlineLevel="0" collapsed="false">
      <c r="A36" s="9" t="n">
        <v>13</v>
      </c>
      <c r="B36" s="19" t="s">
        <v>192</v>
      </c>
      <c r="C36" s="19" t="s">
        <v>656</v>
      </c>
      <c r="D36" s="19" t="s">
        <v>657</v>
      </c>
      <c r="E36" s="19" t="s">
        <v>641</v>
      </c>
      <c r="F36" s="24" t="str">
        <f aca="false">TEXT(COUNTIF(P3_Retail_Monthly!D14:O14,"&lt;0"),"0")</f>
        <v>2</v>
      </c>
    </row>
    <row r="37" customFormat="false" ht="15" hidden="false" customHeight="false" outlineLevel="0" collapsed="false">
      <c r="A37" s="9" t="n">
        <v>14</v>
      </c>
      <c r="B37" s="19" t="s">
        <v>192</v>
      </c>
      <c r="C37" s="19" t="s">
        <v>658</v>
      </c>
      <c r="D37" s="19" t="s">
        <v>659</v>
      </c>
      <c r="E37" s="19" t="s">
        <v>249</v>
      </c>
      <c r="F37" s="24" t="str">
        <f aca="false">TEXT(MATCH(TRUE(),INDEX(P3_Retail_Monthly!H7:O7&gt;=P3_Retail_Monthly!F7,0),0),"0")&amp;" months after Dec-25"</f>
        <v>3 months after Dec-25</v>
      </c>
    </row>
    <row r="38" customFormat="false" ht="15" hidden="false" customHeight="false" outlineLevel="0" collapsed="false">
      <c r="A38" s="9" t="n">
        <v>15</v>
      </c>
      <c r="B38" s="19" t="s">
        <v>231</v>
      </c>
      <c r="C38" s="19" t="s">
        <v>660</v>
      </c>
      <c r="D38" s="19" t="s">
        <v>661</v>
      </c>
      <c r="E38" s="19" t="s">
        <v>662</v>
      </c>
      <c r="F38" s="24" t="str">
        <f aca="false">TEXT(AVERAGE(P3_Retail_Monthly!D14:O14),"#,##0;-#,##0;0")&amp;" / ex-Aug-26 "&amp;TEXT(AVERAGE(P3_Retail_Monthly!D14:N14),"#,##0;-#,##0;0")</f>
        <v>1,341 / ex-Aug-26 656</v>
      </c>
    </row>
    <row r="39" customFormat="false" ht="15" hidden="false" customHeight="false" outlineLevel="0" collapsed="false">
      <c r="A39" s="9" t="n">
        <v>16</v>
      </c>
      <c r="B39" s="19" t="s">
        <v>231</v>
      </c>
      <c r="C39" s="19" t="s">
        <v>663</v>
      </c>
      <c r="D39" s="19" t="s">
        <v>664</v>
      </c>
      <c r="E39" s="19" t="s">
        <v>249</v>
      </c>
      <c r="F39" s="24" t="str">
        <f aca="false">TEXT(P3_Retail_Monthly!O14/AVERAGE(P3_Retail_Monthly!D14:N14),"0.00""x""")</f>
        <v>13.55x</v>
      </c>
    </row>
    <row r="40" customFormat="false" ht="23.85" hidden="false" customHeight="false" outlineLevel="0" collapsed="false">
      <c r="A40" s="9" t="n">
        <v>17</v>
      </c>
      <c r="B40" s="19" t="s">
        <v>231</v>
      </c>
      <c r="C40" s="19" t="s">
        <v>665</v>
      </c>
      <c r="D40" s="19" t="s">
        <v>666</v>
      </c>
      <c r="E40" s="19" t="s">
        <v>667</v>
      </c>
      <c r="F40" s="24" t="str">
        <f aca="false">"T3M "&amp;TEXT(AVERAGE(P3_Retail_Monthly!M7:O7),"#,##0;-#,##0;0")&amp;"; T6M "&amp;TEXT(AVERAGE(P3_Retail_Monthly!J7:O7),"#,##0;-#,##0;0")</f>
        <v>T3M 67,743; T6M 65,562</v>
      </c>
    </row>
    <row r="41" customFormat="false" ht="15" hidden="false" customHeight="false" outlineLevel="0" collapsed="false">
      <c r="A41" s="9" t="n">
        <v>18</v>
      </c>
      <c r="B41" s="19" t="s">
        <v>231</v>
      </c>
      <c r="C41" s="19" t="s">
        <v>668</v>
      </c>
      <c r="D41" s="19" t="s">
        <v>669</v>
      </c>
      <c r="E41" s="19" t="s">
        <v>667</v>
      </c>
      <c r="F41" s="24" t="str">
        <f aca="false">TEXT(AVERAGE(P3_Retail_Monthly!M15:O15),"+0.0%;-0.0%;0.0%")</f>
        <v>+5.4%</v>
      </c>
    </row>
    <row r="42" customFormat="false" ht="23.85" hidden="false" customHeight="false" outlineLevel="0" collapsed="false">
      <c r="A42" s="9" t="n">
        <v>19</v>
      </c>
      <c r="B42" s="19" t="s">
        <v>231</v>
      </c>
      <c r="C42" s="19" t="s">
        <v>670</v>
      </c>
      <c r="D42" s="19" t="s">
        <v>671</v>
      </c>
      <c r="E42" s="19" t="s">
        <v>672</v>
      </c>
      <c r="F42" s="24" t="str">
        <f aca="false">TEXT(AVERAGE(P3_Retail_Monthly!E7:G7),"#,##0;-#,##0;0")&amp;" / "&amp;TEXT(AVERAGE(P3_Retail_Monthly!H7:J7),"#,##0;-#,##0;0")&amp;" / "&amp;TEXT(AVERAGE(P3_Retail_Monthly!K7:M7),"#,##0;-#,##0;0")</f>
        <v>60,664 / 61,878 / 63,640</v>
      </c>
    </row>
    <row r="43" customFormat="false" ht="15" hidden="false" customHeight="false" outlineLevel="0" collapsed="false">
      <c r="A43" s="9" t="n">
        <v>20</v>
      </c>
      <c r="B43" s="19" t="s">
        <v>673</v>
      </c>
      <c r="C43" s="19" t="s">
        <v>674</v>
      </c>
      <c r="D43" s="19" t="s">
        <v>675</v>
      </c>
      <c r="E43" s="19" t="s">
        <v>662</v>
      </c>
      <c r="F43" s="24" t="str">
        <f aca="false">TEXT(STDEV(P3_Retail_Monthly!D15:O15),"0.0%")&amp;" / ex-Aug-26 "&amp;TEXT(STDEV(P3_Retail_Monthly!D15:N15),"0.0%")</f>
        <v>4.1% / ex-Aug-26 2.0%</v>
      </c>
    </row>
    <row r="44" customFormat="false" ht="15" hidden="false" customHeight="false" outlineLevel="0" collapsed="false">
      <c r="A44" s="9" t="n">
        <v>21</v>
      </c>
      <c r="B44" s="19" t="s">
        <v>673</v>
      </c>
      <c r="C44" s="19" t="s">
        <v>676</v>
      </c>
      <c r="D44" s="19" t="s">
        <v>677</v>
      </c>
      <c r="E44" s="19" t="s">
        <v>633</v>
      </c>
      <c r="F44" s="24" t="str">
        <f aca="false">TEXT(STDEV(P3_Retail_Monthly!C7:O7)/AVERAGE(P3_Retail_Monthly!C7:O7),"0.0%")</f>
        <v>6.3%</v>
      </c>
    </row>
    <row r="45" customFormat="false" ht="15" hidden="false" customHeight="false" outlineLevel="0" collapsed="false">
      <c r="A45" s="9" t="n">
        <v>22</v>
      </c>
      <c r="B45" s="19" t="s">
        <v>673</v>
      </c>
      <c r="C45" s="19" t="s">
        <v>678</v>
      </c>
      <c r="D45" s="19" t="s">
        <v>679</v>
      </c>
      <c r="E45" s="19" t="s">
        <v>641</v>
      </c>
      <c r="F45" s="24" t="str">
        <f aca="false">INDEX(P3_Retail_Monthly!D6:O6,MATCH(MAX(P3_Retail_Monthly!D14:O14),P3_Retail_Monthly!D14:O14,0))&amp;" "&amp;TEXT(MAX(P3_Retail_Monthly!D14:O14),"#,##0;-#,##0;0")&amp;"; "&amp;INDEX(P3_Retail_Monthly!D6:O6,MATCH(MIN(P3_Retail_Monthly!D14:O14),P3_Retail_Monthly!D14:O14,0))&amp;" "&amp;TEXT(MIN(P3_Retail_Monthly!D14:O14),"#,##0;-#,##0;0")</f>
        <v>Aug-26 8,881; Dec-25 -2,112</v>
      </c>
    </row>
    <row r="46" customFormat="false" ht="23.85" hidden="false" customHeight="false" outlineLevel="0" collapsed="false">
      <c r="A46" s="9" t="n">
        <v>23</v>
      </c>
      <c r="B46" s="19" t="s">
        <v>673</v>
      </c>
      <c r="C46" s="19" t="s">
        <v>680</v>
      </c>
      <c r="D46" s="19" t="s">
        <v>681</v>
      </c>
      <c r="E46" s="19" t="s">
        <v>641</v>
      </c>
      <c r="F46" s="24" t="str">
        <f aca="false">"QE "&amp;TEXT(AVERAGE(P3_Retail_Monthly!D15,P3_Retail_Monthly!G15,P3_Retail_Monthly!J15,P3_Retail_Monthly!M15),"+0.0%;-0.0%;0.0%")&amp;" vs other "&amp;TEXT(AVERAGE(P3_Retail_Monthly!E15,P3_Retail_Monthly!F15,P3_Retail_Monthly!H15,P3_Retail_Monthly!I15,P3_Retail_Monthly!K15,P3_Retail_Monthly!L15,P3_Retail_Monthly!N15),"+0.0%;-0.0%;0.0%")</f>
        <v>QE +1.3% vs other +1.0%</v>
      </c>
    </row>
    <row r="47" customFormat="false" ht="15" hidden="false" customHeight="false" outlineLevel="0" collapsed="false">
      <c r="A47" s="9" t="n">
        <v>24</v>
      </c>
      <c r="B47" s="19" t="s">
        <v>673</v>
      </c>
      <c r="C47" s="19" t="s">
        <v>245</v>
      </c>
      <c r="D47" s="19" t="s">
        <v>682</v>
      </c>
      <c r="E47" s="19" t="s">
        <v>633</v>
      </c>
      <c r="F47" s="24" t="str">
        <f aca="false">TEXT(MAX(P3_Retail_Monthly!C7:O7),"#,##0;-#,##0;0")&amp;" / "&amp;TEXT(MIN(P3_Retail_Monthly!C7:O7),"#,##0;-#,##0;0")</f>
        <v>73,958 / 57,865</v>
      </c>
    </row>
    <row r="48" customFormat="false" ht="15" hidden="false" customHeight="false" outlineLevel="0" collapsed="false">
      <c r="A48" s="9" t="n">
        <v>25</v>
      </c>
      <c r="B48" s="19" t="s">
        <v>673</v>
      </c>
      <c r="C48" s="19" t="s">
        <v>683</v>
      </c>
      <c r="D48" s="19" t="s">
        <v>684</v>
      </c>
      <c r="E48" s="19" t="s">
        <v>249</v>
      </c>
      <c r="F48" s="24" t="str">
        <f aca="false">TEXT(P3_Retail_Monthly!G15,"+0.0%;-0.0%;0.0%")</f>
        <v>-3.4%</v>
      </c>
    </row>
    <row r="49" customFormat="false" ht="15" hidden="false" customHeight="false" outlineLevel="0" collapsed="false">
      <c r="A49" s="9" t="n">
        <v>26</v>
      </c>
      <c r="B49" s="19" t="s">
        <v>184</v>
      </c>
      <c r="C49" s="19" t="s">
        <v>478</v>
      </c>
      <c r="D49" s="19" t="s">
        <v>685</v>
      </c>
      <c r="E49" s="19" t="s">
        <v>633</v>
      </c>
      <c r="F49" s="24" t="str">
        <f aca="false">TEXT(P3_Retail_Monthly!C16,"0.0%")&amp;" / "&amp;TEXT(P3_Retail_Monthly!D16,"0.0%")&amp;" / "&amp;TEXT(P3_Retail_Monthly!G16,"0.0%")&amp;" / "&amp;TEXT(P3_Retail_Monthly!J16,"0.0%")&amp;" / "&amp;TEXT(P3_Retail_Monthly!M16,"0.0%")&amp;" / "&amp;TEXT(P3_Retail_Monthly!O16,"0.0%")&amp;" (Aug-25, QE, Aug-26)"</f>
        <v>35.2% / 34.0% / 33.4% / 30.9% / 30.1% / 26.5% (Aug-25, QE, Aug-26)</v>
      </c>
    </row>
    <row r="50" customFormat="false" ht="15" hidden="false" customHeight="false" outlineLevel="0" collapsed="false">
      <c r="A50" s="9" t="n">
        <v>27</v>
      </c>
      <c r="B50" s="19" t="s">
        <v>184</v>
      </c>
      <c r="C50" s="19" t="s">
        <v>686</v>
      </c>
      <c r="D50" s="19" t="s">
        <v>687</v>
      </c>
      <c r="E50" s="19" t="s">
        <v>215</v>
      </c>
      <c r="F50" s="24" t="str">
        <f aca="false">TEXT((P3_Retail_Monthly!O16-P3_Retail_Monthly!C16)*100,"+0.0"" pp"";-0.0"" pp"";0.0"" pp""")</f>
        <v>-8.6 pp</v>
      </c>
    </row>
    <row r="51" customFormat="false" ht="15" hidden="false" customHeight="false" outlineLevel="0" collapsed="false">
      <c r="A51" s="9" t="n">
        <v>28</v>
      </c>
      <c r="B51" s="19" t="s">
        <v>184</v>
      </c>
      <c r="C51" s="19" t="s">
        <v>549</v>
      </c>
      <c r="D51" s="19" t="s">
        <v>688</v>
      </c>
      <c r="E51" s="19" t="s">
        <v>689</v>
      </c>
      <c r="F51" s="24" t="str">
        <f aca="false">TEXT(P3_Retail_Monthly!J17,"0.0%")&amp;" / "&amp;TEXT(P3_Retail_Monthly!M17,"0.0%")&amp;" / "&amp;TEXT(P3_Retail_Monthly!O17,"0.0%")&amp;" (Mar / Jun / Aug-26)"</f>
        <v>21.2% / 21.5% / 19.0% (Mar / Jun / Aug-26)</v>
      </c>
    </row>
    <row r="52" customFormat="false" ht="23.85" hidden="false" customHeight="false" outlineLevel="0" collapsed="false">
      <c r="A52" s="9" t="n">
        <v>29</v>
      </c>
      <c r="B52" s="19" t="s">
        <v>184</v>
      </c>
      <c r="C52" s="19" t="s">
        <v>690</v>
      </c>
      <c r="D52" s="19" t="s">
        <v>691</v>
      </c>
      <c r="E52" s="19" t="s">
        <v>692</v>
      </c>
      <c r="F52" s="24" t="str">
        <f aca="false">TEXT(P3_Retail_Monthly!J18,"0.0%")&amp;" / "&amp;TEXT(P3_Retail_Monthly!M18,"0.0%")&amp;" / "&amp;TEXT(P3_Retail_Monthly!O18,"0.0%")&amp;" (Mar / Jun / Aug-26)"</f>
        <v>48.0% / 48.5% / 54.5% (Mar / Jun / Aug-26)</v>
      </c>
    </row>
    <row r="53" customFormat="false" ht="15" hidden="false" customHeight="false" outlineLevel="0" collapsed="false">
      <c r="A53" s="9" t="n">
        <v>30</v>
      </c>
      <c r="B53" s="19" t="s">
        <v>219</v>
      </c>
      <c r="C53" s="19" t="s">
        <v>693</v>
      </c>
      <c r="D53" s="19" t="s">
        <v>694</v>
      </c>
      <c r="E53" s="19" t="s">
        <v>215</v>
      </c>
      <c r="F53" s="24" t="str">
        <f aca="false">TEXT((P3_Retail_Monthly!O8-P3_Retail_Monthly!C8)/(P3_Retail_Monthly!O7-P3_Retail_Monthly!C7),"0.0%")</f>
        <v>-4.4%</v>
      </c>
    </row>
    <row r="54" customFormat="false" ht="15" hidden="false" customHeight="false" outlineLevel="0" collapsed="false">
      <c r="A54" s="9" t="n">
        <v>31</v>
      </c>
      <c r="B54" s="19" t="s">
        <v>219</v>
      </c>
      <c r="C54" s="19" t="s">
        <v>695</v>
      </c>
      <c r="D54" s="19" t="s">
        <v>696</v>
      </c>
      <c r="E54" s="19" t="s">
        <v>215</v>
      </c>
      <c r="F54" s="24" t="str">
        <f aca="false">TEXT((P3_Retail_Monthly!O9-P3_Retail_Monthly!J9)/(P3_Retail_Monthly!O7-P3_Retail_Monthly!J7),"0.0%")</f>
        <v>5.7%</v>
      </c>
    </row>
    <row r="55" customFormat="false" ht="23.85" hidden="false" customHeight="false" outlineLevel="0" collapsed="false">
      <c r="A55" s="9" t="n">
        <v>32</v>
      </c>
      <c r="B55" s="19" t="s">
        <v>219</v>
      </c>
      <c r="C55" s="19" t="s">
        <v>697</v>
      </c>
      <c r="D55" s="19" t="s">
        <v>698</v>
      </c>
      <c r="E55" s="19" t="s">
        <v>249</v>
      </c>
      <c r="F55" s="24" t="str">
        <f aca="false">TEXT((P3_Retail_Monthly!O10-P3_Retail_Monthly!N10)/P3_Retail_Monthly!O14,"0.0%")</f>
        <v>90.5%</v>
      </c>
    </row>
    <row r="56" customFormat="false" ht="15" hidden="false" customHeight="false" outlineLevel="0" collapsed="false">
      <c r="A56" s="9" t="n">
        <v>33</v>
      </c>
      <c r="B56" s="19" t="s">
        <v>219</v>
      </c>
      <c r="C56" s="19" t="s">
        <v>699</v>
      </c>
      <c r="D56" s="19" t="s">
        <v>700</v>
      </c>
      <c r="E56" s="19" t="s">
        <v>641</v>
      </c>
      <c r="F56" s="24" t="str">
        <f aca="false">TEXT(P3_Retail_Monthly!G26,"0.0%")&amp;" / "&amp;TEXT(P3_Retail_Monthly!J26,"0.0%")&amp;" / "&amp;TEXT(P3_Retail_Monthly!M26,"0.0%")&amp;" / "&amp;TEXT(P3_Retail_Monthly!O26,"0.0%")&amp;" (Dec, Mar, Jun, Aug-26)"</f>
        <v>13.1% / -11.8% / 7.8% / 8.0% (Dec, Mar, Jun, Aug-26)</v>
      </c>
    </row>
    <row r="57" customFormat="false" ht="15" hidden="false" customHeight="false" outlineLevel="0" collapsed="false">
      <c r="A57" s="9" t="n">
        <v>34</v>
      </c>
      <c r="B57" s="19" t="s">
        <v>192</v>
      </c>
      <c r="C57" s="19" t="s">
        <v>701</v>
      </c>
      <c r="D57" s="19" t="s">
        <v>702</v>
      </c>
      <c r="E57" s="19" t="s">
        <v>215</v>
      </c>
      <c r="F57" s="24" t="str">
        <f aca="false">TEXT(P3_Retail_Monthly!O8/P3_Retail_Monthly!C8-1,"+0.0%;-0.0%;0.0%")&amp;"; CMGR "&amp;TEXT((P3_Retail_Monthly!O8/P3_Retail_Monthly!C8)^(1/12)-1,"+0.0%;-0.0%;0.0%")</f>
        <v>-3.5%; CMGR -0.3%</v>
      </c>
    </row>
    <row r="58" customFormat="false" ht="15" hidden="false" customHeight="false" outlineLevel="0" collapsed="false">
      <c r="A58" s="9" t="n">
        <v>35</v>
      </c>
      <c r="B58" s="19" t="s">
        <v>192</v>
      </c>
      <c r="C58" s="19" t="s">
        <v>703</v>
      </c>
      <c r="D58" s="19" t="s">
        <v>704</v>
      </c>
      <c r="E58" s="19" t="s">
        <v>705</v>
      </c>
      <c r="F58" s="24" t="str">
        <f aca="false">TEXT(P3_Retail_Monthly!O9/P3_Retail_Monthly!J9-1,"+0.0%;-0.0%;0.0%")</f>
        <v>+4.4%</v>
      </c>
    </row>
    <row r="59" customFormat="false" ht="15" hidden="false" customHeight="false" outlineLevel="0" collapsed="false">
      <c r="A59" s="9" t="n">
        <v>36</v>
      </c>
      <c r="B59" s="19" t="s">
        <v>192</v>
      </c>
      <c r="C59" s="19" t="s">
        <v>452</v>
      </c>
      <c r="D59" s="19" t="s">
        <v>706</v>
      </c>
      <c r="E59" s="19" t="s">
        <v>649</v>
      </c>
      <c r="F59" s="24" t="str">
        <f aca="false">"12M "&amp;TEXT(P3_Retail_Monthly!O21/P3_Retail_Monthly!C21-1,"+0.0%;-0.0%;0.0%")&amp;"; 11M "&amp;TEXT(P3_Retail_Monthly!N21/P3_Retail_Monthly!C21-1,"+0.0%;-0.0%;0.0%")</f>
        <v>12M +44.8%; 11M +23.0%</v>
      </c>
    </row>
    <row r="60" customFormat="false" ht="15" hidden="false" customHeight="false" outlineLevel="0" collapsed="false">
      <c r="A60" s="9" t="n">
        <v>37</v>
      </c>
      <c r="B60" s="19" t="s">
        <v>250</v>
      </c>
      <c r="C60" s="19" t="s">
        <v>523</v>
      </c>
      <c r="D60" s="19" t="s">
        <v>707</v>
      </c>
      <c r="E60" s="19" t="s">
        <v>183</v>
      </c>
      <c r="F60" s="24" t="str">
        <f aca="false">TEXT(P3_Retail_Monthly!D36,"#,##0;-#,##0;0")&amp;" / "&amp;TEXT(P3_Retail_Monthly!G36,"#,##0;-#,##0;0")&amp;" / "&amp;TEXT(P3_Retail_Monthly!J36,"#,##0;-#,##0;0")&amp;" / "&amp;TEXT(P3_Retail_Monthly!M36,"#,##0;-#,##0;0")</f>
        <v>0 / 0 / 0 / 0</v>
      </c>
    </row>
    <row r="61" customFormat="false" ht="15" hidden="false" customHeight="false" outlineLevel="0" collapsed="false">
      <c r="A61" s="9" t="n">
        <v>38</v>
      </c>
      <c r="B61" s="19" t="s">
        <v>250</v>
      </c>
      <c r="C61" s="19" t="s">
        <v>708</v>
      </c>
      <c r="D61" s="19" t="s">
        <v>709</v>
      </c>
      <c r="E61" s="19" t="s">
        <v>183</v>
      </c>
      <c r="F61" s="24" t="str">
        <f aca="false">TEXT(P3_Retail_Monthly!D32,"#,##0;-#,##0;0")&amp;" / "&amp;TEXT(P3_Retail_Monthly!G32,"#,##0;-#,##0;0")&amp;" / "&amp;TEXT(P3_Retail_Monthly!J32,"#,##0;-#,##0;0")&amp;" / "&amp;TEXT(P3_Retail_Monthly!M32,"#,##0;-#,##0;0")</f>
        <v>0 / 0 / 0 / 0</v>
      </c>
    </row>
    <row r="62" customFormat="false" ht="15" hidden="false" customHeight="false" outlineLevel="0" collapsed="false">
      <c r="A62" s="9" t="n">
        <v>39</v>
      </c>
      <c r="B62" s="19" t="s">
        <v>250</v>
      </c>
      <c r="C62" s="19" t="s">
        <v>710</v>
      </c>
      <c r="D62" s="19" t="s">
        <v>711</v>
      </c>
      <c r="E62" s="19" t="s">
        <v>212</v>
      </c>
      <c r="F62" s="24" t="str">
        <f aca="false">TEXT(P3_Retail_Monthly!J34,"#,##0;-#,##0;0")&amp;" / "&amp;TEXT(P3_Retail_Monthly!M34,"#,##0;-#,##0;0")</f>
        <v>1 / 0</v>
      </c>
    </row>
    <row r="63" customFormat="false" ht="15" hidden="false" customHeight="false" outlineLevel="0" collapsed="false">
      <c r="A63" s="9" t="n">
        <v>40</v>
      </c>
      <c r="B63" s="19" t="s">
        <v>259</v>
      </c>
      <c r="C63" s="19" t="s">
        <v>712</v>
      </c>
      <c r="D63" s="19" t="s">
        <v>713</v>
      </c>
      <c r="E63" s="19" t="s">
        <v>264</v>
      </c>
      <c r="F63" s="19" t="s">
        <v>714</v>
      </c>
    </row>
    <row r="64" customFormat="false" ht="15" hidden="false" customHeight="false" outlineLevel="0" collapsed="false">
      <c r="A64" s="9" t="n">
        <v>41</v>
      </c>
      <c r="B64" s="19" t="s">
        <v>259</v>
      </c>
      <c r="C64" s="19" t="s">
        <v>715</v>
      </c>
      <c r="D64" s="19" t="s">
        <v>716</v>
      </c>
      <c r="E64" s="19" t="s">
        <v>264</v>
      </c>
      <c r="F64" s="19" t="s">
        <v>717</v>
      </c>
    </row>
    <row r="65" customFormat="false" ht="15" hidden="false" customHeight="false" outlineLevel="0" collapsed="false">
      <c r="A65" s="9" t="n">
        <v>42</v>
      </c>
      <c r="B65" s="19" t="s">
        <v>259</v>
      </c>
      <c r="C65" s="19" t="s">
        <v>718</v>
      </c>
      <c r="D65" s="19" t="s">
        <v>719</v>
      </c>
      <c r="E65" s="19" t="s">
        <v>249</v>
      </c>
      <c r="F65" s="24" t="str">
        <f aca="false">TEXT(P3_Retail_Monthly!O14,"#,##0;-#,##0;0")&amp;" in one month; confirm acquisition / reclass / data error"</f>
        <v>8,881 in one month; confirm acquisition / reclass / data error</v>
      </c>
    </row>
    <row r="67" customFormat="false" ht="15" hidden="false" customHeight="false" outlineLevel="0" collapsed="false">
      <c r="A67" s="3" t="s">
        <v>2</v>
      </c>
    </row>
  </sheetData>
  <mergeCells count="14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15" min="8" style="0" width="12"/>
  </cols>
  <sheetData>
    <row r="1" customFormat="false" ht="17.35" hidden="false" customHeight="false" outlineLevel="0" collapsed="false">
      <c r="A1" s="1" t="s">
        <v>720</v>
      </c>
    </row>
    <row r="2" customFormat="false" ht="15" hidden="false" customHeight="false" outlineLevel="0" collapsed="false">
      <c r="A2" s="2" t="s">
        <v>721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722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5" hidden="false" customHeight="false" outlineLevel="0" collapsed="false">
      <c r="A6" s="8" t="s">
        <v>56</v>
      </c>
      <c r="B6" s="8" t="s">
        <v>57</v>
      </c>
      <c r="C6" s="8" t="s">
        <v>533</v>
      </c>
      <c r="D6" s="8" t="s">
        <v>58</v>
      </c>
      <c r="E6" s="8" t="s">
        <v>534</v>
      </c>
      <c r="F6" s="8" t="s">
        <v>535</v>
      </c>
      <c r="G6" s="8" t="s">
        <v>59</v>
      </c>
      <c r="H6" s="8" t="s">
        <v>536</v>
      </c>
      <c r="I6" s="8" t="s">
        <v>537</v>
      </c>
      <c r="J6" s="8" t="s">
        <v>60</v>
      </c>
      <c r="K6" s="8" t="s">
        <v>538</v>
      </c>
      <c r="L6" s="8" t="s">
        <v>539</v>
      </c>
      <c r="M6" s="8" t="s">
        <v>61</v>
      </c>
      <c r="N6" s="8" t="s">
        <v>540</v>
      </c>
      <c r="O6" s="8" t="s">
        <v>541</v>
      </c>
    </row>
    <row r="7" customFormat="false" ht="15" hidden="false" customHeight="false" outlineLevel="0" collapsed="false">
      <c r="A7" s="9" t="n">
        <v>1</v>
      </c>
      <c r="B7" s="10" t="s">
        <v>723</v>
      </c>
      <c r="C7" s="11" t="n">
        <v>24032</v>
      </c>
      <c r="D7" s="11" t="n">
        <v>27280</v>
      </c>
      <c r="E7" s="11" t="n">
        <v>25245</v>
      </c>
      <c r="F7" s="11" t="n">
        <v>27758</v>
      </c>
      <c r="G7" s="11" t="n">
        <v>28460</v>
      </c>
      <c r="H7" s="11" t="n">
        <v>29131</v>
      </c>
      <c r="I7" s="11" t="n">
        <v>31024</v>
      </c>
      <c r="J7" s="11" t="n">
        <v>31845</v>
      </c>
      <c r="K7" s="11" t="n">
        <v>30223</v>
      </c>
      <c r="L7" s="11" t="n">
        <v>30692</v>
      </c>
      <c r="M7" s="11" t="n">
        <v>34170</v>
      </c>
      <c r="N7" s="11" t="n">
        <v>35177</v>
      </c>
      <c r="O7" s="11" t="n">
        <v>36183</v>
      </c>
    </row>
    <row r="8" customFormat="false" ht="15" hidden="false" customHeight="false" outlineLevel="0" collapsed="false">
      <c r="A8" s="9" t="n">
        <v>2</v>
      </c>
      <c r="B8" s="10" t="s">
        <v>724</v>
      </c>
      <c r="C8" s="11" t="n">
        <v>12434</v>
      </c>
      <c r="D8" s="11" t="n">
        <v>13115</v>
      </c>
      <c r="E8" s="11" t="n">
        <v>12661</v>
      </c>
      <c r="F8" s="11" t="n">
        <v>12750</v>
      </c>
      <c r="G8" s="11" t="n">
        <v>14016</v>
      </c>
      <c r="H8" s="11" t="n">
        <v>13786</v>
      </c>
      <c r="I8" s="11" t="n">
        <v>14097</v>
      </c>
      <c r="J8" s="11" t="n">
        <v>15267</v>
      </c>
      <c r="K8" s="11" t="n">
        <v>15394</v>
      </c>
      <c r="L8" s="11" t="n">
        <v>15490</v>
      </c>
      <c r="M8" s="11" t="n">
        <v>16874</v>
      </c>
      <c r="N8" s="11" t="n">
        <v>16773</v>
      </c>
      <c r="O8" s="11" t="n">
        <v>17739</v>
      </c>
    </row>
    <row r="9" customFormat="false" ht="15" hidden="false" customHeight="false" outlineLevel="0" collapsed="false">
      <c r="A9" s="9" t="n">
        <v>3</v>
      </c>
      <c r="B9" s="10" t="s">
        <v>725</v>
      </c>
      <c r="C9" s="11" t="n">
        <v>36466</v>
      </c>
      <c r="D9" s="11" t="n">
        <v>40396</v>
      </c>
      <c r="E9" s="11" t="n">
        <v>37907</v>
      </c>
      <c r="F9" s="11" t="n">
        <v>40508</v>
      </c>
      <c r="G9" s="11" t="n">
        <v>42475</v>
      </c>
      <c r="H9" s="11" t="n">
        <v>42918</v>
      </c>
      <c r="I9" s="11" t="n">
        <v>45121</v>
      </c>
      <c r="J9" s="11" t="n">
        <v>47112</v>
      </c>
      <c r="K9" s="11" t="n">
        <v>45617</v>
      </c>
      <c r="L9" s="11" t="n">
        <v>46181</v>
      </c>
      <c r="M9" s="11" t="n">
        <v>51044</v>
      </c>
      <c r="N9" s="11" t="n">
        <v>51950</v>
      </c>
      <c r="O9" s="11" t="n">
        <v>53922</v>
      </c>
    </row>
    <row r="10" customFormat="false" ht="15" hidden="false" customHeight="false" outlineLevel="0" collapsed="false">
      <c r="A10" s="9" t="n">
        <v>4</v>
      </c>
      <c r="B10" s="10" t="s">
        <v>726</v>
      </c>
      <c r="C10" s="12" t="n">
        <f aca="false">C7+C8</f>
        <v>36466</v>
      </c>
      <c r="D10" s="12" t="n">
        <f aca="false">D7+D8</f>
        <v>40395</v>
      </c>
      <c r="E10" s="12" t="n">
        <f aca="false">E7+E8</f>
        <v>37906</v>
      </c>
      <c r="F10" s="12" t="n">
        <f aca="false">F7+F8</f>
        <v>40508</v>
      </c>
      <c r="G10" s="12" t="n">
        <f aca="false">G7+G8</f>
        <v>42476</v>
      </c>
      <c r="H10" s="12" t="n">
        <f aca="false">H7+H8</f>
        <v>42917</v>
      </c>
      <c r="I10" s="12" t="n">
        <f aca="false">I7+I8</f>
        <v>45121</v>
      </c>
      <c r="J10" s="12" t="n">
        <f aca="false">J7+J8</f>
        <v>47112</v>
      </c>
      <c r="K10" s="12" t="n">
        <f aca="false">K7+K8</f>
        <v>45617</v>
      </c>
      <c r="L10" s="12" t="n">
        <f aca="false">L7+L8</f>
        <v>46182</v>
      </c>
      <c r="M10" s="12" t="n">
        <f aca="false">M7+M8</f>
        <v>51044</v>
      </c>
      <c r="N10" s="12" t="n">
        <f aca="false">N7+N8</f>
        <v>51950</v>
      </c>
      <c r="O10" s="12" t="n">
        <f aca="false">O7+O8</f>
        <v>53922</v>
      </c>
    </row>
    <row r="11" customFormat="false" ht="15" hidden="false" customHeight="false" outlineLevel="0" collapsed="false">
      <c r="A11" s="9" t="n">
        <v>5</v>
      </c>
      <c r="B11" s="9" t="s">
        <v>72</v>
      </c>
      <c r="C11" s="12" t="n">
        <f aca="false">C9-C10</f>
        <v>0</v>
      </c>
      <c r="D11" s="12" t="n">
        <f aca="false">D9-D10</f>
        <v>1</v>
      </c>
      <c r="E11" s="12" t="n">
        <f aca="false">E9-E10</f>
        <v>1</v>
      </c>
      <c r="F11" s="12" t="n">
        <f aca="false">F9-F10</f>
        <v>0</v>
      </c>
      <c r="G11" s="12" t="n">
        <f aca="false">G9-G10</f>
        <v>-1</v>
      </c>
      <c r="H11" s="12" t="n">
        <f aca="false">H9-H10</f>
        <v>1</v>
      </c>
      <c r="I11" s="12" t="n">
        <f aca="false">I9-I10</f>
        <v>0</v>
      </c>
      <c r="J11" s="12" t="n">
        <f aca="false">J9-J10</f>
        <v>0</v>
      </c>
      <c r="K11" s="12" t="n">
        <f aca="false">K9-K10</f>
        <v>0</v>
      </c>
      <c r="L11" s="12" t="n">
        <f aca="false">L9-L10</f>
        <v>-1</v>
      </c>
      <c r="M11" s="12" t="n">
        <f aca="false">M9-M10</f>
        <v>0</v>
      </c>
      <c r="N11" s="12" t="n">
        <f aca="false">N9-N10</f>
        <v>0</v>
      </c>
      <c r="O11" s="12" t="n">
        <f aca="false">O9-O10</f>
        <v>0</v>
      </c>
    </row>
    <row r="13" customFormat="false" ht="15" hidden="false" customHeight="false" outlineLevel="0" collapsed="false">
      <c r="A13" s="4" t="s">
        <v>69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customFormat="false" ht="15" hidden="false" customHeight="false" outlineLevel="0" collapsed="false">
      <c r="A14" s="8" t="s">
        <v>56</v>
      </c>
      <c r="B14" s="8" t="s">
        <v>70</v>
      </c>
      <c r="C14" s="8" t="s">
        <v>533</v>
      </c>
      <c r="D14" s="8" t="s">
        <v>58</v>
      </c>
      <c r="E14" s="8" t="s">
        <v>534</v>
      </c>
      <c r="F14" s="8" t="s">
        <v>535</v>
      </c>
      <c r="G14" s="8" t="s">
        <v>59</v>
      </c>
      <c r="H14" s="8" t="s">
        <v>536</v>
      </c>
      <c r="I14" s="8" t="s">
        <v>537</v>
      </c>
      <c r="J14" s="8" t="s">
        <v>60</v>
      </c>
      <c r="K14" s="8" t="s">
        <v>538</v>
      </c>
      <c r="L14" s="8" t="s">
        <v>539</v>
      </c>
      <c r="M14" s="8" t="s">
        <v>61</v>
      </c>
      <c r="N14" s="8" t="s">
        <v>540</v>
      </c>
      <c r="O14" s="8" t="s">
        <v>541</v>
      </c>
    </row>
    <row r="15" customFormat="false" ht="15" hidden="false" customHeight="false" outlineLevel="0" collapsed="false">
      <c r="A15" s="9" t="n">
        <v>1</v>
      </c>
      <c r="B15" s="9" t="s">
        <v>546</v>
      </c>
      <c r="C15" s="9" t="s">
        <v>77</v>
      </c>
      <c r="D15" s="12" t="n">
        <f aca="false">D9-C9</f>
        <v>3930</v>
      </c>
      <c r="E15" s="12" t="n">
        <f aca="false">E9-D9</f>
        <v>-2489</v>
      </c>
      <c r="F15" s="12" t="n">
        <f aca="false">F9-E9</f>
        <v>2601</v>
      </c>
      <c r="G15" s="12" t="n">
        <f aca="false">G9-F9</f>
        <v>1967</v>
      </c>
      <c r="H15" s="12" t="n">
        <f aca="false">H9-G9</f>
        <v>443</v>
      </c>
      <c r="I15" s="12" t="n">
        <f aca="false">I9-H9</f>
        <v>2203</v>
      </c>
      <c r="J15" s="12" t="n">
        <f aca="false">J9-I9</f>
        <v>1991</v>
      </c>
      <c r="K15" s="12" t="n">
        <f aca="false">K9-J9</f>
        <v>-1495</v>
      </c>
      <c r="L15" s="12" t="n">
        <f aca="false">L9-K9</f>
        <v>564</v>
      </c>
      <c r="M15" s="12" t="n">
        <f aca="false">M9-L9</f>
        <v>4863</v>
      </c>
      <c r="N15" s="12" t="n">
        <f aca="false">N9-M9</f>
        <v>906</v>
      </c>
      <c r="O15" s="12" t="n">
        <f aca="false">O9-N9</f>
        <v>1972</v>
      </c>
    </row>
    <row r="16" customFormat="false" ht="15" hidden="false" customHeight="false" outlineLevel="0" collapsed="false">
      <c r="A16" s="9" t="n">
        <v>2</v>
      </c>
      <c r="B16" s="9" t="s">
        <v>547</v>
      </c>
      <c r="C16" s="9" t="s">
        <v>77</v>
      </c>
      <c r="D16" s="13" t="n">
        <f aca="false">D9/C9-1</f>
        <v>0.107771622881588</v>
      </c>
      <c r="E16" s="13" t="n">
        <f aca="false">E9/D9-1</f>
        <v>-0.0616150113872661</v>
      </c>
      <c r="F16" s="13" t="n">
        <f aca="false">F9/E9-1</f>
        <v>0.0686152953280397</v>
      </c>
      <c r="G16" s="13" t="n">
        <f aca="false">G9/F9-1</f>
        <v>0.0485583094697344</v>
      </c>
      <c r="H16" s="13" t="n">
        <f aca="false">H9/G9-1</f>
        <v>0.0104296645085344</v>
      </c>
      <c r="I16" s="13" t="n">
        <f aca="false">I9/H9-1</f>
        <v>0.0513304441027076</v>
      </c>
      <c r="J16" s="13" t="n">
        <f aca="false">J9/I9-1</f>
        <v>0.0441257950843288</v>
      </c>
      <c r="K16" s="13" t="n">
        <f aca="false">K9/J9-1</f>
        <v>-0.0317328918322296</v>
      </c>
      <c r="L16" s="13" t="n">
        <f aca="false">L9/K9-1</f>
        <v>0.0123638117368525</v>
      </c>
      <c r="M16" s="13" t="n">
        <f aca="false">M9/L9-1</f>
        <v>0.10530304670752</v>
      </c>
      <c r="N16" s="13" t="n">
        <f aca="false">N9/M9-1</f>
        <v>0.0177493926808243</v>
      </c>
      <c r="O16" s="13" t="n">
        <f aca="false">O9/N9-1</f>
        <v>0.0379595765158807</v>
      </c>
    </row>
    <row r="17" customFormat="false" ht="15" hidden="false" customHeight="false" outlineLevel="0" collapsed="false">
      <c r="A17" s="9" t="n">
        <v>3</v>
      </c>
      <c r="B17" s="9" t="s">
        <v>727</v>
      </c>
      <c r="C17" s="13" t="n">
        <f aca="false">C7/C9</f>
        <v>0.659024845061153</v>
      </c>
      <c r="D17" s="13" t="n">
        <f aca="false">D7/D9</f>
        <v>0.675314387563125</v>
      </c>
      <c r="E17" s="13" t="n">
        <f aca="false">E7/E9</f>
        <v>0.665971984066268</v>
      </c>
      <c r="F17" s="13" t="n">
        <f aca="false">F7/F9</f>
        <v>0.68524735854646</v>
      </c>
      <c r="G17" s="13" t="n">
        <f aca="false">G7/G9</f>
        <v>0.670041200706298</v>
      </c>
      <c r="H17" s="13" t="n">
        <f aca="false">H7/H9</f>
        <v>0.678759494850646</v>
      </c>
      <c r="I17" s="13" t="n">
        <f aca="false">I7/I9</f>
        <v>0.687573413709803</v>
      </c>
      <c r="J17" s="13" t="n">
        <f aca="false">J7/J9</f>
        <v>0.675942435048395</v>
      </c>
      <c r="K17" s="13" t="n">
        <f aca="false">K7/K9</f>
        <v>0.662538088870377</v>
      </c>
      <c r="L17" s="13" t="n">
        <f aca="false">L7/L9</f>
        <v>0.664602325631753</v>
      </c>
      <c r="M17" s="13" t="n">
        <f aca="false">M7/M9</f>
        <v>0.669422459054933</v>
      </c>
      <c r="N17" s="13" t="n">
        <f aca="false">N7/N9</f>
        <v>0.677131857555342</v>
      </c>
      <c r="O17" s="13" t="n">
        <f aca="false">O7/O9</f>
        <v>0.671024813619673</v>
      </c>
    </row>
    <row r="18" customFormat="false" ht="15" hidden="false" customHeight="false" outlineLevel="0" collapsed="false">
      <c r="A18" s="9" t="n">
        <v>4</v>
      </c>
      <c r="B18" s="9" t="s">
        <v>728</v>
      </c>
      <c r="C18" s="13" t="n">
        <f aca="false">C8/C9</f>
        <v>0.340975154938847</v>
      </c>
      <c r="D18" s="13" t="n">
        <f aca="false">D8/D9</f>
        <v>0.324660857510645</v>
      </c>
      <c r="E18" s="13" t="n">
        <f aca="false">E8/E9</f>
        <v>0.334001635581819</v>
      </c>
      <c r="F18" s="13" t="n">
        <f aca="false">F8/F9</f>
        <v>0.31475264145354</v>
      </c>
      <c r="G18" s="13" t="n">
        <f aca="false">G8/G9</f>
        <v>0.329982342554444</v>
      </c>
      <c r="H18" s="13" t="n">
        <f aca="false">H8/H9</f>
        <v>0.321217204902372</v>
      </c>
      <c r="I18" s="13" t="n">
        <f aca="false">I8/I9</f>
        <v>0.312426586290198</v>
      </c>
      <c r="J18" s="13" t="n">
        <f aca="false">J8/J9</f>
        <v>0.324057564951605</v>
      </c>
      <c r="K18" s="13" t="n">
        <f aca="false">K8/K9</f>
        <v>0.337461911129623</v>
      </c>
      <c r="L18" s="13" t="n">
        <f aca="false">L8/L9</f>
        <v>0.335419328295186</v>
      </c>
      <c r="M18" s="13" t="n">
        <f aca="false">M8/M9</f>
        <v>0.330577540945067</v>
      </c>
      <c r="N18" s="13" t="n">
        <f aca="false">N8/N9</f>
        <v>0.322868142444658</v>
      </c>
      <c r="O18" s="13" t="n">
        <f aca="false">O8/O9</f>
        <v>0.328975186380327</v>
      </c>
    </row>
    <row r="19" customFormat="false" ht="15" hidden="false" customHeight="false" outlineLevel="0" collapsed="false">
      <c r="A19" s="9" t="n">
        <v>5</v>
      </c>
      <c r="B19" s="9" t="s">
        <v>729</v>
      </c>
      <c r="C19" s="9" t="s">
        <v>77</v>
      </c>
      <c r="D19" s="13" t="n">
        <f aca="false">D7/C7-1</f>
        <v>0.135153129161119</v>
      </c>
      <c r="E19" s="13" t="n">
        <f aca="false">E7/D7-1</f>
        <v>-0.0745967741935484</v>
      </c>
      <c r="F19" s="13" t="n">
        <f aca="false">F7/E7-1</f>
        <v>0.0995444642503467</v>
      </c>
      <c r="G19" s="13" t="n">
        <f aca="false">G7/F7-1</f>
        <v>0.0252900064846171</v>
      </c>
      <c r="H19" s="13" t="n">
        <f aca="false">H7/G7-1</f>
        <v>0.0235769501054111</v>
      </c>
      <c r="I19" s="13" t="n">
        <f aca="false">I7/H7-1</f>
        <v>0.0649823212385432</v>
      </c>
      <c r="J19" s="13" t="n">
        <f aca="false">J7/I7-1</f>
        <v>0.0264633831872099</v>
      </c>
      <c r="K19" s="13" t="n">
        <f aca="false">K7/J7-1</f>
        <v>-0.0509342125922437</v>
      </c>
      <c r="L19" s="13" t="n">
        <f aca="false">L7/K7-1</f>
        <v>0.0155179829930847</v>
      </c>
      <c r="M19" s="13" t="n">
        <f aca="false">M7/L7-1</f>
        <v>0.113319431773752</v>
      </c>
      <c r="N19" s="13" t="n">
        <f aca="false">N7/M7-1</f>
        <v>0.029470295580919</v>
      </c>
      <c r="O19" s="13" t="n">
        <f aca="false">O7/N7-1</f>
        <v>0.0285982317991871</v>
      </c>
    </row>
    <row r="20" customFormat="false" ht="15" hidden="false" customHeight="false" outlineLevel="0" collapsed="false">
      <c r="A20" s="9" t="n">
        <v>6</v>
      </c>
      <c r="B20" s="9" t="s">
        <v>730</v>
      </c>
      <c r="C20" s="9" t="s">
        <v>77</v>
      </c>
      <c r="D20" s="13" t="n">
        <f aca="false">D8/C8-1</f>
        <v>0.0547691812771434</v>
      </c>
      <c r="E20" s="13" t="n">
        <f aca="false">E8/D8-1</f>
        <v>-0.034616850934045</v>
      </c>
      <c r="F20" s="13" t="n">
        <f aca="false">F8/E8-1</f>
        <v>0.00702946054814002</v>
      </c>
      <c r="G20" s="13" t="n">
        <f aca="false">G8/F8-1</f>
        <v>0.0992941176470588</v>
      </c>
      <c r="H20" s="13" t="n">
        <f aca="false">H8/G8-1</f>
        <v>-0.0164098173515982</v>
      </c>
      <c r="I20" s="13" t="n">
        <f aca="false">I8/H8-1</f>
        <v>0.0225591179457421</v>
      </c>
      <c r="J20" s="13" t="n">
        <f aca="false">J8/I8-1</f>
        <v>0.0829963822089805</v>
      </c>
      <c r="K20" s="13" t="n">
        <f aca="false">K8/J8-1</f>
        <v>0.00831859566385007</v>
      </c>
      <c r="L20" s="13" t="n">
        <f aca="false">L8/K8-1</f>
        <v>0.00623619592048841</v>
      </c>
      <c r="M20" s="13" t="n">
        <f aca="false">M8/L8-1</f>
        <v>0.0893479664299548</v>
      </c>
      <c r="N20" s="13" t="n">
        <f aca="false">N8/M8-1</f>
        <v>-0.00598553988384498</v>
      </c>
      <c r="O20" s="13" t="n">
        <f aca="false">O8/N8-1</f>
        <v>0.0575925594705777</v>
      </c>
    </row>
    <row r="21" customFormat="false" ht="15" hidden="false" customHeight="false" outlineLevel="0" collapsed="false">
      <c r="A21" s="9" t="n">
        <v>7</v>
      </c>
      <c r="B21" s="9" t="s">
        <v>731</v>
      </c>
      <c r="C21" s="9" t="s">
        <v>77</v>
      </c>
      <c r="D21" s="12" t="n">
        <f aca="false">D7-C7</f>
        <v>3248</v>
      </c>
      <c r="E21" s="12" t="n">
        <f aca="false">E7-D7</f>
        <v>-2035</v>
      </c>
      <c r="F21" s="12" t="n">
        <f aca="false">F7-E7</f>
        <v>2513</v>
      </c>
      <c r="G21" s="12" t="n">
        <f aca="false">G7-F7</f>
        <v>702</v>
      </c>
      <c r="H21" s="12" t="n">
        <f aca="false">H7-G7</f>
        <v>671</v>
      </c>
      <c r="I21" s="12" t="n">
        <f aca="false">I7-H7</f>
        <v>1893</v>
      </c>
      <c r="J21" s="12" t="n">
        <f aca="false">J7-I7</f>
        <v>821</v>
      </c>
      <c r="K21" s="12" t="n">
        <f aca="false">K7-J7</f>
        <v>-1622</v>
      </c>
      <c r="L21" s="12" t="n">
        <f aca="false">L7-K7</f>
        <v>469</v>
      </c>
      <c r="M21" s="12" t="n">
        <f aca="false">M7-L7</f>
        <v>3478</v>
      </c>
      <c r="N21" s="12" t="n">
        <f aca="false">N7-M7</f>
        <v>1007</v>
      </c>
      <c r="O21" s="12" t="n">
        <f aca="false">O7-N7</f>
        <v>1006</v>
      </c>
    </row>
    <row r="22" customFormat="false" ht="15" hidden="false" customHeight="false" outlineLevel="0" collapsed="false">
      <c r="A22" s="9" t="n">
        <v>8</v>
      </c>
      <c r="B22" s="9" t="s">
        <v>732</v>
      </c>
      <c r="C22" s="9" t="s">
        <v>77</v>
      </c>
      <c r="D22" s="12" t="n">
        <f aca="false">D8-C8</f>
        <v>681</v>
      </c>
      <c r="E22" s="12" t="n">
        <f aca="false">E8-D8</f>
        <v>-454</v>
      </c>
      <c r="F22" s="12" t="n">
        <f aca="false">F8-E8</f>
        <v>89</v>
      </c>
      <c r="G22" s="12" t="n">
        <f aca="false">G8-F8</f>
        <v>1266</v>
      </c>
      <c r="H22" s="12" t="n">
        <f aca="false">H8-G8</f>
        <v>-230</v>
      </c>
      <c r="I22" s="12" t="n">
        <f aca="false">I8-H8</f>
        <v>311</v>
      </c>
      <c r="J22" s="12" t="n">
        <f aca="false">J8-I8</f>
        <v>1170</v>
      </c>
      <c r="K22" s="12" t="n">
        <f aca="false">K8-J8</f>
        <v>127</v>
      </c>
      <c r="L22" s="12" t="n">
        <f aca="false">L8-K8</f>
        <v>96</v>
      </c>
      <c r="M22" s="12" t="n">
        <f aca="false">M8-L8</f>
        <v>1384</v>
      </c>
      <c r="N22" s="12" t="n">
        <f aca="false">N8-M8</f>
        <v>-101</v>
      </c>
      <c r="O22" s="12" t="n">
        <f aca="false">O8-N8</f>
        <v>966</v>
      </c>
    </row>
    <row r="23" customFormat="false" ht="15" hidden="false" customHeight="false" outlineLevel="0" collapsed="false">
      <c r="A23" s="9" t="n">
        <v>9</v>
      </c>
      <c r="B23" s="9" t="s">
        <v>733</v>
      </c>
      <c r="C23" s="9" t="s">
        <v>77</v>
      </c>
      <c r="D23" s="13" t="n">
        <f aca="false">IFERROR(D21/D15,"n/a")</f>
        <v>0.8264631043257</v>
      </c>
      <c r="E23" s="13" t="n">
        <f aca="false">IFERROR(E21/E15,"n/a")</f>
        <v>0.817597428686219</v>
      </c>
      <c r="F23" s="13" t="n">
        <f aca="false">IFERROR(F21/F15,"n/a")</f>
        <v>0.966166858900423</v>
      </c>
      <c r="G23" s="13" t="n">
        <f aca="false">IFERROR(G21/G15,"n/a")</f>
        <v>0.356888662938485</v>
      </c>
      <c r="H23" s="13" t="n">
        <f aca="false">IFERROR(H21/H15,"n/a")</f>
        <v>1.51467268623025</v>
      </c>
      <c r="I23" s="13" t="n">
        <f aca="false">IFERROR(I21/I15,"n/a")</f>
        <v>0.859282796187018</v>
      </c>
      <c r="J23" s="13" t="n">
        <f aca="false">IFERROR(J21/J15,"n/a")</f>
        <v>0.412355600200904</v>
      </c>
      <c r="K23" s="13" t="n">
        <f aca="false">IFERROR(K21/K15,"n/a")</f>
        <v>1.08494983277592</v>
      </c>
      <c r="L23" s="13" t="n">
        <f aca="false">IFERROR(L21/L15,"n/a")</f>
        <v>0.831560283687943</v>
      </c>
      <c r="M23" s="13" t="n">
        <f aca="false">IFERROR(M21/M15,"n/a")</f>
        <v>0.715196380834876</v>
      </c>
      <c r="N23" s="13" t="n">
        <f aca="false">IFERROR(N21/N15,"n/a")</f>
        <v>1.11147902869757</v>
      </c>
      <c r="O23" s="13" t="n">
        <f aca="false">IFERROR(O21/O15,"n/a")</f>
        <v>0.510141987829615</v>
      </c>
    </row>
    <row r="24" customFormat="false" ht="15" hidden="false" customHeight="false" outlineLevel="0" collapsed="false">
      <c r="A24" s="9" t="n">
        <v>10</v>
      </c>
      <c r="B24" s="9" t="s">
        <v>555</v>
      </c>
      <c r="C24" s="16" t="n">
        <f aca="false">100*C9/$C$9</f>
        <v>100</v>
      </c>
      <c r="D24" s="16" t="n">
        <f aca="false">100*D9/$C$9</f>
        <v>110.777162288159</v>
      </c>
      <c r="E24" s="16" t="n">
        <f aca="false">100*E9/$C$9</f>
        <v>103.951626172325</v>
      </c>
      <c r="F24" s="16" t="n">
        <f aca="false">100*F9/$C$9</f>
        <v>111.084297701969</v>
      </c>
      <c r="G24" s="16" t="n">
        <f aca="false">100*G9/$C$9</f>
        <v>116.478363407009</v>
      </c>
      <c r="H24" s="16" t="n">
        <f aca="false">100*H9/$C$9</f>
        <v>117.693193659848</v>
      </c>
      <c r="I24" s="16" t="n">
        <f aca="false">100*I9/$C$9</f>
        <v>123.734437558273</v>
      </c>
      <c r="J24" s="16" t="n">
        <f aca="false">100*J9/$C$9</f>
        <v>129.194317994845</v>
      </c>
      <c r="K24" s="16" t="n">
        <f aca="false">100*K9/$C$9</f>
        <v>125.094608676575</v>
      </c>
      <c r="L24" s="16" t="n">
        <f aca="false">100*L9/$C$9</f>
        <v>126.641254867548</v>
      </c>
      <c r="M24" s="16" t="n">
        <f aca="false">100*M9/$C$9</f>
        <v>139.976964843964</v>
      </c>
      <c r="N24" s="16" t="n">
        <f aca="false">100*N9/$C$9</f>
        <v>142.46147095925</v>
      </c>
      <c r="O24" s="16" t="n">
        <f aca="false">100*O9/$C$9</f>
        <v>147.869248066692</v>
      </c>
    </row>
    <row r="25" customFormat="false" ht="15" hidden="false" customHeight="false" outlineLevel="0" collapsed="false">
      <c r="A25" s="9" t="n">
        <v>11</v>
      </c>
      <c r="B25" s="9" t="s">
        <v>557</v>
      </c>
      <c r="C25" s="13" t="n">
        <f aca="false">C9/$C$9-1</f>
        <v>0</v>
      </c>
      <c r="D25" s="13" t="n">
        <f aca="false">D9/$C$9-1</f>
        <v>0.107771622881588</v>
      </c>
      <c r="E25" s="13" t="n">
        <f aca="false">E9/$C$9-1</f>
        <v>0.039516261723249</v>
      </c>
      <c r="F25" s="13" t="n">
        <f aca="false">F9/$C$9-1</f>
        <v>0.110842977019689</v>
      </c>
      <c r="G25" s="13" t="n">
        <f aca="false">G9/$C$9-1</f>
        <v>0.164783634070093</v>
      </c>
      <c r="H25" s="13" t="n">
        <f aca="false">H9/$C$9-1</f>
        <v>0.176931936598475</v>
      </c>
      <c r="I25" s="13" t="n">
        <f aca="false">I9/$C$9-1</f>
        <v>0.237344375582735</v>
      </c>
      <c r="J25" s="13" t="n">
        <f aca="false">J9/$C$9-1</f>
        <v>0.291943179948445</v>
      </c>
      <c r="K25" s="13" t="n">
        <f aca="false">K9/$C$9-1</f>
        <v>0.250946086765755</v>
      </c>
      <c r="L25" s="13" t="n">
        <f aca="false">L9/$C$9-1</f>
        <v>0.266412548675479</v>
      </c>
      <c r="M25" s="13" t="n">
        <f aca="false">M9/$C$9-1</f>
        <v>0.399769648439642</v>
      </c>
      <c r="N25" s="13" t="n">
        <f aca="false">N9/$C$9-1</f>
        <v>0.424614709592497</v>
      </c>
      <c r="O25" s="13" t="n">
        <f aca="false">O9/$C$9-1</f>
        <v>0.478692480666923</v>
      </c>
    </row>
    <row r="26" customFormat="false" ht="15" hidden="false" customHeight="false" outlineLevel="0" collapsed="false">
      <c r="A26" s="9" t="n">
        <v>12</v>
      </c>
      <c r="B26" s="9" t="s">
        <v>734</v>
      </c>
      <c r="C26" s="14" t="n">
        <f aca="false">C7/C8</f>
        <v>1.93276499919575</v>
      </c>
      <c r="D26" s="14" t="n">
        <f aca="false">D7/D8</f>
        <v>2.08006099885627</v>
      </c>
      <c r="E26" s="14" t="n">
        <f aca="false">E7/E8</f>
        <v>1.99391833188532</v>
      </c>
      <c r="F26" s="14" t="n">
        <f aca="false">F7/F8</f>
        <v>2.17709803921569</v>
      </c>
      <c r="G26" s="14" t="n">
        <f aca="false">G7/G8</f>
        <v>2.03053652968037</v>
      </c>
      <c r="H26" s="14" t="n">
        <f aca="false">H7/H8</f>
        <v>2.11308573915567</v>
      </c>
      <c r="I26" s="14" t="n">
        <f aca="false">I7/I8</f>
        <v>2.2007519330354</v>
      </c>
      <c r="J26" s="14" t="n">
        <f aca="false">J7/J8</f>
        <v>2.08587148752211</v>
      </c>
      <c r="K26" s="14" t="n">
        <f aca="false">K7/K8</f>
        <v>1.96329738859296</v>
      </c>
      <c r="L26" s="14" t="n">
        <f aca="false">L7/L8</f>
        <v>1.98140735958683</v>
      </c>
      <c r="M26" s="14" t="n">
        <f aca="false">M7/M8</f>
        <v>2.02500888941567</v>
      </c>
      <c r="N26" s="14" t="n">
        <f aca="false">N7/N8</f>
        <v>2.09723961128003</v>
      </c>
      <c r="O26" s="14" t="n">
        <f aca="false">O7/O8</f>
        <v>2.03974293928632</v>
      </c>
    </row>
    <row r="27" customFormat="false" ht="15" hidden="false" customHeight="false" outlineLevel="0" collapsed="false">
      <c r="A27" s="9" t="n">
        <v>13</v>
      </c>
      <c r="B27" s="9" t="s">
        <v>559</v>
      </c>
      <c r="C27" s="26" t="s">
        <v>77</v>
      </c>
      <c r="D27" s="26" t="s">
        <v>77</v>
      </c>
      <c r="E27" s="12" t="n">
        <f aca="false">AVERAGE(C9:E9)</f>
        <v>38256.3333333333</v>
      </c>
      <c r="F27" s="12" t="n">
        <f aca="false">AVERAGE(D9:F9)</f>
        <v>39603.6666666667</v>
      </c>
      <c r="G27" s="12" t="n">
        <f aca="false">AVERAGE(E9:G9)</f>
        <v>40296.6666666667</v>
      </c>
      <c r="H27" s="12" t="n">
        <f aca="false">AVERAGE(F9:H9)</f>
        <v>41967</v>
      </c>
      <c r="I27" s="12" t="n">
        <f aca="false">AVERAGE(G9:I9)</f>
        <v>43504.6666666667</v>
      </c>
      <c r="J27" s="12" t="n">
        <f aca="false">AVERAGE(H9:J9)</f>
        <v>45050.3333333333</v>
      </c>
      <c r="K27" s="12" t="n">
        <f aca="false">AVERAGE(I9:K9)</f>
        <v>45950</v>
      </c>
      <c r="L27" s="12" t="n">
        <f aca="false">AVERAGE(J9:L9)</f>
        <v>46303.3333333333</v>
      </c>
      <c r="M27" s="12" t="n">
        <f aca="false">AVERAGE(K9:M9)</f>
        <v>47614</v>
      </c>
      <c r="N27" s="12" t="n">
        <f aca="false">AVERAGE(L9:N9)</f>
        <v>49725</v>
      </c>
      <c r="O27" s="12" t="n">
        <f aca="false">AVERAGE(M9:O9)</f>
        <v>52305.3333333333</v>
      </c>
    </row>
    <row r="28" customFormat="false" ht="15" hidden="false" customHeight="false" outlineLevel="0" collapsed="false">
      <c r="A28" s="9" t="n">
        <v>14</v>
      </c>
      <c r="B28" s="9" t="s">
        <v>735</v>
      </c>
      <c r="C28" s="27"/>
      <c r="D28" s="27"/>
      <c r="E28" s="27"/>
      <c r="F28" s="27"/>
      <c r="G28" s="14" t="n">
        <f aca="false">G9/AVERAGE(E9:G9)</f>
        <v>1.05405740756059</v>
      </c>
      <c r="H28" s="27"/>
      <c r="I28" s="27"/>
      <c r="J28" s="14" t="n">
        <f aca="false">J9/AVERAGE(H9:J9)</f>
        <v>1.04576362735015</v>
      </c>
      <c r="K28" s="27"/>
      <c r="L28" s="27"/>
      <c r="M28" s="14" t="n">
        <f aca="false">M9/AVERAGE(K9:M9)</f>
        <v>1.07203763598941</v>
      </c>
      <c r="N28" s="27"/>
      <c r="O28" s="27"/>
    </row>
    <row r="30" customFormat="false" ht="15" hidden="false" customHeight="false" outlineLevel="0" collapsed="false">
      <c r="A30" s="4" t="s">
        <v>560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customFormat="false" ht="15" hidden="false" customHeight="false" outlineLevel="0" collapsed="false">
      <c r="A31" s="8" t="s">
        <v>56</v>
      </c>
      <c r="B31" s="8" t="s">
        <v>561</v>
      </c>
      <c r="C31" s="8" t="s">
        <v>533</v>
      </c>
      <c r="D31" s="8" t="s">
        <v>58</v>
      </c>
      <c r="E31" s="8" t="s">
        <v>534</v>
      </c>
      <c r="F31" s="8" t="s">
        <v>535</v>
      </c>
      <c r="G31" s="8" t="s">
        <v>59</v>
      </c>
      <c r="H31" s="8" t="s">
        <v>536</v>
      </c>
      <c r="I31" s="8" t="s">
        <v>537</v>
      </c>
      <c r="J31" s="8" t="s">
        <v>60</v>
      </c>
      <c r="K31" s="8" t="s">
        <v>538</v>
      </c>
      <c r="L31" s="8" t="s">
        <v>539</v>
      </c>
      <c r="M31" s="8" t="s">
        <v>61</v>
      </c>
      <c r="N31" s="8" t="s">
        <v>540</v>
      </c>
      <c r="O31" s="8" t="s">
        <v>541</v>
      </c>
    </row>
    <row r="32" customFormat="false" ht="15" hidden="false" customHeight="false" outlineLevel="0" collapsed="false">
      <c r="A32" s="9" t="n">
        <v>1</v>
      </c>
      <c r="B32" s="9" t="s">
        <v>736</v>
      </c>
      <c r="C32" s="27"/>
      <c r="D32" s="18" t="n">
        <f aca="false">P2_Detailed_Table!E47</f>
        <v>13115</v>
      </c>
      <c r="E32" s="27"/>
      <c r="F32" s="27"/>
      <c r="G32" s="18" t="n">
        <f aca="false">P2_Detailed_Table!F47</f>
        <v>14015</v>
      </c>
      <c r="H32" s="27"/>
      <c r="I32" s="27"/>
      <c r="J32" s="18" t="n">
        <f aca="false">P2_Detailed_Table!G47</f>
        <v>15268</v>
      </c>
      <c r="K32" s="27"/>
      <c r="L32" s="27"/>
      <c r="M32" s="18" t="n">
        <f aca="false">P2_Detailed_Table!H47</f>
        <v>16874</v>
      </c>
      <c r="N32" s="27"/>
      <c r="O32" s="27"/>
    </row>
    <row r="33" customFormat="false" ht="15" hidden="false" customHeight="false" outlineLevel="0" collapsed="false">
      <c r="A33" s="9" t="n">
        <v>2</v>
      </c>
      <c r="B33" s="9" t="s">
        <v>737</v>
      </c>
      <c r="C33" s="27"/>
      <c r="D33" s="12" t="n">
        <f aca="false">D8-D32</f>
        <v>0</v>
      </c>
      <c r="E33" s="27"/>
      <c r="F33" s="27"/>
      <c r="G33" s="12" t="n">
        <f aca="false">G8-G32</f>
        <v>1</v>
      </c>
      <c r="H33" s="27"/>
      <c r="I33" s="27"/>
      <c r="J33" s="12" t="n">
        <f aca="false">J8-J32</f>
        <v>-1</v>
      </c>
      <c r="K33" s="27"/>
      <c r="L33" s="27"/>
      <c r="M33" s="12" t="n">
        <f aca="false">M8-M32</f>
        <v>0</v>
      </c>
      <c r="N33" s="27"/>
      <c r="O33" s="27"/>
    </row>
    <row r="34" customFormat="false" ht="15" hidden="false" customHeight="false" outlineLevel="0" collapsed="false">
      <c r="A34" s="9" t="n">
        <v>3</v>
      </c>
      <c r="B34" s="9" t="s">
        <v>738</v>
      </c>
      <c r="C34" s="27"/>
      <c r="D34" s="18" t="n">
        <f aca="false">P2_Detailed_Table!E48</f>
        <v>27280</v>
      </c>
      <c r="E34" s="27"/>
      <c r="F34" s="27"/>
      <c r="G34" s="18" t="n">
        <f aca="false">P2_Detailed_Table!F48</f>
        <v>28459</v>
      </c>
      <c r="H34" s="27"/>
      <c r="I34" s="27"/>
      <c r="J34" s="18" t="n">
        <f aca="false">P2_Detailed_Table!G48</f>
        <v>31847</v>
      </c>
      <c r="K34" s="27"/>
      <c r="L34" s="27"/>
      <c r="M34" s="18" t="n">
        <f aca="false">P2_Detailed_Table!H48</f>
        <v>34170</v>
      </c>
      <c r="N34" s="27"/>
      <c r="O34" s="27"/>
    </row>
    <row r="35" customFormat="false" ht="15" hidden="false" customHeight="false" outlineLevel="0" collapsed="false">
      <c r="A35" s="9" t="n">
        <v>4</v>
      </c>
      <c r="B35" s="9" t="s">
        <v>739</v>
      </c>
      <c r="C35" s="27"/>
      <c r="D35" s="12" t="n">
        <f aca="false">D7-D34</f>
        <v>0</v>
      </c>
      <c r="E35" s="27"/>
      <c r="F35" s="27"/>
      <c r="G35" s="12" t="n">
        <f aca="false">G7-G34</f>
        <v>1</v>
      </c>
      <c r="H35" s="27"/>
      <c r="I35" s="27"/>
      <c r="J35" s="12" t="n">
        <f aca="false">J7-J34</f>
        <v>-2</v>
      </c>
      <c r="K35" s="27"/>
      <c r="L35" s="27"/>
      <c r="M35" s="12" t="n">
        <f aca="false">M7-M34</f>
        <v>0</v>
      </c>
      <c r="N35" s="27"/>
      <c r="O35" s="27"/>
    </row>
    <row r="36" customFormat="false" ht="15" hidden="false" customHeight="false" outlineLevel="0" collapsed="false">
      <c r="A36" s="9" t="n">
        <v>5</v>
      </c>
      <c r="B36" s="9" t="s">
        <v>740</v>
      </c>
      <c r="C36" s="27"/>
      <c r="D36" s="18" t="n">
        <f aca="false">P1_NetFunded_Qtr!C7</f>
        <v>40396</v>
      </c>
      <c r="E36" s="27"/>
      <c r="F36" s="27"/>
      <c r="G36" s="18" t="n">
        <f aca="false">P1_NetFunded_Qtr!D7</f>
        <v>42475</v>
      </c>
      <c r="H36" s="27"/>
      <c r="I36" s="27"/>
      <c r="J36" s="18" t="n">
        <f aca="false">P1_NetFunded_Qtr!E7</f>
        <v>47112</v>
      </c>
      <c r="K36" s="27"/>
      <c r="L36" s="27"/>
      <c r="M36" s="18" t="n">
        <f aca="false">P1_NetFunded_Qtr!F7</f>
        <v>51044</v>
      </c>
      <c r="N36" s="27"/>
      <c r="O36" s="27"/>
    </row>
    <row r="37" customFormat="false" ht="15" hidden="false" customHeight="false" outlineLevel="0" collapsed="false">
      <c r="A37" s="9" t="n">
        <v>6</v>
      </c>
      <c r="B37" s="9" t="s">
        <v>567</v>
      </c>
      <c r="C37" s="27"/>
      <c r="D37" s="12" t="n">
        <f aca="false">D9-D36</f>
        <v>0</v>
      </c>
      <c r="E37" s="27"/>
      <c r="F37" s="27"/>
      <c r="G37" s="12" t="n">
        <f aca="false">G9-G36</f>
        <v>0</v>
      </c>
      <c r="H37" s="27"/>
      <c r="I37" s="27"/>
      <c r="J37" s="12" t="n">
        <f aca="false">J9-J36</f>
        <v>0</v>
      </c>
      <c r="K37" s="27"/>
      <c r="L37" s="27"/>
      <c r="M37" s="12" t="n">
        <f aca="false">M9-M36</f>
        <v>0</v>
      </c>
      <c r="N37" s="27"/>
      <c r="O37" s="27"/>
    </row>
    <row r="40" customFormat="false" ht="15" hidden="false" customHeight="false" outlineLevel="0" collapsed="false">
      <c r="A40" s="4" t="s">
        <v>93</v>
      </c>
      <c r="B40" s="5"/>
      <c r="C40" s="5"/>
      <c r="D40" s="5"/>
      <c r="E40" s="5"/>
      <c r="F40" s="5"/>
      <c r="G40" s="5"/>
      <c r="H40" s="5"/>
    </row>
    <row r="41" customFormat="false" ht="23.85" hidden="false" customHeight="false" outlineLevel="0" collapsed="false">
      <c r="A41" s="8" t="s">
        <v>56</v>
      </c>
      <c r="B41" s="8" t="s">
        <v>94</v>
      </c>
      <c r="C41" s="8" t="s">
        <v>95</v>
      </c>
      <c r="D41" s="8" t="s">
        <v>96</v>
      </c>
      <c r="E41" s="8" t="s">
        <v>97</v>
      </c>
    </row>
    <row r="42" customFormat="false" ht="46.25" hidden="false" customHeight="false" outlineLevel="0" collapsed="false">
      <c r="A42" s="9" t="n">
        <v>1</v>
      </c>
      <c r="B42" s="17" t="s">
        <v>741</v>
      </c>
      <c r="C42" s="12" t="n">
        <f aca="false">SUMPRODUCT(MAX(ABS(D33:O33)))+SUMPRODUCT(MAX(ABS(D35:O35)))</f>
        <v>3</v>
      </c>
      <c r="D42" s="9" t="s">
        <v>99</v>
      </c>
      <c r="E42" s="19" t="s">
        <v>742</v>
      </c>
    </row>
    <row r="43" customFormat="false" ht="46.25" hidden="false" customHeight="false" outlineLevel="0" collapsed="false">
      <c r="A43" s="9" t="n">
        <v>2</v>
      </c>
      <c r="B43" s="17" t="s">
        <v>743</v>
      </c>
      <c r="C43" s="13" t="n">
        <f aca="false">E16</f>
        <v>-0.0616150113872661</v>
      </c>
      <c r="D43" s="9" t="s">
        <v>121</v>
      </c>
      <c r="E43" s="19" t="s">
        <v>744</v>
      </c>
    </row>
    <row r="44" customFormat="false" ht="23.85" hidden="false" customHeight="false" outlineLevel="0" collapsed="false">
      <c r="A44" s="9" t="n">
        <v>3</v>
      </c>
      <c r="B44" s="17" t="s">
        <v>745</v>
      </c>
      <c r="C44" s="25" t="n">
        <f aca="false">COUNTIF(C11:O11,"&lt;&gt;0")</f>
        <v>5</v>
      </c>
      <c r="D44" s="9" t="s">
        <v>350</v>
      </c>
      <c r="E44" s="19" t="s">
        <v>102</v>
      </c>
    </row>
    <row r="45" customFormat="false" ht="23.85" hidden="false" customHeight="false" outlineLevel="0" collapsed="false">
      <c r="A45" s="9" t="n">
        <v>4</v>
      </c>
      <c r="B45" s="17" t="s">
        <v>746</v>
      </c>
      <c r="C45" s="12" t="n">
        <f aca="false">SUMPRODUCT(ABS(D37:O37))</f>
        <v>0</v>
      </c>
      <c r="D45" s="9" t="s">
        <v>99</v>
      </c>
      <c r="E45" s="19" t="s">
        <v>747</v>
      </c>
    </row>
    <row r="47" customFormat="false" ht="15" hidden="false" customHeight="false" outlineLevel="0" collapsed="false">
      <c r="A47" s="4" t="s">
        <v>748</v>
      </c>
      <c r="B47" s="5"/>
      <c r="C47" s="5"/>
      <c r="D47" s="5"/>
      <c r="E47" s="5"/>
      <c r="F47" s="5"/>
      <c r="G47" s="5"/>
      <c r="H47" s="5"/>
    </row>
    <row r="49" customFormat="false" ht="15" hidden="false" customHeight="false" outlineLevel="0" collapsed="false">
      <c r="A49" s="4" t="s">
        <v>109</v>
      </c>
      <c r="B49" s="5"/>
      <c r="C49" s="5"/>
      <c r="D49" s="5"/>
      <c r="E49" s="5"/>
      <c r="F49" s="5"/>
      <c r="G49" s="5"/>
      <c r="H49" s="5"/>
    </row>
    <row r="50" customFormat="false" ht="15" hidden="false" customHeight="false" outlineLevel="0" collapsed="false">
      <c r="A50" s="8" t="s">
        <v>56</v>
      </c>
      <c r="B50" s="8" t="s">
        <v>110</v>
      </c>
      <c r="C50" s="8" t="s">
        <v>111</v>
      </c>
      <c r="D50" s="8" t="s">
        <v>112</v>
      </c>
      <c r="E50" s="8" t="s">
        <v>113</v>
      </c>
      <c r="F50" s="8" t="s">
        <v>96</v>
      </c>
      <c r="G50" s="8" t="s">
        <v>114</v>
      </c>
    </row>
    <row r="51" customFormat="false" ht="35.05" hidden="false" customHeight="false" outlineLevel="0" collapsed="false">
      <c r="A51" s="9" t="n">
        <v>1</v>
      </c>
      <c r="B51" s="10" t="s">
        <v>115</v>
      </c>
      <c r="C51" s="19" t="s">
        <v>749</v>
      </c>
      <c r="D51" s="19" t="s">
        <v>117</v>
      </c>
      <c r="E51" s="12" t="n">
        <f aca="false">O9</f>
        <v>53922</v>
      </c>
      <c r="F51" s="9" t="s">
        <v>99</v>
      </c>
      <c r="G51" s="19"/>
    </row>
    <row r="52" customFormat="false" ht="57.45" hidden="false" customHeight="false" outlineLevel="0" collapsed="false">
      <c r="A52" s="9" t="n">
        <v>2</v>
      </c>
      <c r="B52" s="10" t="s">
        <v>115</v>
      </c>
      <c r="C52" s="19" t="s">
        <v>750</v>
      </c>
      <c r="D52" s="19" t="s">
        <v>117</v>
      </c>
      <c r="E52" s="12" t="n">
        <f aca="false">J8</f>
        <v>15267</v>
      </c>
      <c r="F52" s="9" t="s">
        <v>99</v>
      </c>
      <c r="G52" s="19"/>
    </row>
    <row r="53" customFormat="false" ht="35.05" hidden="false" customHeight="false" outlineLevel="0" collapsed="false">
      <c r="A53" s="9" t="n">
        <v>3</v>
      </c>
      <c r="B53" s="10" t="s">
        <v>115</v>
      </c>
      <c r="C53" s="19" t="s">
        <v>582</v>
      </c>
      <c r="D53" s="19" t="s">
        <v>583</v>
      </c>
      <c r="E53" s="20" t="str">
        <f aca="false">INDEX(D6:O6,MATCH(MIN(D15:O15),D15:O15,0))</f>
        <v>Oct-25</v>
      </c>
      <c r="F53" s="9" t="s">
        <v>106</v>
      </c>
      <c r="G53" s="19"/>
    </row>
    <row r="54" customFormat="false" ht="46.25" hidden="false" customHeight="false" outlineLevel="0" collapsed="false">
      <c r="A54" s="9" t="n">
        <v>4</v>
      </c>
      <c r="B54" s="10" t="s">
        <v>122</v>
      </c>
      <c r="C54" s="19" t="s">
        <v>751</v>
      </c>
      <c r="D54" s="19" t="s">
        <v>585</v>
      </c>
      <c r="E54" s="13" t="n">
        <f aca="false">O9/C9-1</f>
        <v>0.478692480666923</v>
      </c>
      <c r="F54" s="9" t="s">
        <v>121</v>
      </c>
      <c r="G54" s="19"/>
    </row>
    <row r="55" customFormat="false" ht="23.85" hidden="false" customHeight="false" outlineLevel="0" collapsed="false">
      <c r="A55" s="9" t="n">
        <v>5</v>
      </c>
      <c r="B55" s="10" t="s">
        <v>122</v>
      </c>
      <c r="C55" s="19" t="s">
        <v>752</v>
      </c>
      <c r="D55" s="19" t="s">
        <v>753</v>
      </c>
      <c r="E55" s="13" t="n">
        <f aca="false">(O9/C9)^(1/12)-1</f>
        <v>0.0331336062399668</v>
      </c>
      <c r="F55" s="9" t="s">
        <v>121</v>
      </c>
      <c r="G55" s="19"/>
    </row>
    <row r="56" customFormat="false" ht="46.25" hidden="false" customHeight="false" outlineLevel="0" collapsed="false">
      <c r="A56" s="9" t="n">
        <v>6</v>
      </c>
      <c r="B56" s="10" t="s">
        <v>122</v>
      </c>
      <c r="C56" s="19" t="s">
        <v>754</v>
      </c>
      <c r="D56" s="19" t="s">
        <v>755</v>
      </c>
      <c r="E56" s="13" t="n">
        <f aca="false">(O7-C7)/(O9-C9)</f>
        <v>0.696093033913841</v>
      </c>
      <c r="F56" s="9" t="s">
        <v>121</v>
      </c>
      <c r="G56" s="19"/>
    </row>
    <row r="57" customFormat="false" ht="46.25" hidden="false" customHeight="false" outlineLevel="0" collapsed="false">
      <c r="A57" s="9" t="n">
        <v>7</v>
      </c>
      <c r="B57" s="10" t="s">
        <v>122</v>
      </c>
      <c r="C57" s="19" t="s">
        <v>756</v>
      </c>
      <c r="D57" s="19" t="s">
        <v>757</v>
      </c>
      <c r="E57" s="14" t="n">
        <f aca="false">AVERAGE(K9:M9)/M9</f>
        <v>0.932803071859572</v>
      </c>
      <c r="F57" s="9" t="s">
        <v>569</v>
      </c>
      <c r="G57" s="19"/>
    </row>
    <row r="58" customFormat="false" ht="79.85" hidden="false" customHeight="false" outlineLevel="0" collapsed="false">
      <c r="A58" s="9" t="n">
        <v>8</v>
      </c>
      <c r="B58" s="10" t="s">
        <v>131</v>
      </c>
      <c r="C58" s="19" t="s">
        <v>758</v>
      </c>
      <c r="D58" s="19" t="s">
        <v>759</v>
      </c>
      <c r="E58" s="15" t="n">
        <f aca="false">(AVERAGE(E16,H16,K16,N16)-AVERAGE(D16,G16,J16,M16))*100</f>
        <v>-9.27319050433272</v>
      </c>
      <c r="F58" s="9" t="s">
        <v>32</v>
      </c>
      <c r="G58" s="19" t="s">
        <v>760</v>
      </c>
    </row>
    <row r="59" customFormat="false" ht="79.85" hidden="false" customHeight="false" outlineLevel="0" collapsed="false">
      <c r="A59" s="9" t="n">
        <v>9</v>
      </c>
      <c r="B59" s="10" t="s">
        <v>131</v>
      </c>
      <c r="C59" s="19" t="s">
        <v>761</v>
      </c>
      <c r="D59" s="19" t="s">
        <v>762</v>
      </c>
      <c r="E59" s="12" t="n">
        <f aca="false">SUMPRODUCT(MAX(ABS(D33:O33)))+SUMPRODUCT(MAX(ABS(D35:O35)))</f>
        <v>3</v>
      </c>
      <c r="F59" s="9" t="s">
        <v>99</v>
      </c>
      <c r="G59" s="19" t="s">
        <v>763</v>
      </c>
    </row>
    <row r="60" customFormat="false" ht="79.85" hidden="false" customHeight="false" outlineLevel="0" collapsed="false">
      <c r="A60" s="9" t="n">
        <v>10</v>
      </c>
      <c r="B60" s="10" t="s">
        <v>131</v>
      </c>
      <c r="C60" s="19" t="s">
        <v>764</v>
      </c>
      <c r="D60" s="19" t="s">
        <v>765</v>
      </c>
      <c r="E60" s="28" t="n">
        <f aca="false">LN(P3_Retail_Monthly!O7/O9)/LN(((O9/C9)^(1/12))/((P3_Retail_Monthly!O7/P3_Retail_Monthly!C7)^(1/12)))</f>
        <v>26.0095522602779</v>
      </c>
      <c r="F60" s="9" t="s">
        <v>766</v>
      </c>
      <c r="G60" s="19" t="s">
        <v>767</v>
      </c>
    </row>
    <row r="62" customFormat="false" ht="15" hidden="false" customHeight="false" outlineLevel="0" collapsed="false">
      <c r="A62" s="4" t="s">
        <v>141</v>
      </c>
      <c r="B62" s="5"/>
      <c r="C62" s="5"/>
      <c r="D62" s="5"/>
      <c r="E62" s="5"/>
      <c r="F62" s="5"/>
      <c r="G62" s="5"/>
      <c r="H62" s="5"/>
    </row>
    <row r="63" customFormat="false" ht="75" hidden="false" customHeight="true" outlineLevel="0" collapsed="false">
      <c r="A63" s="21" t="s">
        <v>768</v>
      </c>
      <c r="B63" s="21"/>
      <c r="C63" s="21"/>
      <c r="D63" s="21"/>
      <c r="E63" s="21"/>
      <c r="F63" s="21"/>
      <c r="G63" s="21"/>
      <c r="H63" s="21"/>
    </row>
    <row r="65" customFormat="false" ht="15" hidden="false" customHeight="false" outlineLevel="0" collapsed="false">
      <c r="A65" s="3" t="s">
        <v>2</v>
      </c>
    </row>
  </sheetData>
  <mergeCells count="1">
    <mergeCell ref="A63:H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769</v>
      </c>
    </row>
    <row r="2" customFormat="false" ht="1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25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2" t="s">
        <v>145</v>
      </c>
      <c r="C6" s="22" t="s">
        <v>146</v>
      </c>
      <c r="D6" s="22"/>
      <c r="E6" s="22"/>
      <c r="F6" s="22"/>
    </row>
    <row r="7" customFormat="false" ht="15" hidden="false" customHeight="true" outlineLevel="0" collapsed="false">
      <c r="B7" s="10" t="s">
        <v>770</v>
      </c>
      <c r="C7" s="19" t="s">
        <v>771</v>
      </c>
      <c r="D7" s="19"/>
      <c r="E7" s="19"/>
      <c r="F7" s="19"/>
    </row>
    <row r="8" customFormat="false" ht="15" hidden="false" customHeight="true" outlineLevel="0" collapsed="false">
      <c r="B8" s="10" t="s">
        <v>772</v>
      </c>
      <c r="C8" s="19" t="s">
        <v>773</v>
      </c>
      <c r="D8" s="19"/>
      <c r="E8" s="19"/>
      <c r="F8" s="19"/>
    </row>
    <row r="9" customFormat="false" ht="15" hidden="false" customHeight="true" outlineLevel="0" collapsed="false">
      <c r="B9" s="10" t="s">
        <v>774</v>
      </c>
      <c r="C9" s="19" t="s">
        <v>775</v>
      </c>
      <c r="D9" s="19"/>
      <c r="E9" s="19"/>
      <c r="F9" s="19"/>
    </row>
    <row r="10" customFormat="false" ht="15" hidden="false" customHeight="true" outlineLevel="0" collapsed="false">
      <c r="B10" s="10" t="s">
        <v>776</v>
      </c>
      <c r="C10" s="19" t="s">
        <v>777</v>
      </c>
      <c r="D10" s="19"/>
      <c r="E10" s="19"/>
      <c r="F10" s="19"/>
    </row>
    <row r="11" customFormat="false" ht="15" hidden="false" customHeight="true" outlineLevel="0" collapsed="false">
      <c r="B11" s="10" t="s">
        <v>153</v>
      </c>
      <c r="C11" s="19" t="s">
        <v>778</v>
      </c>
      <c r="D11" s="19"/>
      <c r="E11" s="19"/>
      <c r="F11" s="19"/>
    </row>
    <row r="12" customFormat="false" ht="15" hidden="false" customHeight="true" outlineLevel="0" collapsed="false">
      <c r="B12" s="10" t="s">
        <v>610</v>
      </c>
      <c r="C12" s="19" t="s">
        <v>611</v>
      </c>
      <c r="D12" s="19"/>
      <c r="E12" s="19"/>
      <c r="F12" s="19"/>
    </row>
    <row r="13" customFormat="false" ht="15" hidden="false" customHeight="true" outlineLevel="0" collapsed="false">
      <c r="B13" s="10" t="s">
        <v>612</v>
      </c>
      <c r="C13" s="19" t="s">
        <v>613</v>
      </c>
      <c r="D13" s="19"/>
      <c r="E13" s="19"/>
      <c r="F13" s="19"/>
    </row>
    <row r="14" customFormat="false" ht="15" hidden="false" customHeight="true" outlineLevel="0" collapsed="false">
      <c r="B14" s="10" t="s">
        <v>157</v>
      </c>
      <c r="C14" s="19" t="s">
        <v>614</v>
      </c>
      <c r="D14" s="19"/>
      <c r="E14" s="19"/>
      <c r="F14" s="19"/>
    </row>
    <row r="15" customFormat="false" ht="15" hidden="false" customHeight="true" outlineLevel="0" collapsed="false">
      <c r="B15" s="10" t="s">
        <v>159</v>
      </c>
      <c r="C15" s="19" t="s">
        <v>615</v>
      </c>
      <c r="D15" s="19"/>
      <c r="E15" s="19"/>
      <c r="F15" s="19"/>
    </row>
    <row r="16" customFormat="false" ht="15" hidden="false" customHeight="true" outlineLevel="0" collapsed="false">
      <c r="B16" s="10" t="s">
        <v>616</v>
      </c>
      <c r="C16" s="19" t="s">
        <v>617</v>
      </c>
      <c r="D16" s="19"/>
      <c r="E16" s="19"/>
      <c r="F16" s="19"/>
    </row>
    <row r="17" customFormat="false" ht="15" hidden="false" customHeight="true" outlineLevel="0" collapsed="false">
      <c r="B17" s="10" t="s">
        <v>779</v>
      </c>
      <c r="C17" s="19" t="s">
        <v>780</v>
      </c>
      <c r="D17" s="19"/>
      <c r="E17" s="19"/>
      <c r="F17" s="19"/>
    </row>
    <row r="18" customFormat="false" ht="15" hidden="false" customHeight="true" outlineLevel="0" collapsed="false">
      <c r="B18" s="10" t="s">
        <v>781</v>
      </c>
      <c r="C18" s="19" t="s">
        <v>782</v>
      </c>
      <c r="D18" s="19"/>
      <c r="E18" s="19"/>
      <c r="F18" s="19"/>
    </row>
    <row r="19" customFormat="false" ht="15" hidden="false" customHeight="true" outlineLevel="0" collapsed="false">
      <c r="B19" s="10" t="s">
        <v>783</v>
      </c>
      <c r="C19" s="19" t="s">
        <v>784</v>
      </c>
      <c r="D19" s="19"/>
      <c r="E19" s="19"/>
      <c r="F19" s="19"/>
    </row>
    <row r="20" customFormat="false" ht="15" hidden="false" customHeight="true" outlineLevel="0" collapsed="false">
      <c r="B20" s="10" t="s">
        <v>603</v>
      </c>
      <c r="C20" s="19" t="s">
        <v>785</v>
      </c>
      <c r="D20" s="19"/>
      <c r="E20" s="19"/>
      <c r="F20" s="19"/>
    </row>
    <row r="21" customFormat="false" ht="15" hidden="false" customHeight="false" outlineLevel="0" collapsed="false">
      <c r="B21" s="23" t="s">
        <v>624</v>
      </c>
    </row>
    <row r="23" customFormat="false" ht="15" hidden="false" customHeight="false" outlineLevel="0" collapsed="false">
      <c r="A23" s="4" t="s">
        <v>170</v>
      </c>
      <c r="B23" s="5"/>
      <c r="C23" s="5"/>
      <c r="D23" s="5"/>
      <c r="E23" s="5"/>
      <c r="F23" s="5"/>
    </row>
    <row r="24" customFormat="false" ht="15" hidden="false" customHeight="false" outlineLevel="0" collapsed="false">
      <c r="A24" s="8" t="s">
        <v>56</v>
      </c>
      <c r="B24" s="8" t="s">
        <v>171</v>
      </c>
      <c r="C24" s="8" t="s">
        <v>172</v>
      </c>
      <c r="D24" s="8" t="s">
        <v>173</v>
      </c>
      <c r="E24" s="8" t="s">
        <v>174</v>
      </c>
      <c r="F24" s="8" t="s">
        <v>175</v>
      </c>
    </row>
    <row r="25" customFormat="false" ht="15" hidden="false" customHeight="false" outlineLevel="0" collapsed="false">
      <c r="A25" s="9" t="n">
        <v>1</v>
      </c>
      <c r="B25" s="19" t="s">
        <v>176</v>
      </c>
      <c r="C25" s="19" t="s">
        <v>625</v>
      </c>
      <c r="D25" s="19" t="s">
        <v>786</v>
      </c>
      <c r="E25" s="19" t="s">
        <v>787</v>
      </c>
      <c r="F25" s="24" t="str">
        <f aca="false">"WT Aug-25 "&amp;TEXT(P4_Wholesale_Monthly!C9,"#,##0;-#,##0;0")&amp;" → Aug-26 "&amp;TEXT(P4_Wholesale_Monthly!O9,"#,##0;-#,##0;0")&amp;"; A "&amp;TEXT(P4_Wholesale_Monthly!C7,"#,##0;-#,##0;0")&amp;" → "&amp;TEXT(P4_Wholesale_Monthly!O7,"#,##0;-#,##0;0")&amp;"; B "&amp;TEXT(P4_Wholesale_Monthly!C8,"#,##0;-#,##0;0")&amp;" → "&amp;TEXT(P4_Wholesale_Monthly!O8,"#,##0;-#,##0;0")</f>
        <v>WT Aug-25 36,466 → Aug-26 53,922; A 24,032 → 36,183; B 12,434 → 17,739</v>
      </c>
    </row>
    <row r="26" customFormat="false" ht="15" hidden="false" customHeight="false" outlineLevel="0" collapsed="false">
      <c r="A26" s="9" t="n">
        <v>2</v>
      </c>
      <c r="B26" s="19" t="s">
        <v>176</v>
      </c>
      <c r="C26" s="19" t="s">
        <v>788</v>
      </c>
      <c r="D26" s="19" t="s">
        <v>789</v>
      </c>
      <c r="E26" s="19" t="s">
        <v>183</v>
      </c>
      <c r="F26" s="24" t="str">
        <f aca="false">TEXT(P4_Wholesale_Monthly!D9,"#,##0;-#,##0;0")&amp;" / "&amp;TEXT(P4_Wholesale_Monthly!G9,"#,##0;-#,##0;0")&amp;" / "&amp;TEXT(P4_Wholesale_Monthly!J9,"#,##0;-#,##0;0")&amp;" / "&amp;TEXT(P4_Wholesale_Monthly!M9,"#,##0;-#,##0;0")</f>
        <v>40,396 / 42,475 / 47,112 / 51,044</v>
      </c>
    </row>
    <row r="27" customFormat="false" ht="15" hidden="false" customHeight="false" outlineLevel="0" collapsed="false">
      <c r="A27" s="9" t="n">
        <v>3</v>
      </c>
      <c r="B27" s="19" t="s">
        <v>180</v>
      </c>
      <c r="C27" s="19" t="s">
        <v>790</v>
      </c>
      <c r="D27" s="19" t="s">
        <v>791</v>
      </c>
      <c r="E27" s="19" t="s">
        <v>633</v>
      </c>
      <c r="F27" s="24" t="str">
        <f aca="false">TEXT(P4_Wholesale_Monthly!C11,"#,##0;-#,##0;0")&amp;" / "&amp;TEXT(P4_Wholesale_Monthly!D11,"#,##0;-#,##0;0")&amp;" / "&amp;TEXT(P4_Wholesale_Monthly!E11,"#,##0;-#,##0;0")&amp;" / "&amp;TEXT(P4_Wholesale_Monthly!F11,"#,##0;-#,##0;0")&amp;" / "&amp;TEXT(P4_Wholesale_Monthly!G11,"#,##0;-#,##0;0")&amp;" / "&amp;TEXT(P4_Wholesale_Monthly!H11,"#,##0;-#,##0;0")&amp;" / "&amp;TEXT(P4_Wholesale_Monthly!I11,"#,##0;-#,##0;0")&amp;" / "&amp;TEXT(P4_Wholesale_Monthly!J11,"#,##0;-#,##0;0")&amp;" / "&amp;TEXT(P4_Wholesale_Monthly!K11,"#,##0;-#,##0;0")&amp;" / "&amp;TEXT(P4_Wholesale_Monthly!L11,"#,##0;-#,##0;0")&amp;" / "&amp;TEXT(P4_Wholesale_Monthly!M11,"#,##0;-#,##0;0")&amp;" / "&amp;TEXT(P4_Wholesale_Monthly!N11,"#,##0;-#,##0;0")&amp;" / "&amp;TEXT(P4_Wholesale_Monthly!O11,"#,##0;-#,##0;0")</f>
        <v>0 / 1 / 1 / 0 / -1 / 1 / 0 / 0 / 0 / -1 / 0 / 0 / 0</v>
      </c>
    </row>
    <row r="28" customFormat="false" ht="15" hidden="false" customHeight="false" outlineLevel="0" collapsed="false">
      <c r="A28" s="9" t="n">
        <v>4</v>
      </c>
      <c r="B28" s="19" t="s">
        <v>192</v>
      </c>
      <c r="C28" s="19" t="s">
        <v>636</v>
      </c>
      <c r="D28" s="19" t="s">
        <v>792</v>
      </c>
      <c r="E28" s="19" t="s">
        <v>641</v>
      </c>
      <c r="F28" s="24" t="str">
        <f aca="false">TEXT(P4_Wholesale_Monthly!D15,"#,##0;-#,##0;0")&amp;" / "&amp;TEXT(P4_Wholesale_Monthly!E15,"#,##0;-#,##0;0")&amp;" / "&amp;TEXT(P4_Wholesale_Monthly!F15,"#,##0;-#,##0;0")&amp;" / "&amp;TEXT(P4_Wholesale_Monthly!G15,"#,##0;-#,##0;0")&amp;" / "&amp;TEXT(P4_Wholesale_Monthly!H15,"#,##0;-#,##0;0")&amp;" / "&amp;TEXT(P4_Wholesale_Monthly!I15,"#,##0;-#,##0;0")&amp;" / "&amp;TEXT(P4_Wholesale_Monthly!J15,"#,##0;-#,##0;0")&amp;" / "&amp;TEXT(P4_Wholesale_Monthly!K15,"#,##0;-#,##0;0")&amp;" / "&amp;TEXT(P4_Wholesale_Monthly!L15,"#,##0;-#,##0;0")&amp;" / "&amp;TEXT(P4_Wholesale_Monthly!M15,"#,##0;-#,##0;0")&amp;" / "&amp;TEXT(P4_Wholesale_Monthly!N15,"#,##0;-#,##0;0")&amp;" / "&amp;TEXT(P4_Wholesale_Monthly!O15,"#,##0;-#,##0;0")</f>
        <v>3,930 / -2,489 / 2,601 / 1,967 / 443 / 2,203 / 1,991 / -1,495 / 564 / 4,863 / 906 / 1,972</v>
      </c>
    </row>
    <row r="29" customFormat="false" ht="23.85" hidden="false" customHeight="false" outlineLevel="0" collapsed="false">
      <c r="A29" s="9" t="n">
        <v>5</v>
      </c>
      <c r="B29" s="19" t="s">
        <v>192</v>
      </c>
      <c r="C29" s="19" t="s">
        <v>639</v>
      </c>
      <c r="D29" s="19" t="s">
        <v>793</v>
      </c>
      <c r="E29" s="19" t="s">
        <v>641</v>
      </c>
      <c r="F29" s="24" t="str">
        <f aca="false">TEXT(P4_Wholesale_Monthly!D16,"+0.0%;-0.0%;0.0%")&amp;" / "&amp;TEXT(P4_Wholesale_Monthly!E16,"+0.0%;-0.0%;0.0%")&amp;" / "&amp;TEXT(P4_Wholesale_Monthly!F16,"+0.0%;-0.0%;0.0%")&amp;" / "&amp;TEXT(P4_Wholesale_Monthly!G16,"+0.0%;-0.0%;0.0%")&amp;" / "&amp;TEXT(P4_Wholesale_Monthly!H16,"+0.0%;-0.0%;0.0%")&amp;" / "&amp;TEXT(P4_Wholesale_Monthly!I16,"+0.0%;-0.0%;0.0%")&amp;" / "&amp;TEXT(P4_Wholesale_Monthly!J16,"+0.0%;-0.0%;0.0%")&amp;" / "&amp;TEXT(P4_Wholesale_Monthly!K16,"+0.0%;-0.0%;0.0%")&amp;" / "&amp;TEXT(P4_Wholesale_Monthly!L16,"+0.0%;-0.0%;0.0%")&amp;" / "&amp;TEXT(P4_Wholesale_Monthly!M16,"+0.0%;-0.0%;0.0%")&amp;" / "&amp;TEXT(P4_Wholesale_Monthly!N16,"+0.0%;-0.0%;0.0%")&amp;" / "&amp;TEXT(P4_Wholesale_Monthly!O16,"+0.0%;-0.0%;0.0%")</f>
        <v>+10.8% / -6.2% / +6.9% / +4.9% / +1.0% / +5.1% / +4.4% / -3.2% / +1.2% / +10.5% / +1.8% / +3.8%</v>
      </c>
    </row>
    <row r="30" customFormat="false" ht="15" hidden="false" customHeight="false" outlineLevel="0" collapsed="false">
      <c r="A30" s="9" t="n">
        <v>6</v>
      </c>
      <c r="B30" s="19" t="s">
        <v>192</v>
      </c>
      <c r="C30" s="19" t="s">
        <v>794</v>
      </c>
      <c r="D30" s="19" t="s">
        <v>795</v>
      </c>
      <c r="E30" s="19" t="s">
        <v>796</v>
      </c>
      <c r="F30" s="24" t="str">
        <f aca="false">"A "&amp;TEXT(P4_Wholesale_Monthly!D19,"+0.0%;-0.0%;0.0%")&amp;" / "&amp;TEXT(P4_Wholesale_Monthly!G19,"+0.0%;-0.0%;0.0%")&amp;" / "&amp;TEXT(P4_Wholesale_Monthly!J19,"+0.0%;-0.0%;0.0%")&amp;" / "&amp;TEXT(P4_Wholesale_Monthly!M19,"+0.0%;-0.0%;0.0%")&amp;" / "&amp;TEXT(P4_Wholesale_Monthly!O19,"+0.0%;-0.0%;0.0%")&amp;"; B "&amp;TEXT(P4_Wholesale_Monthly!D20,"+0.0%;-0.0%;0.0%")&amp;" / "&amp;TEXT(P4_Wholesale_Monthly!G20,"+0.0%;-0.0%;0.0%")&amp;" / "&amp;TEXT(P4_Wholesale_Monthly!J20,"+0.0%;-0.0%;0.0%")&amp;" / "&amp;TEXT(P4_Wholesale_Monthly!M20,"+0.0%;-0.0%;0.0%")&amp;" / "&amp;TEXT(P4_Wholesale_Monthly!O20,"+0.0%;-0.0%;0.0%")</f>
        <v>A +13.5% / +2.5% / +2.6% / +11.3% / +2.9%; B +5.5% / +9.9% / +8.3% / +8.9% / +5.8%</v>
      </c>
    </row>
    <row r="31" customFormat="false" ht="15" hidden="false" customHeight="false" outlineLevel="0" collapsed="false">
      <c r="A31" s="9" t="n">
        <v>7</v>
      </c>
      <c r="B31" s="19" t="s">
        <v>192</v>
      </c>
      <c r="C31" s="19" t="s">
        <v>642</v>
      </c>
      <c r="D31" s="19" t="s">
        <v>643</v>
      </c>
      <c r="E31" s="19" t="s">
        <v>797</v>
      </c>
      <c r="F31" s="24" t="str">
        <f aca="false">"WT "&amp;TEXT(P4_Wholesale_Monthly!O9/P4_Wholesale_Monthly!C9-1,"+0.0%;-0.0%;0.0%")&amp;" ("&amp;TEXT(P4_Wholesale_Monthly!O9-P4_Wholesale_Monthly!C9,"#,##0;-#,##0;0")&amp;"); A "&amp;TEXT(P4_Wholesale_Monthly!O7/P4_Wholesale_Monthly!C7-1,"+0.0%;-0.0%;0.0%")&amp;"; B "&amp;TEXT(P4_Wholesale_Monthly!O8/P4_Wholesale_Monthly!C8-1,"+0.0%;-0.0%;0.0%")</f>
        <v>WT +47.9% (17,456); A +50.6%; B +42.7%</v>
      </c>
    </row>
    <row r="32" customFormat="false" ht="15" hidden="false" customHeight="false" outlineLevel="0" collapsed="false">
      <c r="A32" s="9" t="n">
        <v>8</v>
      </c>
      <c r="B32" s="19" t="s">
        <v>192</v>
      </c>
      <c r="C32" s="19" t="s">
        <v>616</v>
      </c>
      <c r="D32" s="19" t="s">
        <v>798</v>
      </c>
      <c r="E32" s="19" t="s">
        <v>797</v>
      </c>
      <c r="F32" s="24" t="str">
        <f aca="false">"WT "&amp;TEXT((P4_Wholesale_Monthly!O9/P4_Wholesale_Monthly!C9)^(1/12)-1,"+0.0%;-0.0%;0.0%")&amp;"; A "&amp;TEXT((P4_Wholesale_Monthly!O7/P4_Wholesale_Monthly!C7)^(1/12)-1,"+0.0%;-0.0%;0.0%")&amp;"; B "&amp;TEXT((P4_Wholesale_Monthly!O8/P4_Wholesale_Monthly!C8)^(1/12)-1,"+0.0%;-0.0%;0.0%")</f>
        <v>WT +3.3%; A +3.5%; B +3.0%</v>
      </c>
    </row>
    <row r="33" customFormat="false" ht="15" hidden="false" customHeight="false" outlineLevel="0" collapsed="false">
      <c r="A33" s="9" t="n">
        <v>9</v>
      </c>
      <c r="B33" s="19" t="s">
        <v>192</v>
      </c>
      <c r="C33" s="19" t="s">
        <v>650</v>
      </c>
      <c r="D33" s="19" t="s">
        <v>799</v>
      </c>
      <c r="E33" s="19" t="s">
        <v>422</v>
      </c>
      <c r="F33" s="24" t="str">
        <f aca="false">TEXT(P4_Wholesale_Monthly!G9/P4_Wholesale_Monthly!D9-1,"+0.0%;-0.0%;0.0%")&amp;" / "&amp;TEXT(P4_Wholesale_Monthly!J9/P4_Wholesale_Monthly!G9-1,"+0.0%;-0.0%;0.0%")&amp;" / "&amp;TEXT(P4_Wholesale_Monthly!M9/P4_Wholesale_Monthly!J9-1,"+0.0%;-0.0%;0.0%")</f>
        <v>+5.1% / +10.9% / +8.3%</v>
      </c>
    </row>
    <row r="34" customFormat="false" ht="23.85" hidden="false" customHeight="false" outlineLevel="0" collapsed="false">
      <c r="A34" s="9" t="n">
        <v>10</v>
      </c>
      <c r="B34" s="19" t="s">
        <v>192</v>
      </c>
      <c r="C34" s="19" t="s">
        <v>652</v>
      </c>
      <c r="D34" s="19" t="s">
        <v>800</v>
      </c>
      <c r="E34" s="19" t="s">
        <v>654</v>
      </c>
      <c r="F34" s="24" t="str">
        <f aca="false">TEXT(AVERAGE(P4_Wholesale_Monthly!K9:M9)/AVERAGE(P4_Wholesale_Monthly!H9:J9)-1,"+0.0%;-0.0%;0.0%")</f>
        <v>+5.7%</v>
      </c>
    </row>
    <row r="35" customFormat="false" ht="15" hidden="false" customHeight="false" outlineLevel="0" collapsed="false">
      <c r="A35" s="9" t="n">
        <v>11</v>
      </c>
      <c r="B35" s="19" t="s">
        <v>192</v>
      </c>
      <c r="C35" s="19" t="s">
        <v>205</v>
      </c>
      <c r="D35" s="19" t="s">
        <v>801</v>
      </c>
      <c r="E35" s="19" t="s">
        <v>633</v>
      </c>
      <c r="F35" s="24" t="str">
        <f aca="false">TEXT(P4_Wholesale_Monthly!D24,"0.0")&amp;" / "&amp;TEXT(P4_Wholesale_Monthly!G24,"0.0")&amp;" / "&amp;TEXT(P4_Wholesale_Monthly!J24,"0.0")&amp;" / "&amp;TEXT(P4_Wholesale_Monthly!M24,"0.0")&amp;" / "&amp;TEXT(P4_Wholesale_Monthly!O24,"0.0")&amp;" (QE months, Aug-26)"</f>
        <v>110.8 / 116.5 / 129.2 / 140.0 / 147.9 (QE months, Aug-26)</v>
      </c>
    </row>
    <row r="36" customFormat="false" ht="15" hidden="false" customHeight="false" outlineLevel="0" collapsed="false">
      <c r="A36" s="9" t="n">
        <v>12</v>
      </c>
      <c r="B36" s="19" t="s">
        <v>192</v>
      </c>
      <c r="C36" s="19" t="s">
        <v>656</v>
      </c>
      <c r="D36" s="19" t="s">
        <v>802</v>
      </c>
      <c r="E36" s="19" t="s">
        <v>641</v>
      </c>
      <c r="F36" s="24" t="str">
        <f aca="false">TEXT(COUNTIF(P4_Wholesale_Monthly!D15:O15,"&lt;0"),"0")</f>
        <v>2</v>
      </c>
    </row>
    <row r="37" customFormat="false" ht="15" hidden="false" customHeight="false" outlineLevel="0" collapsed="false">
      <c r="A37" s="9" t="n">
        <v>13</v>
      </c>
      <c r="B37" s="19" t="s">
        <v>219</v>
      </c>
      <c r="C37" s="19" t="s">
        <v>803</v>
      </c>
      <c r="D37" s="19" t="s">
        <v>804</v>
      </c>
      <c r="E37" s="19" t="s">
        <v>215</v>
      </c>
      <c r="F37" s="24" t="str">
        <f aca="false">"A "&amp;TEXT((P4_Wholesale_Monthly!O7-P4_Wholesale_Monthly!C7)/(P4_Wholesale_Monthly!O9-P4_Wholesale_Monthly!C9),"0.0%")&amp;"; B "&amp;TEXT((P4_Wholesale_Monthly!O8-P4_Wholesale_Monthly!C8)/(P4_Wholesale_Monthly!O9-P4_Wholesale_Monthly!C9),"0.0%")</f>
        <v>A 69.6%; B 30.4%</v>
      </c>
    </row>
    <row r="38" customFormat="false" ht="15" hidden="false" customHeight="false" outlineLevel="0" collapsed="false">
      <c r="A38" s="9" t="n">
        <v>14</v>
      </c>
      <c r="B38" s="19" t="s">
        <v>219</v>
      </c>
      <c r="C38" s="19" t="s">
        <v>805</v>
      </c>
      <c r="D38" s="19" t="s">
        <v>806</v>
      </c>
      <c r="E38" s="19" t="s">
        <v>641</v>
      </c>
      <c r="F38" s="24" t="str">
        <f aca="false">TEXT(P4_Wholesale_Monthly!E23,"0.0%")&amp;" / "&amp;TEXT(P4_Wholesale_Monthly!K23,"0.0%")&amp;" / "&amp;TEXT(P4_Wholesale_Monthly!M23,"0.0%")&amp;" / "&amp;TEXT(P4_Wholesale_Monthly!O23,"0.0%")&amp;" (Oct-25, Apr-26, Jun-26, Aug-26)"</f>
        <v>81.8% / 108.5% / 71.5% / 51.0% (Oct-25, Apr-26, Jun-26, Aug-26)</v>
      </c>
    </row>
    <row r="39" customFormat="false" ht="15" hidden="false" customHeight="false" outlineLevel="0" collapsed="false">
      <c r="A39" s="9" t="n">
        <v>15</v>
      </c>
      <c r="B39" s="19" t="s">
        <v>184</v>
      </c>
      <c r="C39" s="19" t="s">
        <v>807</v>
      </c>
      <c r="D39" s="19" t="s">
        <v>808</v>
      </c>
      <c r="E39" s="19" t="s">
        <v>633</v>
      </c>
      <c r="F39" s="24" t="str">
        <f aca="false">"A "&amp;TEXT(P4_Wholesale_Monthly!C17,"0.0%")&amp;" → "&amp;TEXT(P4_Wholesale_Monthly!O17,"0.0%")&amp;"; B "&amp;TEXT(P4_Wholesale_Monthly!C18,"0.0%")&amp;" → "&amp;TEXT(P4_Wholesale_Monthly!O18,"0.0%")</f>
        <v>A 65.9% → 67.1%; B 34.1% → 32.9%</v>
      </c>
    </row>
    <row r="40" customFormat="false" ht="15" hidden="false" customHeight="false" outlineLevel="0" collapsed="false">
      <c r="A40" s="9" t="n">
        <v>16</v>
      </c>
      <c r="B40" s="19" t="s">
        <v>184</v>
      </c>
      <c r="C40" s="19" t="s">
        <v>809</v>
      </c>
      <c r="D40" s="19" t="s">
        <v>810</v>
      </c>
      <c r="E40" s="19" t="s">
        <v>215</v>
      </c>
      <c r="F40" s="24" t="str">
        <f aca="false">TEXT((P4_Wholesale_Monthly!O17-P4_Wholesale_Monthly!C17)*100,"+0.0"" pp"";-0.0"" pp"";0.0"" pp""")</f>
        <v>+1.2 pp</v>
      </c>
    </row>
    <row r="41" customFormat="false" ht="15" hidden="false" customHeight="false" outlineLevel="0" collapsed="false">
      <c r="A41" s="9" t="n">
        <v>17</v>
      </c>
      <c r="B41" s="19" t="s">
        <v>184</v>
      </c>
      <c r="C41" s="19" t="s">
        <v>811</v>
      </c>
      <c r="D41" s="19" t="s">
        <v>812</v>
      </c>
      <c r="E41" s="19" t="s">
        <v>633</v>
      </c>
      <c r="F41" s="24" t="str">
        <f aca="false">TEXT(P4_Wholesale_Monthly!C26,"0.00""x""")&amp;" / "&amp;TEXT(P4_Wholesale_Monthly!J26,"0.00""x""")&amp;" / "&amp;TEXT(P4_Wholesale_Monthly!O26,"0.00""x""")&amp;" (Aug-25 / Mar-26 / Aug-26)"</f>
        <v>1.93x / 2.09x / 2.04x (Aug-25 / Mar-26 / Aug-26)</v>
      </c>
    </row>
    <row r="42" customFormat="false" ht="15" hidden="false" customHeight="false" outlineLevel="0" collapsed="false">
      <c r="A42" s="9" t="n">
        <v>18</v>
      </c>
      <c r="B42" s="19" t="s">
        <v>226</v>
      </c>
      <c r="C42" s="19" t="s">
        <v>813</v>
      </c>
      <c r="D42" s="19" t="s">
        <v>814</v>
      </c>
      <c r="E42" s="19" t="s">
        <v>633</v>
      </c>
      <c r="F42" s="24" t="str">
        <f aca="false">TEXT(AVERAGE(P4_Wholesale_Monthly!C9:O9),"#,##0;-#,##0;0")</f>
        <v>44,740</v>
      </c>
    </row>
    <row r="43" customFormat="false" ht="23.85" hidden="false" customHeight="false" outlineLevel="0" collapsed="false">
      <c r="A43" s="9" t="n">
        <v>19</v>
      </c>
      <c r="B43" s="19" t="s">
        <v>226</v>
      </c>
      <c r="C43" s="19" t="s">
        <v>670</v>
      </c>
      <c r="D43" s="19" t="s">
        <v>815</v>
      </c>
      <c r="E43" s="19" t="s">
        <v>672</v>
      </c>
      <c r="F43" s="24" t="str">
        <f aca="false">TEXT(AVERAGE(P4_Wholesale_Monthly!E9:G9),"#,##0;-#,##0;0")&amp;" / "&amp;TEXT(AVERAGE(P4_Wholesale_Monthly!H9:J9),"#,##0;-#,##0;0")&amp;" / "&amp;TEXT(AVERAGE(P4_Wholesale_Monthly!K9:M9),"#,##0;-#,##0;0")</f>
        <v>40,297 / 45,050 / 47,614</v>
      </c>
    </row>
    <row r="44" customFormat="false" ht="23.85" hidden="false" customHeight="false" outlineLevel="0" collapsed="false">
      <c r="A44" s="9" t="n">
        <v>20</v>
      </c>
      <c r="B44" s="19" t="s">
        <v>226</v>
      </c>
      <c r="C44" s="19" t="s">
        <v>816</v>
      </c>
      <c r="D44" s="19" t="s">
        <v>817</v>
      </c>
      <c r="E44" s="19" t="s">
        <v>672</v>
      </c>
      <c r="F44" s="24" t="str">
        <f aca="false">TEXT(AVERAGE(P4_Wholesale_Monthly!E9:G9)/P4_Wholesale_Monthly!G9,"0.00""x""")&amp;" / "&amp;TEXT(AVERAGE(P4_Wholesale_Monthly!H9:J9)/P4_Wholesale_Monthly!J9,"0.00""x""")&amp;" / "&amp;TEXT(AVERAGE(P4_Wholesale_Monthly!K9:M9)/P4_Wholesale_Monthly!M9,"0.00""x""")</f>
        <v>0.95x / 0.96x / 0.93x</v>
      </c>
    </row>
    <row r="45" customFormat="false" ht="15" hidden="false" customHeight="false" outlineLevel="0" collapsed="false">
      <c r="A45" s="9" t="n">
        <v>21</v>
      </c>
      <c r="B45" s="19" t="s">
        <v>231</v>
      </c>
      <c r="C45" s="19" t="s">
        <v>660</v>
      </c>
      <c r="D45" s="19" t="s">
        <v>818</v>
      </c>
      <c r="E45" s="19" t="s">
        <v>641</v>
      </c>
      <c r="F45" s="24" t="str">
        <f aca="false">TEXT(AVERAGE(P4_Wholesale_Monthly!D15:O15),"#,##0;-#,##0;0")</f>
        <v>1,455</v>
      </c>
    </row>
    <row r="46" customFormat="false" ht="15" hidden="false" customHeight="false" outlineLevel="0" collapsed="false">
      <c r="A46" s="9" t="n">
        <v>22</v>
      </c>
      <c r="B46" s="19" t="s">
        <v>231</v>
      </c>
      <c r="C46" s="19" t="s">
        <v>665</v>
      </c>
      <c r="D46" s="19" t="s">
        <v>819</v>
      </c>
      <c r="E46" s="19" t="s">
        <v>667</v>
      </c>
      <c r="F46" s="24" t="str">
        <f aca="false">"T3M "&amp;TEXT(AVERAGE(P4_Wholesale_Monthly!M9:O9),"#,##0;-#,##0;0")&amp;"; T6M "&amp;TEXT(AVERAGE(P4_Wholesale_Monthly!J9:O9),"#,##0;-#,##0;0")</f>
        <v>T3M 52,305; T6M 49,304</v>
      </c>
    </row>
    <row r="47" customFormat="false" ht="15" hidden="false" customHeight="false" outlineLevel="0" collapsed="false">
      <c r="A47" s="9" t="n">
        <v>23</v>
      </c>
      <c r="B47" s="19" t="s">
        <v>231</v>
      </c>
      <c r="C47" s="19" t="s">
        <v>668</v>
      </c>
      <c r="D47" s="19" t="s">
        <v>820</v>
      </c>
      <c r="E47" s="19" t="s">
        <v>667</v>
      </c>
      <c r="F47" s="24" t="str">
        <f aca="false">TEXT(AVERAGE(P4_Wholesale_Monthly!M16:O16),"+0.0%;-0.0%;0.0%")</f>
        <v>+5.4%</v>
      </c>
    </row>
    <row r="48" customFormat="false" ht="23.85" hidden="false" customHeight="false" outlineLevel="0" collapsed="false">
      <c r="A48" s="9" t="n">
        <v>24</v>
      </c>
      <c r="B48" s="19" t="s">
        <v>231</v>
      </c>
      <c r="C48" s="19" t="s">
        <v>821</v>
      </c>
      <c r="D48" s="19" t="s">
        <v>822</v>
      </c>
      <c r="E48" s="19" t="s">
        <v>823</v>
      </c>
      <c r="F48" s="24" t="str">
        <f aca="false">TEXT(LN(P3_Retail_Monthly!O7/P4_Wholesale_Monthly!O9)/LN(((P4_Wholesale_Monthly!O9/P4_Wholesale_Monthly!C9)^(1/12))/((P3_Retail_Monthly!O7/P3_Retail_Monthly!C7)^(1/12))),"0.0")&amp;" months"</f>
        <v>26.0 months</v>
      </c>
    </row>
    <row r="49" customFormat="false" ht="15" hidden="false" customHeight="false" outlineLevel="0" collapsed="false">
      <c r="A49" s="9" t="n">
        <v>25</v>
      </c>
      <c r="B49" s="19" t="s">
        <v>673</v>
      </c>
      <c r="C49" s="19" t="s">
        <v>674</v>
      </c>
      <c r="D49" s="19" t="s">
        <v>242</v>
      </c>
      <c r="E49" s="19" t="s">
        <v>797</v>
      </c>
      <c r="F49" s="24" t="str">
        <f aca="false">"WT "&amp;TEXT(STDEV(P4_Wholesale_Monthly!D16:O16),"0.0%")&amp;"; A "&amp;TEXT(STDEV(P4_Wholesale_Monthly!D19:O19),"0.0%")&amp;"; B "&amp;TEXT(STDEV(P4_Wholesale_Monthly!D20:O20),"0.0%")</f>
        <v>WT 5.0%; A 6.1%; B 4.4%</v>
      </c>
    </row>
    <row r="50" customFormat="false" ht="15" hidden="false" customHeight="false" outlineLevel="0" collapsed="false">
      <c r="A50" s="9" t="n">
        <v>26</v>
      </c>
      <c r="B50" s="19" t="s">
        <v>673</v>
      </c>
      <c r="C50" s="19" t="s">
        <v>824</v>
      </c>
      <c r="D50" s="19" t="s">
        <v>825</v>
      </c>
      <c r="E50" s="19" t="s">
        <v>641</v>
      </c>
      <c r="F50" s="24" t="str">
        <f aca="false">TEXT(STDEV(P4_Wholesale_Monthly!D15:O15)/AVERAGE(P4_Wholesale_Monthly!D15:O15),"0.00""x""")</f>
        <v>1.42x</v>
      </c>
    </row>
    <row r="51" customFormat="false" ht="15" hidden="false" customHeight="false" outlineLevel="0" collapsed="false">
      <c r="A51" s="9" t="n">
        <v>27</v>
      </c>
      <c r="B51" s="19" t="s">
        <v>673</v>
      </c>
      <c r="C51" s="19" t="s">
        <v>678</v>
      </c>
      <c r="D51" s="19" t="s">
        <v>826</v>
      </c>
      <c r="E51" s="19" t="s">
        <v>641</v>
      </c>
      <c r="F51" s="24" t="str">
        <f aca="false">INDEX(P4_Wholesale_Monthly!D6:O6,MATCH(MAX(P4_Wholesale_Monthly!D15:O15),P4_Wholesale_Monthly!D15:O15,0))&amp;" "&amp;TEXT(MAX(P4_Wholesale_Monthly!D15:O15),"#,##0;-#,##0;0")&amp;"; "&amp;INDEX(P4_Wholesale_Monthly!D6:O6,MATCH(MIN(P4_Wholesale_Monthly!D15:O15),P4_Wholesale_Monthly!D15:O15,0))&amp;" "&amp;TEXT(MIN(P4_Wholesale_Monthly!D15:O15),"#,##0;-#,##0;0")</f>
        <v>Jun-26 4,863; Oct-25 -2,489</v>
      </c>
    </row>
    <row r="52" customFormat="false" ht="23.85" hidden="false" customHeight="false" outlineLevel="0" collapsed="false">
      <c r="A52" s="9" t="n">
        <v>28</v>
      </c>
      <c r="B52" s="19" t="s">
        <v>673</v>
      </c>
      <c r="C52" s="19" t="s">
        <v>827</v>
      </c>
      <c r="D52" s="19" t="s">
        <v>828</v>
      </c>
      <c r="E52" s="19" t="s">
        <v>829</v>
      </c>
      <c r="F52" s="24" t="str">
        <f aca="false">"after QE "&amp;TEXT(AVERAGE(P4_Wholesale_Monthly!E16,P4_Wholesale_Monthly!H16,P4_Wholesale_Monthly!K16,P4_Wholesale_Monthly!N16),"+0.0%;-0.0%;0.0%")&amp;" vs QE "&amp;TEXT(AVERAGE(P4_Wholesale_Monthly!D16,P4_Wholesale_Monthly!G16,P4_Wholesale_Monthly!J16,P4_Wholesale_Monthly!M16),"+0.0%;-0.0%;0.0%")</f>
        <v>after QE -1.6% vs QE +7.6%</v>
      </c>
    </row>
    <row r="53" customFormat="false" ht="15" hidden="false" customHeight="false" outlineLevel="0" collapsed="false">
      <c r="A53" s="9" t="n">
        <v>29</v>
      </c>
      <c r="B53" s="19" t="s">
        <v>673</v>
      </c>
      <c r="C53" s="19" t="s">
        <v>830</v>
      </c>
      <c r="D53" s="19" t="s">
        <v>831</v>
      </c>
      <c r="E53" s="19" t="s">
        <v>422</v>
      </c>
      <c r="F53" s="24" t="str">
        <f aca="false">TEXT(P4_Wholesale_Monthly!G28,"0.00""x""")&amp;" / "&amp;TEXT(P4_Wholesale_Monthly!J28,"0.00""x""")&amp;" / "&amp;TEXT(P4_Wholesale_Monthly!M28,"0.00""x""")</f>
        <v>1.05x / 1.05x / 1.07x</v>
      </c>
    </row>
    <row r="54" customFormat="false" ht="15" hidden="false" customHeight="false" outlineLevel="0" collapsed="false">
      <c r="A54" s="9" t="n">
        <v>30</v>
      </c>
      <c r="B54" s="19" t="s">
        <v>673</v>
      </c>
      <c r="C54" s="19" t="s">
        <v>245</v>
      </c>
      <c r="D54" s="19" t="s">
        <v>832</v>
      </c>
      <c r="E54" s="19" t="s">
        <v>633</v>
      </c>
      <c r="F54" s="24" t="str">
        <f aca="false">TEXT(MAX(P4_Wholesale_Monthly!C9:O9),"#,##0;-#,##0;0")&amp;" / "&amp;TEXT(MIN(P4_Wholesale_Monthly!C9:O9),"#,##0;-#,##0;0")</f>
        <v>53,922 / 36,466</v>
      </c>
    </row>
    <row r="55" customFormat="false" ht="15" hidden="false" customHeight="false" outlineLevel="0" collapsed="false">
      <c r="A55" s="9" t="n">
        <v>31</v>
      </c>
      <c r="B55" s="19" t="s">
        <v>250</v>
      </c>
      <c r="C55" s="19" t="s">
        <v>521</v>
      </c>
      <c r="D55" s="19" t="s">
        <v>833</v>
      </c>
      <c r="E55" s="19" t="s">
        <v>183</v>
      </c>
      <c r="F55" s="24" t="str">
        <f aca="false">TEXT(P4_Wholesale_Monthly!D37,"#,##0;-#,##0;0")&amp;" / "&amp;TEXT(P4_Wholesale_Monthly!G37,"#,##0;-#,##0;0")&amp;" / "&amp;TEXT(P4_Wholesale_Monthly!J37,"#,##0;-#,##0;0")&amp;" / "&amp;TEXT(P4_Wholesale_Monthly!M37,"#,##0;-#,##0;0")</f>
        <v>0 / 0 / 0 / 0</v>
      </c>
    </row>
    <row r="56" customFormat="false" ht="15" hidden="false" customHeight="false" outlineLevel="0" collapsed="false">
      <c r="A56" s="9" t="n">
        <v>32</v>
      </c>
      <c r="B56" s="19" t="s">
        <v>250</v>
      </c>
      <c r="C56" s="19" t="s">
        <v>834</v>
      </c>
      <c r="D56" s="19" t="s">
        <v>835</v>
      </c>
      <c r="E56" s="19" t="s">
        <v>183</v>
      </c>
      <c r="F56" s="24" t="str">
        <f aca="false">TEXT(P4_Wholesale_Monthly!D33,"#,##0;-#,##0;0")&amp;" / "&amp;TEXT(P4_Wholesale_Monthly!G33,"#,##0;-#,##0;0")&amp;" / "&amp;TEXT(P4_Wholesale_Monthly!J33,"#,##0;-#,##0;0")&amp;" / "&amp;TEXT(P4_Wholesale_Monthly!M33,"#,##0;-#,##0;0")</f>
        <v>0 / 1 / -1 / 0</v>
      </c>
    </row>
    <row r="57" customFormat="false" ht="15" hidden="false" customHeight="false" outlineLevel="0" collapsed="false">
      <c r="A57" s="9" t="n">
        <v>33</v>
      </c>
      <c r="B57" s="19" t="s">
        <v>250</v>
      </c>
      <c r="C57" s="19" t="s">
        <v>836</v>
      </c>
      <c r="D57" s="19" t="s">
        <v>837</v>
      </c>
      <c r="E57" s="19" t="s">
        <v>183</v>
      </c>
      <c r="F57" s="24" t="str">
        <f aca="false">TEXT(P4_Wholesale_Monthly!D35,"#,##0;-#,##0;0")&amp;" / "&amp;TEXT(P4_Wholesale_Monthly!G35,"#,##0;-#,##0;0")&amp;" / "&amp;TEXT(P4_Wholesale_Monthly!J35,"#,##0;-#,##0;0")&amp;" / "&amp;TEXT(P4_Wholesale_Monthly!M35,"#,##0;-#,##0;0")</f>
        <v>0 / 1 / -2 / 0</v>
      </c>
    </row>
    <row r="58" customFormat="false" ht="15" hidden="false" customHeight="false" outlineLevel="0" collapsed="false">
      <c r="A58" s="9" t="n">
        <v>34</v>
      </c>
      <c r="B58" s="19" t="s">
        <v>259</v>
      </c>
      <c r="C58" s="19" t="s">
        <v>712</v>
      </c>
      <c r="D58" s="19" t="s">
        <v>838</v>
      </c>
      <c r="E58" s="19" t="s">
        <v>264</v>
      </c>
      <c r="F58" s="19" t="s">
        <v>839</v>
      </c>
    </row>
    <row r="59" customFormat="false" ht="15" hidden="false" customHeight="false" outlineLevel="0" collapsed="false">
      <c r="A59" s="9" t="n">
        <v>35</v>
      </c>
      <c r="B59" s="19" t="s">
        <v>259</v>
      </c>
      <c r="C59" s="19" t="s">
        <v>260</v>
      </c>
      <c r="D59" s="19" t="s">
        <v>791</v>
      </c>
      <c r="E59" s="19" t="s">
        <v>633</v>
      </c>
      <c r="F59" s="24" t="str">
        <f aca="false">TEXT(COUNTIF(P4_Wholesale_Monthly!C11:O11,"&lt;&gt;0"),"0")&amp;" months at ±1"</f>
        <v>5 months at ±1</v>
      </c>
    </row>
    <row r="60" customFormat="false" ht="23.85" hidden="false" customHeight="false" outlineLevel="0" collapsed="false">
      <c r="A60" s="9" t="n">
        <v>36</v>
      </c>
      <c r="B60" s="19" t="s">
        <v>259</v>
      </c>
      <c r="C60" s="19" t="s">
        <v>840</v>
      </c>
      <c r="D60" s="19" t="s">
        <v>841</v>
      </c>
      <c r="E60" s="19" t="s">
        <v>264</v>
      </c>
      <c r="F60" s="19" t="s">
        <v>842</v>
      </c>
    </row>
    <row r="62" customFormat="false" ht="15" hidden="false" customHeight="false" outlineLevel="0" collapsed="false">
      <c r="A62" s="3" t="s">
        <v>2</v>
      </c>
    </row>
  </sheetData>
  <mergeCells count="15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7" min="3" style="0" width="12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843</v>
      </c>
    </row>
    <row r="2" customFormat="false" ht="15" hidden="false" customHeight="false" outlineLevel="0" collapsed="false">
      <c r="A2" s="2" t="s">
        <v>844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8" t="s">
        <v>56</v>
      </c>
      <c r="B5" s="8" t="s">
        <v>561</v>
      </c>
      <c r="C5" s="8" t="s">
        <v>58</v>
      </c>
      <c r="D5" s="8" t="s">
        <v>59</v>
      </c>
      <c r="E5" s="8" t="s">
        <v>60</v>
      </c>
      <c r="F5" s="8" t="s">
        <v>61</v>
      </c>
      <c r="G5" s="8" t="s">
        <v>845</v>
      </c>
      <c r="H5" s="8" t="s">
        <v>846</v>
      </c>
      <c r="I5" s="8" t="s">
        <v>847</v>
      </c>
    </row>
    <row r="6" customFormat="false" ht="15" hidden="false" customHeight="false" outlineLevel="0" collapsed="false">
      <c r="A6" s="9" t="n">
        <v>1</v>
      </c>
      <c r="B6" s="19" t="s">
        <v>848</v>
      </c>
      <c r="C6" s="18" t="n">
        <f aca="false">P1_NetFunded_Qtr!C7-P4_Wholesale_Monthly!D9</f>
        <v>0</v>
      </c>
      <c r="D6" s="18" t="n">
        <f aca="false">P1_NetFunded_Qtr!D7-P4_Wholesale_Monthly!G9</f>
        <v>0</v>
      </c>
      <c r="E6" s="18" t="n">
        <f aca="false">P1_NetFunded_Qtr!E7-P4_Wholesale_Monthly!J9</f>
        <v>0</v>
      </c>
      <c r="F6" s="18" t="n">
        <f aca="false">P1_NetFunded_Qtr!F7-P4_Wholesale_Monthly!M9</f>
        <v>0</v>
      </c>
      <c r="G6" s="12" t="n">
        <f aca="false">SUMPRODUCT(MAX(ABS(C6:F6)))</f>
        <v>0</v>
      </c>
      <c r="H6" s="10" t="str">
        <f aca="false">IF(G6&lt;=10,"Ties (≤ ₹10 Cr)","GAP – explain")</f>
        <v>Ties (≤ ₹10 Cr)</v>
      </c>
      <c r="I6" s="19" t="s">
        <v>849</v>
      </c>
    </row>
    <row r="7" customFormat="false" ht="15" hidden="false" customHeight="false" outlineLevel="0" collapsed="false">
      <c r="A7" s="9" t="n">
        <v>2</v>
      </c>
      <c r="B7" s="19" t="s">
        <v>850</v>
      </c>
      <c r="C7" s="18" t="n">
        <f aca="false">P1_NetFunded_Qtr!C8-P3_Retail_Monthly!D7</f>
        <v>0</v>
      </c>
      <c r="D7" s="18" t="n">
        <f aca="false">P1_NetFunded_Qtr!D8-P3_Retail_Monthly!G7</f>
        <v>0</v>
      </c>
      <c r="E7" s="18" t="n">
        <f aca="false">P1_NetFunded_Qtr!E8-P3_Retail_Monthly!J7</f>
        <v>0</v>
      </c>
      <c r="F7" s="18" t="n">
        <f aca="false">P1_NetFunded_Qtr!F8-P3_Retail_Monthly!M7</f>
        <v>0</v>
      </c>
      <c r="G7" s="12" t="n">
        <f aca="false">SUMPRODUCT(MAX(ABS(C7:F7)))</f>
        <v>0</v>
      </c>
      <c r="H7" s="10" t="str">
        <f aca="false">IF(G7&lt;=10,"Ties (≤ ₹10 Cr)","GAP – explain")</f>
        <v>Ties (≤ ₹10 Cr)</v>
      </c>
      <c r="I7" s="19" t="s">
        <v>851</v>
      </c>
    </row>
    <row r="8" customFormat="false" ht="15" hidden="false" customHeight="false" outlineLevel="0" collapsed="false">
      <c r="A8" s="9" t="n">
        <v>3</v>
      </c>
      <c r="B8" s="19" t="s">
        <v>852</v>
      </c>
      <c r="C8" s="18" t="n">
        <f aca="false">P1_NetFunded_Qtr!C14</f>
        <v>0</v>
      </c>
      <c r="D8" s="18" t="n">
        <f aca="false">P1_NetFunded_Qtr!D14</f>
        <v>0</v>
      </c>
      <c r="E8" s="18" t="n">
        <f aca="false">P1_NetFunded_Qtr!E14</f>
        <v>1</v>
      </c>
      <c r="F8" s="18" t="n">
        <f aca="false">P1_NetFunded_Qtr!F14</f>
        <v>1</v>
      </c>
      <c r="G8" s="12" t="n">
        <f aca="false">SUMPRODUCT(MAX(ABS(C8:F8)))</f>
        <v>1</v>
      </c>
      <c r="H8" s="10" t="str">
        <f aca="false">IF(G8&lt;=10,"Ties (≤ ₹10 Cr)","GAP – explain")</f>
        <v>Ties (≤ ₹10 Cr)</v>
      </c>
      <c r="I8" s="19" t="s">
        <v>853</v>
      </c>
    </row>
    <row r="9" customFormat="false" ht="15" hidden="false" customHeight="false" outlineLevel="0" collapsed="false">
      <c r="A9" s="9" t="n">
        <v>4</v>
      </c>
      <c r="B9" s="19" t="s">
        <v>854</v>
      </c>
      <c r="C9" s="18" t="n">
        <f aca="false">P2_Detailed_Table!E64-P1_NetFunded_Qtr!C9</f>
        <v>0</v>
      </c>
      <c r="D9" s="18" t="n">
        <f aca="false">P2_Detailed_Table!F64-P1_NetFunded_Qtr!D9</f>
        <v>1000</v>
      </c>
      <c r="E9" s="18" t="n">
        <f aca="false">P2_Detailed_Table!G64-P1_NetFunded_Qtr!E9</f>
        <v>3700</v>
      </c>
      <c r="F9" s="18" t="n">
        <f aca="false">P2_Detailed_Table!H64-P1_NetFunded_Qtr!F9</f>
        <v>986</v>
      </c>
      <c r="G9" s="12" t="n">
        <f aca="false">SUMPRODUCT(MAX(ABS(C9:F9)))</f>
        <v>3700</v>
      </c>
      <c r="H9" s="10" t="str">
        <f aca="false">IF(G9&lt;=10,"Ties (≤ ₹10 Cr)","GAP – explain")</f>
        <v>GAP – explain</v>
      </c>
      <c r="I9" s="19" t="s">
        <v>855</v>
      </c>
    </row>
    <row r="10" customFormat="false" ht="15" hidden="false" customHeight="false" outlineLevel="0" collapsed="false">
      <c r="A10" s="9" t="n">
        <v>5</v>
      </c>
      <c r="B10" s="19" t="s">
        <v>856</v>
      </c>
      <c r="C10" s="18" t="n">
        <f aca="false">P2_Detailed_Table!E64-P1_NetFunded_Qtr!C9-P2_Detailed_Table!E61</f>
        <v>0</v>
      </c>
      <c r="D10" s="18" t="n">
        <f aca="false">P2_Detailed_Table!F64-P1_NetFunded_Qtr!D9-P2_Detailed_Table!F61</f>
        <v>0</v>
      </c>
      <c r="E10" s="18" t="n">
        <f aca="false">P2_Detailed_Table!G64-P1_NetFunded_Qtr!E9-P2_Detailed_Table!G61</f>
        <v>0</v>
      </c>
      <c r="F10" s="18" t="n">
        <f aca="false">P2_Detailed_Table!H64-P1_NetFunded_Qtr!F9-P2_Detailed_Table!H61</f>
        <v>0</v>
      </c>
      <c r="G10" s="12" t="n">
        <f aca="false">SUMPRODUCT(MAX(ABS(C10:F10)))</f>
        <v>0</v>
      </c>
      <c r="H10" s="10" t="str">
        <f aca="false">IF(G10&lt;=10,"Ties (≤ ₹10 Cr)","GAP – explain")</f>
        <v>Ties (≤ ₹10 Cr)</v>
      </c>
      <c r="I10" s="19" t="s">
        <v>857</v>
      </c>
    </row>
    <row r="11" customFormat="false" ht="15" hidden="false" customHeight="false" outlineLevel="0" collapsed="false">
      <c r="A11" s="9" t="n">
        <v>6</v>
      </c>
      <c r="B11" s="19" t="s">
        <v>858</v>
      </c>
      <c r="C11" s="18" t="n">
        <f aca="false">P2_Detailed_Table!E59-P1_NetFunded_Qtr!C7</f>
        <v>-1</v>
      </c>
      <c r="D11" s="18" t="n">
        <f aca="false">P2_Detailed_Table!F59-P1_NetFunded_Qtr!D7</f>
        <v>-1</v>
      </c>
      <c r="E11" s="18" t="n">
        <f aca="false">P2_Detailed_Table!G59-P1_NetFunded_Qtr!E7</f>
        <v>3</v>
      </c>
      <c r="F11" s="18" t="n">
        <f aca="false">P2_Detailed_Table!H59-P1_NetFunded_Qtr!F7</f>
        <v>0</v>
      </c>
      <c r="G11" s="12" t="n">
        <f aca="false">SUMPRODUCT(MAX(ABS(C11:F11)))</f>
        <v>3</v>
      </c>
      <c r="H11" s="10" t="str">
        <f aca="false">IF(G11&lt;=10,"Ties (≤ ₹10 Cr)","GAP – explain")</f>
        <v>Ties (≤ ₹10 Cr)</v>
      </c>
      <c r="I11" s="19" t="s">
        <v>859</v>
      </c>
    </row>
    <row r="12" customFormat="false" ht="15" hidden="false" customHeight="false" outlineLevel="0" collapsed="false">
      <c r="A12" s="9" t="n">
        <v>7</v>
      </c>
      <c r="B12" s="19" t="s">
        <v>860</v>
      </c>
      <c r="C12" s="18" t="n">
        <f aca="false">P2_Detailed_Table!E60-P1_NetFunded_Qtr!C8</f>
        <v>1</v>
      </c>
      <c r="D12" s="18" t="n">
        <f aca="false">P2_Detailed_Table!F60-P1_NetFunded_Qtr!D8</f>
        <v>1</v>
      </c>
      <c r="E12" s="18" t="n">
        <f aca="false">P2_Detailed_Table!G60-P1_NetFunded_Qtr!E8</f>
        <v>1</v>
      </c>
      <c r="F12" s="18" t="n">
        <f aca="false">P2_Detailed_Table!H60-P1_NetFunded_Qtr!F8</f>
        <v>0</v>
      </c>
      <c r="G12" s="12" t="n">
        <f aca="false">SUMPRODUCT(MAX(ABS(C12:F12)))</f>
        <v>1</v>
      </c>
      <c r="H12" s="10" t="str">
        <f aca="false">IF(G12&lt;=10,"Ties (≤ ₹10 Cr)","GAP – explain")</f>
        <v>Ties (≤ ₹10 Cr)</v>
      </c>
      <c r="I12" s="19" t="s">
        <v>853</v>
      </c>
    </row>
    <row r="13" customFormat="false" ht="15" hidden="false" customHeight="false" outlineLevel="0" collapsed="false">
      <c r="A13" s="9" t="n">
        <v>8</v>
      </c>
      <c r="B13" s="19" t="s">
        <v>861</v>
      </c>
      <c r="C13" s="18" t="n">
        <f aca="false">P2_Detailed_Table!E47-P4_Wholesale_Monthly!D8</f>
        <v>0</v>
      </c>
      <c r="D13" s="18" t="n">
        <f aca="false">P2_Detailed_Table!F47-P4_Wholesale_Monthly!G8</f>
        <v>-1</v>
      </c>
      <c r="E13" s="18" t="n">
        <f aca="false">P2_Detailed_Table!G47-P4_Wholesale_Monthly!J8</f>
        <v>1</v>
      </c>
      <c r="F13" s="18" t="n">
        <f aca="false">P2_Detailed_Table!H47-P4_Wholesale_Monthly!M8</f>
        <v>0</v>
      </c>
      <c r="G13" s="12" t="n">
        <f aca="false">SUMPRODUCT(MAX(ABS(C13:F13)))</f>
        <v>1</v>
      </c>
      <c r="H13" s="10" t="str">
        <f aca="false">IF(G13&lt;=10,"Ties (≤ ₹10 Cr)","GAP – explain")</f>
        <v>Ties (≤ ₹10 Cr)</v>
      </c>
      <c r="I13" s="19" t="s">
        <v>862</v>
      </c>
    </row>
    <row r="14" customFormat="false" ht="15" hidden="false" customHeight="false" outlineLevel="0" collapsed="false">
      <c r="A14" s="9" t="n">
        <v>9</v>
      </c>
      <c r="B14" s="19" t="s">
        <v>863</v>
      </c>
      <c r="C14" s="18" t="n">
        <f aca="false">P2_Detailed_Table!E48-P4_Wholesale_Monthly!D7</f>
        <v>0</v>
      </c>
      <c r="D14" s="18" t="n">
        <f aca="false">P2_Detailed_Table!F48-P4_Wholesale_Monthly!G7</f>
        <v>-1</v>
      </c>
      <c r="E14" s="18" t="n">
        <f aca="false">P2_Detailed_Table!G48-P4_Wholesale_Monthly!J7</f>
        <v>2</v>
      </c>
      <c r="F14" s="18" t="n">
        <f aca="false">P2_Detailed_Table!H48-P4_Wholesale_Monthly!M7</f>
        <v>0</v>
      </c>
      <c r="G14" s="12" t="n">
        <f aca="false">SUMPRODUCT(MAX(ABS(C14:F14)))</f>
        <v>2</v>
      </c>
      <c r="H14" s="10" t="str">
        <f aca="false">IF(G14&lt;=10,"Ties (≤ ₹10 Cr)","GAP – explain")</f>
        <v>Ties (≤ ₹10 Cr)</v>
      </c>
      <c r="I14" s="19" t="s">
        <v>862</v>
      </c>
    </row>
    <row r="15" customFormat="false" ht="15" hidden="false" customHeight="false" outlineLevel="0" collapsed="false">
      <c r="A15" s="9" t="n">
        <v>10</v>
      </c>
      <c r="B15" s="19" t="s">
        <v>864</v>
      </c>
      <c r="C15" s="18" t="n">
        <f aca="false">P2_Detailed_Table!E53-P3_Retail_Monthly!D8</f>
        <v>0</v>
      </c>
      <c r="D15" s="18" t="n">
        <f aca="false">P2_Detailed_Table!F53-P3_Retail_Monthly!G8</f>
        <v>0</v>
      </c>
      <c r="E15" s="18" t="n">
        <f aca="false">P2_Detailed_Table!G53-P3_Retail_Monthly!J8</f>
        <v>0</v>
      </c>
      <c r="F15" s="18" t="n">
        <f aca="false">P2_Detailed_Table!H53-P3_Retail_Monthly!M8</f>
        <v>0</v>
      </c>
      <c r="G15" s="12" t="n">
        <f aca="false">SUMPRODUCT(MAX(ABS(C15:F15)))</f>
        <v>0</v>
      </c>
      <c r="H15" s="10" t="str">
        <f aca="false">IF(G15&lt;=10,"Ties (≤ ₹10 Cr)","GAP – explain")</f>
        <v>Ties (≤ ₹10 Cr)</v>
      </c>
      <c r="I15" s="19" t="s">
        <v>862</v>
      </c>
    </row>
    <row r="16" customFormat="false" ht="23.85" hidden="false" customHeight="false" outlineLevel="0" collapsed="false">
      <c r="A16" s="9" t="n">
        <v>11</v>
      </c>
      <c r="B16" s="19" t="s">
        <v>865</v>
      </c>
      <c r="C16" s="27"/>
      <c r="D16" s="27"/>
      <c r="E16" s="18" t="n">
        <f aca="false">P2_Detailed_Table!G50-P3_Retail_Monthly!J9</f>
        <v>-1</v>
      </c>
      <c r="F16" s="18" t="n">
        <f aca="false">P2_Detailed_Table!H50-P3_Retail_Monthly!M9</f>
        <v>0</v>
      </c>
      <c r="G16" s="12" t="n">
        <f aca="false">SUMPRODUCT(MAX(ABS(E16:F16)))</f>
        <v>1</v>
      </c>
      <c r="H16" s="10" t="str">
        <f aca="false">IF(G16&lt;=10,"Ties (≤ ₹10 Cr)","GAP – explain")</f>
        <v>Ties (≤ ₹10 Cr)</v>
      </c>
      <c r="I16" s="9" t="s">
        <v>862</v>
      </c>
    </row>
    <row r="18" customFormat="false" ht="15" hidden="false" customHeight="false" outlineLevel="0" collapsed="false">
      <c r="A18" s="29" t="s">
        <v>866</v>
      </c>
    </row>
    <row r="20" customFormat="false" ht="15" hidden="false" customHeight="false" outlineLevel="0" collapsed="false">
      <c r="A20" s="3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2026-10-09T21:17:23Z</dcterms:created>
  <dc:creator>openpyxl</dc:creator>
  <dc:description/>
  <dc:language>en-US</dc:language>
  <cp:lastModifiedBy/>
  <dcterms:modified xsi:type="dcterms:W3CDTF">2026-10-09T21:17:23Z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